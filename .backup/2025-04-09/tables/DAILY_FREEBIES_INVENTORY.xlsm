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F43F3F5C-87C5-476F-A9F4-D1F06D99C2FD}" xr6:coauthVersionLast="36" xr6:coauthVersionMax="47" xr10:uidLastSave="{00000000-0000-0000-0000-000000000000}"/>
  <bookViews>
    <workbookView xWindow="-120" yWindow="-120" windowWidth="29040" windowHeight="15720" firstSheet="4" activeTab="4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INVENTORY" sheetId="2" r:id="rId5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2" localSheetId="2" hidden="1">_TBL_INVENTORY!$A$1:$G$3</definedName>
    <definedName name="ExternalData_3" localSheetId="1" hidden="1">_TBL_INVENTORY_TYPE!$A$1:$D$7</definedName>
    <definedName name="ExternalData_4" localSheetId="0" hidden="1">_TBL_SPECS!$A$1:$C$11</definedName>
    <definedName name="NAMES_INVENTORY">OFFSET(_TBL_INVENTORY[NAME], 0, 0, COUNTA(_TBL_INVENTORY[NAME]), 1)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E12" i="2" l="1"/>
  <c r="D12" i="2"/>
  <c r="E13" i="2"/>
  <c r="F13" i="2"/>
  <c r="D13" i="2"/>
  <c r="B12" i="2"/>
  <c r="F8" i="2"/>
  <c r="F9" i="2"/>
  <c r="F10" i="2"/>
  <c r="F5" i="2"/>
  <c r="F12" i="2" s="1"/>
  <c r="F7" i="2"/>
  <c r="F6" i="2"/>
  <c r="F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3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4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6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<sst xmlns="http://schemas.openxmlformats.org/spreadsheetml/2006/main" count="57" uniqueCount="43">
  <si>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</si>
  <si>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</si>
  <si>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</si>
  <si>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</si>
  <si>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</si>
  <si>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</si>
  <si>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</si>
  <si>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</si>
  <si>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</si>
  <si>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Column1</t>
  </si>
  <si>
    <t>DATE</t>
  </si>
  <si>
    <t>INVENTORY ITEM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</si>
  <si>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</si>
  <si>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</si>
  <si>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</si>
  <si>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</si>
  <si>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</si>
  <si>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</si>
  <si>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</si>
  <si>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</si>
  <si>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</si>
  <si>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</si>
  <si>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</si>
  <si>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</si>
  <si>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</si>
  <si>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</si>
  <si>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TOTAL</t>
  </si>
  <si>
    <t>IN</t>
  </si>
  <si>
    <t>OUT</t>
  </si>
  <si>
    <t>REMARKS</t>
  </si>
  <si>
    <t>BOX ID</t>
  </si>
  <si>
    <t>CHARGER</t>
  </si>
  <si>
    <t>FREEBIES INVENTORY</t>
  </si>
  <si>
    <t xml:space="preserve">ABSOLUTE TOTAL: </t>
  </si>
  <si>
    <t xml:space="preserve">TOTAL: </t>
  </si>
  <si>
    <t>VARIANT</t>
  </si>
  <si>
    <t>DELL CHARGER</t>
  </si>
  <si>
    <t>HP CHARGER</t>
  </si>
  <si>
    <t>2 / 16</t>
  </si>
  <si>
    <t>4 / 16</t>
  </si>
  <si>
    <t>4 / 32</t>
  </si>
  <si>
    <t>8 / 128</t>
  </si>
  <si>
    <t>8 / 256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</si>
</sst>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center"/>
    </xf>
    <xf numFmtId="0" fontId="2" fillId="0" borderId="0" xfId="0" applyFont="1"/>
    <xf numFmtId="1" fontId="2" fillId="0" borderId="0" xfId="0" applyNumberFormat="1" applyFont="1" applyAlignment="1">
      <alignment horizontal="right"/>
    </xf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25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24"/>
    <tableColumn id="3" xr3:uid="{77531021-D05F-4B6C-84DA-32AED82A9680}" name="CODE" dataDxfId="23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3" tableType="queryTable" totalsRowShown="0">
  <autoFilter ref="A1:G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22"/>
    <tableColumn id="3" xr3:uid="{076104D8-C9E8-451B-A965-B0F52E829B97}" uniqueName="3" name="TYPE" queryTableFieldId="3" dataDxfId="21"/>
    <tableColumn id="4" xr3:uid="{EED15770-5ACA-47A3-90AC-004FB47CC5A3}" uniqueName="4" name="BRAND" queryTableFieldId="4" dataDxfId="20"/>
    <tableColumn id="5" xr3:uid="{3006AD62-9893-4204-AD0A-4EF3B9BE605E}" uniqueName="5" name="CODE" queryTableFieldId="5" dataDxfId="19"/>
    <tableColumn id="7" xr3:uid="{E1B94A1B-9685-4AD3-8692-C54C2A4B1C38}" uniqueName="7" name="VARIANT" queryTableFieldId="7"/>
    <tableColumn id="6" xr3:uid="{895EF583-4F50-4211-A9B8-9D6A9E4977E5}" uniqueName="6" name="SPECS" queryTableFieldId="6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17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FREEBIES_INVENTORY" displayName="_TBL_FREEBIES_INVENTORY" ref="B2:H12" totalsRowCount="1" headerRowDxfId="16" dataDxfId="15" totalsRowDxfId="14">
  <autoFilter ref="B2:H11" xr:uid="{11196D4F-0C08-44E6-8845-054A162CF400}"/>
  <tableColumns count="7">
    <tableColumn id="1" xr3:uid="{7E5944E0-EEF7-48BA-9C65-2A065AAFA2D9}" name="DATE" totalsRowFunction="custom" dataDxfId="13" totalsRowDxfId="6">
      <totalsRowFormula>_xlfn.CONCAT("COUNT: ", TEXT(SUBTOTAL(103, _TBL_FREEBIES_INVENTORY[DATE]), "0"))</totalsRowFormula>
    </tableColumn>
    <tableColumn id="2" xr3:uid="{6346439F-B17B-42E4-B169-E92F350D30A5}" name="INVENTORY ITEM" totalsRowLabel="TOTAL: " dataDxfId="12" totalsRowDxfId="5"/>
    <tableColumn id="4" xr3:uid="{95CD9087-654C-4E2A-AF3A-261436977333}" name="IN" totalsRowFunction="sum" dataDxfId="11" totalsRowDxfId="4"/>
    <tableColumn id="5" xr3:uid="{20315BED-21B2-403E-9EB7-F0CC6C891D05}" name="OUT" totalsRowFunction="sum" dataDxfId="10" totalsRowDxfId="3"/>
    <tableColumn id="7" xr3:uid="{A2774850-F5E8-4FA1-8C17-FE6EEC4F8D73}" name="TOTAL" totalsRowFunction="sum" dataDxfId="9" totalsRowDxfId="2">
      <calculatedColumnFormula>IF(_TBL_FREEBIES_INVENTORY[[#This Row],[IN]]+_TBL_FREEBIES_INVENTORY[[#This Row],[OUT]]&lt;&gt; 0, _TBL_FREEBIES_INVENTORY[[#This Row],[IN]]+_TBL_FREEBIES_INVENTORY[[#This Row],[OUT]], "")</calculatedColumnFormula>
    </tableColumn>
    <tableColumn id="10" xr3:uid="{1B6A8F81-4CD3-412F-B3A2-C032710C5771}" name="REMARKS" dataDxfId="8" totalsRowDxfId="1"/>
    <tableColumn id="12" xr3:uid="{161DBC59-E0E9-488B-9D75-AD60C50E18B7}" name="BOX ID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/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38</v>
      </c>
    </row>
    <row r="3" spans="1:3" x14ac:dyDescent="0.25">
      <c r="A3">
        <v>2</v>
      </c>
      <c r="B3" t="s">
        <v>39</v>
      </c>
    </row>
    <row r="4" spans="1:3" x14ac:dyDescent="0.25">
      <c r="A4">
        <v>3</v>
      </c>
      <c r="B4" t="s">
        <v>40</v>
      </c>
    </row>
    <row r="5" spans="1:3" x14ac:dyDescent="0.25">
      <c r="A5">
        <v>4</v>
      </c>
      <c r="B5" t="s">
        <v>41</v>
      </c>
    </row>
    <row r="6" spans="1:3" x14ac:dyDescent="0.25">
      <c r="A6">
        <v>5</v>
      </c>
      <c r="B6" t="s">
        <v>42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9</v>
      </c>
    </row>
    <row r="2" spans="1:4" x14ac:dyDescent="0.25">
      <c r="A2">
        <v>1</v>
      </c>
      <c r="B2" t="s">
        <v>6</v>
      </c>
      <c r="C2" t="s">
        <v>15</v>
      </c>
    </row>
    <row r="3" spans="1:4" x14ac:dyDescent="0.25">
      <c r="A3">
        <v>2</v>
      </c>
      <c r="B3" t="s">
        <v>16</v>
      </c>
      <c r="C3" t="s">
        <v>17</v>
      </c>
    </row>
    <row r="4" spans="1:4" x14ac:dyDescent="0.25">
      <c r="A4">
        <v>3</v>
      </c>
      <c r="B4" t="s">
        <v>18</v>
      </c>
      <c r="C4" t="s">
        <v>19</v>
      </c>
    </row>
    <row r="5" spans="1:4" x14ac:dyDescent="0.25">
      <c r="A5">
        <v>4</v>
      </c>
      <c r="B5" t="s">
        <v>20</v>
      </c>
      <c r="C5" t="s">
        <v>21</v>
      </c>
    </row>
    <row r="6" spans="1:4" x14ac:dyDescent="0.25">
      <c r="A6">
        <v>5</v>
      </c>
      <c r="B6" t="s">
        <v>22</v>
      </c>
      <c r="C6" t="s">
        <v>23</v>
      </c>
    </row>
    <row r="7" spans="1:4" x14ac:dyDescent="0.25">
      <c r="A7">
        <v>6</v>
      </c>
      <c r="B7" t="s">
        <v>24</v>
      </c>
      <c r="C7" t="s">
        <v>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3"/>
  <sheetViews>
    <sheetView workbookViewId="0">
      <selection activeCell="H13" sqref="H13"/>
    </sheetView>
  </sheetViews>
  <sheetFormatPr defaultRowHeight="15" x14ac:dyDescent="0.25"/>
  <cols>
    <col min="1" max="1" width="5.140625" bestFit="1" customWidth="1"/>
    <col min="2" max="2" width="13.85546875" bestFit="1" customWidth="1"/>
    <col min="3" max="3" width="8.7109375" bestFit="1" customWidth="1"/>
    <col min="4" max="4" width="9.5703125" bestFit="1" customWidth="1"/>
    <col min="5" max="5" width="9.28515625" bestFit="1" customWidth="1"/>
    <col min="6" max="6" width="11.28515625" bestFit="1" customWidth="1"/>
    <col min="7" max="7" width="8.5703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35</v>
      </c>
      <c r="G1" t="s">
        <v>5</v>
      </c>
    </row>
    <row r="2" spans="1:7" x14ac:dyDescent="0.25">
      <c r="A2">
        <v>7</v>
      </c>
      <c r="B2" t="s">
        <v>36</v>
      </c>
      <c r="C2" t="s">
        <v>18</v>
      </c>
      <c r="D2" t="s">
        <v>7</v>
      </c>
      <c r="E2" t="s">
        <v>31</v>
      </c>
    </row>
    <row r="3" spans="1:7" x14ac:dyDescent="0.25">
      <c r="A3">
        <v>8</v>
      </c>
      <c r="B3" t="s">
        <v>37</v>
      </c>
      <c r="C3" t="s">
        <v>18</v>
      </c>
      <c r="D3" t="s">
        <v>8</v>
      </c>
      <c r="E3" t="s">
        <v>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N14" sqref="N14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12</v>
      </c>
    </row>
    <row r="3" spans="1:3" x14ac:dyDescent="0.25">
      <c r="A3">
        <v>2</v>
      </c>
      <c r="B3" t="s">
        <v>13</v>
      </c>
    </row>
    <row r="4" spans="1:3" x14ac:dyDescent="0.25">
      <c r="A4">
        <v>3</v>
      </c>
      <c r="B4" t="s">
        <v>7</v>
      </c>
    </row>
    <row r="5" spans="1:3" x14ac:dyDescent="0.25">
      <c r="A5">
        <v>4</v>
      </c>
      <c r="B5" t="s">
        <v>8</v>
      </c>
    </row>
    <row r="6" spans="1:3" x14ac:dyDescent="0.25">
      <c r="A6">
        <v>5</v>
      </c>
      <c r="B6" t="s">
        <v>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tabSelected="1" workbookViewId="0">
      <selection activeCell="E17" sqref="E17"/>
    </sheetView>
  </sheetViews>
  <sheetFormatPr defaultRowHeight="15" x14ac:dyDescent="0.25"/>
  <cols>
    <col min="2" max="2" width="18.42578125" customWidth="1"/>
    <col min="3" max="3" width="33" customWidth="1"/>
    <col min="4" max="4" width="15.5703125" customWidth="1"/>
    <col min="5" max="5" width="15.1406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B1" s="7"/>
      <c r="C1" s="13" t="s">
        <v>32</v>
      </c>
      <c r="D1" s="13"/>
      <c r="E1" s="13"/>
    </row>
    <row r="2" spans="2:8" x14ac:dyDescent="0.25">
      <c r="B2" s="1" t="s">
        <v>10</v>
      </c>
      <c r="C2" s="1" t="s">
        <v>11</v>
      </c>
      <c r="D2" s="1" t="s">
        <v>27</v>
      </c>
      <c r="E2" s="1" t="s">
        <v>28</v>
      </c>
      <c r="F2" s="1" t="s">
        <v>26</v>
      </c>
      <c r="G2" s="1" t="s">
        <v>29</v>
      </c>
      <c r="H2" s="1" t="s">
        <v>30</v>
      </c>
    </row>
    <row r="3" spans="2:8" x14ac:dyDescent="0.25">
      <c r="B3" s="3"/>
      <c r="C3" s="1"/>
      <c r="D3" s="5"/>
      <c r="E3" s="5"/>
      <c r="F3" s="5"/>
      <c r="G3" s="2"/>
      <c r="H3" s="4"/>
    </row>
    <row r="4" spans="2:8" x14ac:dyDescent="0.25">
      <c r="B4" s="3"/>
      <c r="C4" s="1"/>
      <c r="D4" s="5"/>
      <c r="E4" s="5"/>
      <c r="F4" s="5"/>
      <c r="G4" s="2"/>
      <c r="H4" s="4"/>
    </row>
    <row r="5" spans="2:8" x14ac:dyDescent="0.25">
      <c r="B5" s="3"/>
      <c r="C5" s="1"/>
      <c r="D5" s="5"/>
      <c r="E5" s="5"/>
      <c r="F5" s="5" t="str">
        <f>IF(_TBL_FREEBIES_INVENTORY[[#This Row],[IN]]+_TBL_FREEBIES_INVENTORY[[#This Row],[OUT]]&lt;&gt; 0, _TBL_FREEBIES_INVENTORY[[#This Row],[IN]]+_TBL_FREEBIES_INVENTORY[[#This Row],[OUT]], "")</f>
        <v/>
      </c>
      <c r="G5" s="2"/>
      <c r="H5" s="4"/>
    </row>
    <row r="6" spans="2:8" x14ac:dyDescent="0.25">
      <c r="B6" s="3"/>
      <c r="C6" s="1"/>
      <c r="D6" s="5"/>
      <c r="E6" s="5"/>
      <c r="F6" s="5" t="str">
        <f>IF(_TBL_FREEBIES_INVENTORY[[#This Row],[IN]]+_TBL_FREEBIES_INVENTORY[[#This Row],[OUT]]&lt;&gt; 0, _TBL_FREEBIES_INVENTORY[[#This Row],[IN]]+_TBL_FREEBIES_INVENTORY[[#This Row],[OUT]], "")</f>
        <v/>
      </c>
      <c r="G6" s="2"/>
      <c r="H6" s="4"/>
    </row>
    <row r="7" spans="2:8" x14ac:dyDescent="0.25">
      <c r="B7" s="3"/>
      <c r="C7" s="1"/>
      <c r="D7" s="5"/>
      <c r="E7" s="5"/>
      <c r="F7" s="5" t="str">
        <f>IF(_TBL_FREEBIES_INVENTORY[[#This Row],[IN]]+_TBL_FREEBIES_INVENTORY[[#This Row],[OUT]]&lt;&gt; 0, _TBL_FREEBIES_INVENTORY[[#This Row],[IN]]+_TBL_FREEBIES_INVENTORY[[#This Row],[OUT]], "")</f>
        <v/>
      </c>
      <c r="G7" s="2"/>
      <c r="H7" s="4"/>
    </row>
    <row r="8" spans="2:8" x14ac:dyDescent="0.25">
      <c r="B8" s="3"/>
      <c r="C8" s="1"/>
      <c r="D8" s="5"/>
      <c r="E8" s="5"/>
      <c r="F8" s="5" t="str">
        <f>IF(_TBL_FREEBIES_INVENTORY[[#This Row],[IN]]+_TBL_FREEBIES_INVENTORY[[#This Row],[OUT]]&lt;&gt; 0, _TBL_FREEBIES_INVENTORY[[#This Row],[IN]]+_TBL_FREEBIES_INVENTORY[[#This Row],[OUT]], "")</f>
        <v/>
      </c>
      <c r="G8" s="2"/>
      <c r="H8" s="4"/>
    </row>
    <row r="9" spans="2:8" x14ac:dyDescent="0.25">
      <c r="B9" s="3"/>
      <c r="C9" s="1"/>
      <c r="D9" s="5"/>
      <c r="E9" s="5"/>
      <c r="F9" s="5" t="str">
        <f>IF(_TBL_FREEBIES_INVENTORY[[#This Row],[IN]]+_TBL_FREEBIES_INVENTORY[[#This Row],[OUT]]&lt;&gt; 0, _TBL_FREEBIES_INVENTORY[[#This Row],[IN]]+_TBL_FREEBIES_INVENTORY[[#This Row],[OUT]], "")</f>
        <v/>
      </c>
      <c r="G9" s="2"/>
      <c r="H9" s="4"/>
    </row>
    <row r="10" spans="2:8" x14ac:dyDescent="0.25">
      <c r="B10" s="3"/>
      <c r="C10" s="1"/>
      <c r="D10" s="5"/>
      <c r="E10" s="5"/>
      <c r="F10" s="5" t="str">
        <f>IF(_TBL_FREEBIES_INVENTORY[[#This Row],[IN]]+_TBL_FREEBIES_INVENTORY[[#This Row],[OUT]]&lt;&gt; 0, _TBL_FREEBIES_INVENTORY[[#This Row],[IN]]+_TBL_FREEBIES_INVENTORY[[#This Row],[OUT]], "")</f>
        <v/>
      </c>
      <c r="G10" s="2"/>
      <c r="H10" s="4"/>
    </row>
    <row r="11" spans="2:8" x14ac:dyDescent="0.25">
      <c r="C11" s="6"/>
      <c r="D11" s="5"/>
      <c r="E11" s="5"/>
      <c r="F11" s="5" t="str">
        <f>IF(_TBL_FREEBIES_INVENTORY[[#This Row],[IN]]+_TBL_FREEBIES_INVENTORY[[#This Row],[OUT]]&lt;&gt; 0, _TBL_FREEBIES_INVENTORY[[#This Row],[IN]]+_TBL_FREEBIES_INVENTORY[[#This Row],[OUT]], "")</f>
        <v/>
      </c>
      <c r="G11" s="2"/>
      <c r="H11" s="4"/>
    </row>
    <row r="12" spans="2:8" x14ac:dyDescent="0.25">
      <c r="B12" s="8" t="str">
        <f ca="1">_xlfn.CONCAT("COUNT: ", TEXT(SUBTOTAL(103, _TBL_FREEBIES_INVENTORY[DATE]), "0"))</f>
        <v>COUNT: 1</v>
      </c>
      <c r="C12" s="9" t="s">
        <v>34</v>
      </c>
      <c r="D12" s="12">
        <f>SUBTOTAL(109,_TBL_FREEBIES_INVENTORY[IN])</f>
        <v>0</v>
      </c>
      <c r="E12" s="12">
        <f>SUBTOTAL(109,_TBL_FREEBIES_INVENTORY[OUT])</f>
        <v>0</v>
      </c>
      <c r="F12" s="12">
        <f>SUBTOTAL(109,_TBL_FREEBIES_INVENTORY[TOTAL])</f>
        <v>0</v>
      </c>
      <c r="G12" s="8"/>
      <c r="H12" s="10"/>
    </row>
    <row r="13" spans="2:8" x14ac:dyDescent="0.25">
      <c r="B13" s="11"/>
      <c r="C13" s="9" t="s">
        <v>33</v>
      </c>
      <c r="D13" s="12">
        <f>SUM( _TBL_FREEBIES_INVENTORY[IN])</f>
        <v>0</v>
      </c>
      <c r="E13" s="12">
        <f>SUM( _TBL_FREEBIES_INVENTORY[OUT])</f>
        <v>0</v>
      </c>
      <c r="F13" s="12">
        <f>SUM( _TBL_FREEBIES_INVENTORY[TOTAL])</f>
        <v>0</v>
      </c>
      <c r="G13" s="11"/>
      <c r="H13" s="11"/>
    </row>
  </sheetData>
  <mergeCells count="1">
    <mergeCell ref="C1:E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_TBL_SPECS</vt:lpstr>
      <vt:lpstr>_TBL_INVENTORY_TYPE</vt:lpstr>
      <vt:lpstr>_TBL_INVENTORY</vt:lpstr>
      <vt:lpstr>_TBL_BRAND</vt:lpstr>
      <vt:lpstr>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2025-04-19T04:10:55Z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dcab220c-8d98-4445-a981-3772dff8ec1e</vt:lpwstr>
  </property>
</Properties>
</file>