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AB340A50-AA7C-4820-8C5D-2CE133A3A5DD}" xr6:coauthVersionLast="36" xr6:coauthVersionMax="47" xr10:uidLastSave="{00000000-0000-0000-0000-000000000000}"/>
  <bookViews>
    <workbookView xWindow="-120" yWindow="-120" windowWidth="29040" windowHeight="15720" firstSheet="6" activeTab="6" xr2:uid="{00000000-000D-0000-FFFF-FFFF00000000}"/>
  </bookViews>
  <sheets>
    <sheet name="_TBL_SPECS" sheetId="6" state="hidden" r:id="rId1"/>
    <sheet name="_TBL_VARIANT" sheetId="10" state="hidden" r:id="rId2"/>
    <sheet name="_TBL_INVENTORY_TYPE" sheetId="9" state="hidden" r:id="rId3"/>
    <sheet name="_TBL_INVENTORY" sheetId="4" state="hidden" r:id="rId4"/>
    <sheet name="_TBL_BRAND" sheetId="3" state="hidden" r:id="rId5"/>
    <sheet name="_TBL_DATES" sheetId="7" state="hidden" r:id="rId6"/>
    <sheet name="INVENTORY" sheetId="2" r:id="rId7"/>
    <sheet name="TEMPLATE" sheetId="11" r:id="rId8"/>
  </sheets>
  <functionGroups builtInGroupCount="19"/>
  <definedNames>
    <definedName name="_xlcn.WorksheetConnection_DAILY_INVENTORY.xlsx_TBL_BRAND1" hidden="1">_TBL_BRAND[]</definedName>
    <definedName name="_xlcn.WorksheetConnection_DAILY_INVENTORY.xlsx_TBL_INVENTORY1" hidden="1">_TBL_INVENTORY!$A$2:$N$8</definedName>
    <definedName name="ExternalData_1" localSheetId="4" hidden="1">_TBL_BRAND!$A$1:$C$6</definedName>
    <definedName name="ExternalData_1" localSheetId="5" hidden="1">_TBL_DATES!$A$1:$E$9</definedName>
    <definedName name="ExternalData_1" localSheetId="3" hidden="1">_TBL_INVENTORY!$A$2:$G$10</definedName>
    <definedName name="ExternalData_3" localSheetId="2" hidden="1">_TBL_INVENTORY_TYPE!$A$1:$C$5</definedName>
    <definedName name="ExternalData_4" localSheetId="0" hidden="1">_TBL_SPECS!$A$1:$C$11</definedName>
    <definedName name="ExternalData_4" localSheetId="1" hidden="1">_TBL_VARIANT!$A$1:$C$9</definedName>
    <definedName name="NAMES_INVENTORY">OFFSET(_TBL_INVENTORY[NAME], 0, 0, COUNTA(_TBL_INVENTORY[NAME]), 1)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F8" i="2" l="1"/>
  <c r="F9" i="2"/>
  <c r="F10" i="2"/>
  <c r="F11" i="2"/>
  <c r="J2" i="4" a="1"/>
  <c r="J2" i="4" s="1"/>
  <c r="H21" i="11"/>
  <c r="J21" i="11" s="1"/>
  <c r="H15" i="11"/>
  <c r="J15" i="11" s="1"/>
  <c r="H20" i="11"/>
  <c r="J20" i="11" s="1"/>
  <c r="H14" i="11"/>
  <c r="J14" i="11" s="1"/>
  <c r="H3" i="11"/>
  <c r="H4" i="11"/>
  <c r="H5" i="11"/>
  <c r="H6" i="11"/>
  <c r="J6" i="11" s="1"/>
  <c r="H7" i="11"/>
  <c r="J7" i="11" s="1"/>
  <c r="H8" i="11"/>
  <c r="H9" i="11"/>
  <c r="J9" i="11" s="1"/>
  <c r="B20" i="11" a="1"/>
  <c r="B20" i="11" s="1"/>
  <c r="J4" i="11"/>
  <c r="J5" i="11"/>
  <c r="J8" i="11"/>
  <c r="B14" i="11" a="1"/>
  <c r="B14" i="11" s="1"/>
  <c r="E10" i="11"/>
  <c r="F10" i="11"/>
  <c r="G10" i="11"/>
  <c r="I10" i="11"/>
  <c r="C10" i="11"/>
  <c r="D10" i="11"/>
  <c r="I22" i="11"/>
  <c r="G22" i="11"/>
  <c r="F22" i="11"/>
  <c r="E22" i="11"/>
  <c r="D22" i="11"/>
  <c r="C22" i="11"/>
  <c r="J26" i="11"/>
  <c r="J25" i="11"/>
  <c r="J24" i="11"/>
  <c r="I16" i="11"/>
  <c r="G16" i="11"/>
  <c r="F16" i="11"/>
  <c r="E16" i="11"/>
  <c r="D16" i="11"/>
  <c r="C16" i="11"/>
  <c r="H10" i="11" l="1"/>
  <c r="J3" i="11"/>
  <c r="J10" i="11" s="1"/>
  <c r="H22" i="11"/>
  <c r="H16" i="11"/>
  <c r="J22" i="11"/>
  <c r="J16" i="11"/>
  <c r="F5" i="2" l="1"/>
  <c r="F7" i="2"/>
  <c r="E12" i="2"/>
  <c r="G12" i="2"/>
  <c r="D12" i="2"/>
  <c r="E13" i="2"/>
  <c r="G13" i="2"/>
  <c r="D13" i="2"/>
  <c r="B12" i="2"/>
  <c r="F4" i="2"/>
  <c r="F3" i="2"/>
  <c r="F6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6004B4CE-AA15-4196-BEC1-2BE546360D22}" keepAlive="1" name="Query - _TBL_INVENTORY_TYPE" description="Connection to the '_TBL_INVENTORY_TYPE' query in the workbook." type="5" refreshedVersion="6" background="1" saveData="1">
    <dbPr connection="Provider=Microsoft.Mashup.OleDb.1;Data Source=$Workbook$;Location=_TBL_INVENTORY_TYPE;Extended Properties=&quot;&quot;" command="SELECT * FROM [_TBL_INVENTORY_TYPE]"/>
  </connection>
  <connection id="5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6" xr16:uid="{1A6455E0-CDE9-41E3-A377-5564737C43F7}" keepAlive="1" name="Query - _TBL_VARIANT" description="Connection to the '_TBL_VARIANT' query in the workbook." type="5" refreshedVersion="6" background="1" saveData="1">
    <dbPr connection="Provider=Microsoft.Mashup.OleDb.1;Data Source=$Workbook$;Location=_TBL_VARIANT;Extended Properties=&quot;&quot;" command="SELECT * FROM [_TBL_VARIANT]"/>
  </connection>
  <connection id="7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8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9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<sst xmlns="http://schemas.openxmlformats.org/spreadsheetml/2006/main" count="152" uniqueCount="75">
  <si>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</si>
  <si>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</si>
  <si>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</si>
  <si>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</si>
  <si>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</si>
  <si>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</si>
  <si>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</si>
  <si>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</si>
  <si>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</si>
  <si>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</si>
  <si>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DATE</t>
  </si>
  <si>
    <t>INVENTORY ITEM</t>
  </si>
  <si>
    <t>BACKJOB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</si>
  <si>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</si>
  <si>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</si>
  <si>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</si>
  <si>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</si>
  <si>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</si>
  <si>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</si>
  <si>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</si>
  <si>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</si>
  <si>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</si>
  <si>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TOTAL</t>
  </si>
  <si>
    <t>IN</t>
  </si>
  <si>
    <t>OUT</t>
  </si>
  <si>
    <t>REMARKS</t>
  </si>
  <si>
    <t>BOX ID</t>
  </si>
  <si>
    <t>3120</t>
  </si>
  <si>
    <t>3180</t>
  </si>
  <si>
    <t>LAPTOP INVENTORY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</si>
  <si>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</si>
  <si>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</si>
  <si>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</si>
  <si>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</si>
  <si>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</si>
  <si>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</si>
  <si>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</si>
  <si>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</si>
  <si>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</si>
  <si>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</si>
  <si>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</si>
  <si>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</si>
  <si>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</si>
  <si>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UNCHECKED</t>
  </si>
  <si>
    <t>CHROME OS</t>
  </si>
  <si>
    <t>VARIANT</t>
  </si>
  <si>
    <t>REGULAR</t>
  </si>
  <si>
    <t>4 / 16</t>
  </si>
  <si>
    <t>DELL 3120 REGULAR 4 / 32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</si>
  <si>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</si>
  <si>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</si>
  <si>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</si>
  <si>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</si>
  <si>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</si>
  <si>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</si>
  <si>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</si>
  <si>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</si>
  <si>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8 / 256</t>
  </si>
  <si>
    <t>TOUCH &amp; FLIP</t>
  </si>
  <si>
    <t>Intel i3</t>
  </si>
  <si>
    <t>Intel i5</t>
  </si>
  <si>
    <t>Ryzen 3</t>
  </si>
  <si>
    <t>Ryzen 5</t>
  </si>
  <si>
    <t>CHECKED</t>
  </si>
  <si>
    <t>WINDOWS</t>
  </si>
  <si>
    <t xml:space="preserve">TOTAL : </t>
  </si>
  <si>
    <t>ON PROCESS</t>
  </si>
  <si>
    <t xml:space="preserve">TOTAL INVENTORY : </t>
  </si>
  <si>
    <t>DELL 3180 REGULAR 4 / 32</t>
  </si>
  <si>
    <t>14 INCH</t>
  </si>
  <si>
    <t>TOTAL INVENTORY:</t>
  </si>
  <si>
    <t>ACER 3343 TOUCHSCREEN 4 / 16</t>
  </si>
  <si>
    <t>3343</t>
  </si>
  <si>
    <t>Others</t>
  </si>
  <si>
    <t>PRINTERS|SPEAKERS|MOBILE PHONE|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</si>
</sst>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4" fontId="0" fillId="0" borderId="0" xfId="0" applyNumberForma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0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76">
    <dxf>
      <numFmt numFmtId="19" formatCode="m/d/yyyy"/>
    </dxf>
    <dxf>
      <numFmt numFmtId="19" formatCode="m/d/yyyy"/>
    </dxf>
    <dxf>
      <numFmt numFmtId="19" formatCode="m/d/yyyy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powerPivotData" Target="model/item.data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6" xr16:uid="{1D3AF849-8F78-490A-AA61-1B50E580C8F0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30BCC1F9-9B07-4E3F-8ECA-3DFAD6974855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75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C61E756-D77A-46E4-8DEB-21BA9D89E2DB}" name="_TBL_VARIANT" displayName="_TBL_VARIANT" ref="A1:C9" tableType="queryTable" totalsRowShown="0">
  <autoFilter ref="A1:C9" xr:uid="{1C61E756-D77A-46E4-8DEB-21BA9D89E2DB}"/>
  <tableColumns count="3">
    <tableColumn id="1" xr3:uid="{BF1BF82C-79C3-464D-A2A9-CCD0477EFD7F}" uniqueName="1" name="ID" queryTableFieldId="1"/>
    <tableColumn id="2" xr3:uid="{5EACD79E-E797-4DC6-ADC1-424F14C054D4}" uniqueName="2" name="NAME" queryTableFieldId="2" dataDxfId="74"/>
    <tableColumn id="3" xr3:uid="{BA481D3D-D56F-4320-9273-1F9AEFA6C8DA}" uniqueName="3" name="CODE" queryTableFieldId="3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A61DAD2-B3F2-4D37-8E1D-E1981CC99428}" name="_TBL_INVENTORY_TYPE_" displayName="_TBL_INVENTORY_TYPE_" ref="A1:C5" tableType="queryTable" totalsRowShown="0">
  <autoFilter ref="A1:C5" xr:uid="{6A61DAD2-B3F2-4D37-8E1D-E1981CC99428}"/>
  <tableColumns count="3">
    <tableColumn id="1" xr3:uid="{0723FCA4-35A0-42DB-BF76-FED1B749EC27}" uniqueName="1" name="ID" queryTableFieldId="1"/>
    <tableColumn id="2" xr3:uid="{D723045F-E288-42CC-9F0F-0F081836F42B}" uniqueName="2" name="NAME" queryTableFieldId="2" dataDxfId="73"/>
    <tableColumn id="3" xr3:uid="{925A02D8-5DBB-4FEF-9698-C58D79969BF9}" uniqueName="3" name="CODE" queryTableFieldId="3" dataDxfId="7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" displayName="_TBL_INVENTORY" ref="A2:G10" tableType="queryTable" totalsRowShown="0">
  <autoFilter ref="A2:G10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71"/>
    <tableColumn id="3" xr3:uid="{72D63A58-4BF9-4348-9278-03658337BDE4}" uniqueName="3" name="TYPE" queryTableFieldId="3" dataDxfId="70"/>
    <tableColumn id="4" xr3:uid="{C1D1FE9A-E7D1-49CB-990A-521223F02F2F}" uniqueName="4" name="BRAND" queryTableFieldId="4" dataDxfId="69"/>
    <tableColumn id="5" xr3:uid="{6A522385-7131-4700-B14C-7A2CC7322CB4}" uniqueName="5" name="CODE" queryTableFieldId="5" dataDxfId="68"/>
    <tableColumn id="6" xr3:uid="{357B56B4-AAF6-43D4-AEAD-F93F1453D095}" uniqueName="6" name="VARIANT" queryTableFieldId="6" dataDxfId="67"/>
    <tableColumn id="7" xr3:uid="{A6335F81-8B2A-4D68-A3D4-C528C11BFB62}" uniqueName="7" name="SPECS" queryTableFieldId="7" dataDxfId="66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65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2"/>
    <tableColumn id="2" xr3:uid="{9ACA5BAE-3452-4A54-88A1-1D3A54B85E6B}" uniqueName="2" name="START_DATE" queryTableFieldId="2" dataDxfId="1"/>
    <tableColumn id="3" xr3:uid="{C60B9200-CA57-4C5B-AF47-28D5CBEAD345}" uniqueName="3" name="END_DATE" queryTableFieldId="3" dataDxfId="0"/>
    <tableColumn id="4" xr3:uid="{A600AE55-31A6-4008-AA79-30DCDCBCFBDA}" uniqueName="4" name="NAME" queryTableFieldId="4" dataDxfId="64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I12" totalsRowCount="1" headerRowDxfId="63" dataDxfId="62">
  <autoFilter ref="B2:I11" xr:uid="{11196D4F-0C08-44E6-8845-054A162CF400}"/>
  <tableColumns count="8">
    <tableColumn id="1" xr3:uid="{7E5944E0-EEF7-48BA-9C65-2A065AAFA2D9}" name="DATE" totalsRowFunction="custom" dataDxfId="61" totalsRowDxfId="10">
      <totalsRowFormula>_xlfn.CONCAT("COUNT: ", SUBTOTAL(103,_TBL_LAPTOP_INVENTORY[DATE]))</totalsRowFormula>
    </tableColumn>
    <tableColumn id="2" xr3:uid="{6346439F-B17B-42E4-B169-E92F350D30A5}" name="INVENTORY ITEM" totalsRowLabel="TOTAL: " dataDxfId="60" totalsRowDxfId="9"/>
    <tableColumn id="4" xr3:uid="{95CD9087-654C-4E2A-AF3A-261436977333}" name="IN" totalsRowFunction="sum" dataDxfId="59" totalsRowDxfId="8"/>
    <tableColumn id="5" xr3:uid="{20315BED-21B2-403E-9EB7-F0CC6C891D05}" name="OUT" totalsRowFunction="sum" dataDxfId="58" totalsRowDxfId="7"/>
    <tableColumn id="7" xr3:uid="{A2774850-F5E8-4FA1-8C17-FE6EEC4F8D73}" name="TOTAL" totalsRowFunction="sum" dataDxfId="57" totalsRowDxfId="6">
      <calculatedColumnFormula>IF(_TBL_LAPTOP_INVENTORY[[#This Row],[IN]]+_TBL_LAPTOP_INVENTORY[[#This Row],[OUT]]&lt;&gt; 0, _TBL_LAPTOP_INVENTORY[[#This Row],[IN]]+_TBL_LAPTOP_INVENTORY[[#This Row],[OUT]], "")</calculatedColumnFormula>
    </tableColumn>
    <tableColumn id="8" xr3:uid="{3BEEB058-8C1B-4F3B-A112-E1C3BF3C5795}" name="BACKJOB" totalsRowFunction="sum" dataDxfId="56" totalsRowDxfId="5"/>
    <tableColumn id="10" xr3:uid="{1B6A8F81-4CD3-412F-B3A2-C032710C5771}" name="REMARKS" dataDxfId="55" totalsRowDxfId="4"/>
    <tableColumn id="12" xr3:uid="{161DBC59-E0E9-488B-9D75-AD60C50E18B7}" name="BOX ID" dataDxfId="54" totalsRowDxfId="3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3:J16" totalsRowCount="1">
  <autoFilter ref="B13:J15" xr:uid="{641D9699-6A8D-41D7-BA45-3564F6CE9E3F}"/>
  <tableColumns count="9">
    <tableColumn id="1" xr3:uid="{F785A112-E5B1-4220-8197-AC2FD33C0F68}" name="NAME" totalsRowLabel="TOTAL : " dataDxfId="53" totalsRowDxfId="52"/>
    <tableColumn id="2" xr3:uid="{676606A0-7990-4C08-BB3D-F65A0581C705}" name="UNCHECKED" totalsRowFunction="custom" totalsRowDxfId="51">
      <totalsRowFormula>SUBTOTAL(109, TEMPLATE_TOUCHSCREEN[UNCHECKED])</totalsRowFormula>
    </tableColumn>
    <tableColumn id="3" xr3:uid="{7640C5A0-97C1-403A-B35B-3A7E0D0E8EFB}" name="CHECKED" totalsRowFunction="custom" totalsRowDxfId="50">
      <totalsRowFormula>SUBTOTAL(109, TEMPLATE_TOUCHSCREEN[CHECKED])</totalsRowFormula>
    </tableColumn>
    <tableColumn id="8" xr3:uid="{C6E7B794-E407-4445-90B2-CF8B0D4CB47B}" name="ON PROCESS" totalsRowFunction="custom" totalsRowDxfId="49">
      <totalsRowFormula>SUBTOTAL(109, TEMPLATE_TOUCHSCREEN[ON PROCESS])</totalsRowFormula>
    </tableColumn>
    <tableColumn id="4" xr3:uid="{D9E4E3E7-74A6-4EC6-BE23-96237B958C35}" name="CHROME OS" totalsRowFunction="custom" totalsRowDxfId="48">
      <totalsRowFormula>SUBTOTAL(109, TEMPLATE_TOUCHSCREEN[CHROME OS])</totalsRowFormula>
    </tableColumn>
    <tableColumn id="5" xr3:uid="{C8F5FEF4-4501-440C-BFC3-80FDF100B145}" name="WINDOWS" totalsRowFunction="custom" totalsRowDxfId="47">
      <totalsRowFormula>SUBTOTAL(109, TEMPLATE_TOUCHSCREEN[WINDOWS])</totalsRowFormula>
    </tableColumn>
    <tableColumn id="6" xr3:uid="{B1690278-5FFF-49D3-A64E-52AAA807A6F0}" name="TOTAL : " totalsRowFunction="custom" dataDxfId="46" totalsRowDxfId="45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44">
      <totalsRowFormula>SUBTOTAL(109, TEMPLATE_TOUCHSCREEN[BACKJOB])</totalsRowFormula>
    </tableColumn>
    <tableColumn id="9" xr3:uid="{48911CB4-28B4-41E1-97CD-C5272AF691DB}" name="TOTAL INVENTORY : " totalsRowFunction="custom" dataDxfId="43" totalsRowDxfId="42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19:J22" totalsRowCount="1">
  <autoFilter ref="B19:J21" xr:uid="{0CC45A81-8318-46A1-9C4F-E4A39C227BB7}"/>
  <tableColumns count="9">
    <tableColumn id="1" xr3:uid="{7DB9A99D-A48F-4897-82CD-03F08CA30CD0}" name="NAME" totalsRowLabel="TOTAL : " dataDxfId="41" totalsRowDxfId="40"/>
    <tableColumn id="2" xr3:uid="{FFC772EF-57C6-4F5A-99C7-66277A580722}" name="UNCHECKED" totalsRowFunction="custom" totalsRowDxfId="39">
      <totalsRowFormula>SUBTOTAL(109, TEMPLATE_14_INCH[UNCHECKED])</totalsRowFormula>
    </tableColumn>
    <tableColumn id="3" xr3:uid="{374E1D3D-EF48-4634-AC36-E3B7A570A185}" name="CHECKED" totalsRowFunction="custom" totalsRowDxfId="38">
      <totalsRowFormula>SUBTOTAL(109, TEMPLATE_14_INCH[CHECKED])</totalsRowFormula>
    </tableColumn>
    <tableColumn id="8" xr3:uid="{2E40B7B5-E2BF-4F46-8610-E0080F5DACBD}" name="ON PROCESS" totalsRowFunction="custom" totalsRowDxfId="37">
      <totalsRowFormula>SUBTOTAL(109, TEMPLATE_14_INCH[ON PROCESS])</totalsRowFormula>
    </tableColumn>
    <tableColumn id="4" xr3:uid="{ACDEF88D-D1C3-4B1F-894C-202E99EBF8E9}" name="CHROME OS" totalsRowFunction="custom" totalsRowDxfId="36">
      <totalsRowFormula>SUBTOTAL(109, TEMPLATE_14_INCH[CHROME OS])</totalsRowFormula>
    </tableColumn>
    <tableColumn id="5" xr3:uid="{2ECBE8BA-63BC-45F1-B80B-3654DDF8E047}" name="WINDOWS" totalsRowFunction="custom" totalsRowDxfId="35">
      <totalsRowFormula>SUBTOTAL(109, TEMPLATE_14_INCH[WINDOWS])</totalsRowFormula>
    </tableColumn>
    <tableColumn id="6" xr3:uid="{EAD79535-A3C7-43FB-9CCB-C7443B43FD85}" name="TOTAL : " totalsRowFunction="custom" dataDxfId="34" totalsRowDxfId="33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32">
      <totalsRowFormula>SUBTOTAL(109, TEMPLATE_14_INCH[BACKJOB])</totalsRowFormula>
    </tableColumn>
    <tableColumn id="9" xr3:uid="{D31E8141-E9EB-4AE4-9A2E-5B59A74AF13E}" name="TOTAL INVENTORY : " totalsRowFunction="custom" dataDxfId="31" totalsRowDxfId="30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0" totalsRowCount="1" headerRowDxfId="29">
  <autoFilter ref="B2:J9" xr:uid="{A0942573-3D2A-4612-9F97-D46E99284621}"/>
  <tableColumns count="9">
    <tableColumn id="1" xr3:uid="{1C67AC96-2C7A-4556-AFAD-259A3248D46F}" name="NAME" totalsRowLabel="TOTAL : " dataDxfId="28" totalsRowDxfId="27"/>
    <tableColumn id="2" xr3:uid="{DABB5C53-2CDF-41B3-9D0D-DB9341665E4D}" name="UNCHECKED" totalsRowFunction="custom" dataDxfId="26" totalsRowDxfId="25">
      <totalsRowFormula>SUM(TEMPLATE_REGULAR[UNCHECKED])</totalsRowFormula>
    </tableColumn>
    <tableColumn id="3" xr3:uid="{D4CB0E69-46DD-4A99-9CE4-2A42D692C4D7}" name="CHECKED" totalsRowFunction="custom" dataDxfId="24" totalsRowDxfId="23">
      <totalsRowFormula>SUM(TEMPLATE_REGULAR[CHECKED])</totalsRowFormula>
    </tableColumn>
    <tableColumn id="4" xr3:uid="{82D116FE-5845-4C69-9D87-C369D84B4BC0}" name="ON PROCESS" totalsRowFunction="custom" dataDxfId="22" totalsRowDxfId="21">
      <totalsRowFormula>SUM(TEMPLATE_REGULAR[ON PROCESS])</totalsRowFormula>
    </tableColumn>
    <tableColumn id="5" xr3:uid="{814FF9B6-6A0F-436B-8EEA-3028CDA5891C}" name="CHROME OS" totalsRowFunction="custom" dataDxfId="20" totalsRowDxfId="19">
      <totalsRowFormula>SUM(TEMPLATE_REGULAR[CHROME OS])</totalsRowFormula>
    </tableColumn>
    <tableColumn id="6" xr3:uid="{6CCD520B-C9ED-4C70-BBE0-636C8372FD39}" name="WINDOWS" totalsRowFunction="custom" dataDxfId="18" totalsRowDxfId="17">
      <totalsRowFormula>SUM(TEMPLATE_REGULAR[WINDOWS])</totalsRowFormula>
    </tableColumn>
    <tableColumn id="7" xr3:uid="{B0445342-6B9D-4F87-A291-1CC3BEB5A493}" name="TOTAL" totalsRowFunction="custom" dataDxfId="16" totalsRowDxfId="15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14" totalsRowDxfId="13">
      <totalsRowFormula>SUM(TEMPLATE_REGULAR[BACKJOB])</totalsRowFormula>
    </tableColumn>
    <tableColumn id="9" xr3:uid="{C9D37CF1-C98E-4D9E-9A35-229E5D0E639B}" name="TOTAL INVENTORY:" totalsRowFunction="custom" dataDxfId="12" totalsRowDxfId="11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sqref="A1:C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55</v>
      </c>
    </row>
    <row r="3" spans="1:3" x14ac:dyDescent="0.25">
      <c r="A3">
        <v>2</v>
      </c>
      <c r="B3" t="s">
        <v>47</v>
      </c>
    </row>
    <row r="4" spans="1:3" x14ac:dyDescent="0.25">
      <c r="A4">
        <v>3</v>
      </c>
      <c r="B4" t="s">
        <v>49</v>
      </c>
    </row>
    <row r="5" spans="1:3" x14ac:dyDescent="0.25">
      <c r="A5">
        <v>4</v>
      </c>
      <c r="B5" t="s">
        <v>56</v>
      </c>
    </row>
    <row r="6" spans="1:3" x14ac:dyDescent="0.25">
      <c r="A6">
        <v>5</v>
      </c>
      <c r="B6" t="s">
        <v>57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3AA8F9-1FD0-4440-A7BB-B5D31EA75665}">
  <sheetPr codeName="Sheet3"/>
  <dimension ref="A1:C9"/>
  <sheetViews>
    <sheetView workbookViewId="0">
      <selection sqref="A1:C9"/>
    </sheetView>
  </sheetViews>
  <sheetFormatPr defaultRowHeight="15" x14ac:dyDescent="0.25"/>
  <cols>
    <col min="1" max="1" width="5.140625" bestFit="1" customWidth="1"/>
    <col min="2" max="2" width="14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46</v>
      </c>
    </row>
    <row r="3" spans="1:3" x14ac:dyDescent="0.25">
      <c r="A3">
        <v>2</v>
      </c>
      <c r="B3" t="s">
        <v>52</v>
      </c>
    </row>
    <row r="4" spans="1:3" x14ac:dyDescent="0.25">
      <c r="A4">
        <v>3</v>
      </c>
      <c r="B4" t="s">
        <v>54</v>
      </c>
    </row>
    <row r="5" spans="1:3" x14ac:dyDescent="0.25">
      <c r="A5">
        <v>4</v>
      </c>
      <c r="B5" t="s">
        <v>58</v>
      </c>
    </row>
    <row r="6" spans="1:3" x14ac:dyDescent="0.25">
      <c r="A6">
        <v>5</v>
      </c>
      <c r="B6" t="s">
        <v>59</v>
      </c>
    </row>
    <row r="7" spans="1:3" x14ac:dyDescent="0.25">
      <c r="A7">
        <v>6</v>
      </c>
      <c r="B7" t="s">
        <v>60</v>
      </c>
    </row>
    <row r="8" spans="1:3" x14ac:dyDescent="0.25">
      <c r="A8">
        <v>7</v>
      </c>
      <c r="B8" t="s">
        <v>61</v>
      </c>
    </row>
    <row r="9" spans="1:3" x14ac:dyDescent="0.25">
      <c r="A9">
        <v>8</v>
      </c>
      <c r="B9" t="s">
        <v>62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240FA-5CEC-4644-A69B-CE5255E6A1DD}">
  <sheetPr codeName="Sheet7"/>
  <dimension ref="A1:C5"/>
  <sheetViews>
    <sheetView workbookViewId="0">
      <selection sqref="A1:C6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35.425781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7</v>
      </c>
      <c r="C2" t="s">
        <v>17</v>
      </c>
    </row>
    <row r="3" spans="1:3" x14ac:dyDescent="0.25">
      <c r="A3">
        <v>2</v>
      </c>
      <c r="B3" t="s">
        <v>18</v>
      </c>
      <c r="C3" t="s">
        <v>19</v>
      </c>
    </row>
    <row r="4" spans="1:3" x14ac:dyDescent="0.25">
      <c r="A4">
        <v>3</v>
      </c>
      <c r="B4" t="s">
        <v>20</v>
      </c>
      <c r="C4" t="s">
        <v>21</v>
      </c>
    </row>
    <row r="5" spans="1:3" x14ac:dyDescent="0.25">
      <c r="A5">
        <v>4</v>
      </c>
      <c r="B5" t="s">
        <v>73</v>
      </c>
      <c r="C5" t="s">
        <v>74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10"/>
  <sheetViews>
    <sheetView workbookViewId="0">
      <selection activeCell="A2" sqref="A2:G9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45</v>
      </c>
      <c r="G2" t="s">
        <v>5</v>
      </c>
      <c r="J2" t="e" cm="1">
        <f t="array" aca="1" ref="J2" ca="1">_xlfn._xlws.FILTER(_TBL_INVENTORY[NAME], _TBL_INVENTORY[VARIANT] = "14'")</f>
        <v>#NAME?</v>
      </c>
    </row>
    <row r="3" spans="1:10" x14ac:dyDescent="0.25">
      <c r="A3">
        <v>1</v>
      </c>
      <c r="B3" t="s">
        <v>6</v>
      </c>
      <c r="C3" t="s">
        <v>7</v>
      </c>
      <c r="D3" t="s">
        <v>8</v>
      </c>
      <c r="E3" t="s">
        <v>27</v>
      </c>
      <c r="F3" t="s">
        <v>46</v>
      </c>
      <c r="G3" t="s">
        <v>47</v>
      </c>
    </row>
    <row r="4" spans="1:10" x14ac:dyDescent="0.25">
      <c r="A4">
        <v>2</v>
      </c>
      <c r="B4" t="s">
        <v>48</v>
      </c>
      <c r="C4" t="s">
        <v>7</v>
      </c>
      <c r="D4" t="s">
        <v>8</v>
      </c>
      <c r="E4" t="s">
        <v>27</v>
      </c>
      <c r="F4" t="s">
        <v>46</v>
      </c>
      <c r="G4" t="s">
        <v>49</v>
      </c>
    </row>
    <row r="5" spans="1:10" x14ac:dyDescent="0.25">
      <c r="A5">
        <v>3</v>
      </c>
      <c r="B5" t="s">
        <v>50</v>
      </c>
      <c r="C5" t="s">
        <v>7</v>
      </c>
      <c r="D5" t="s">
        <v>9</v>
      </c>
      <c r="F5" t="s">
        <v>46</v>
      </c>
      <c r="G5" t="s">
        <v>47</v>
      </c>
    </row>
    <row r="6" spans="1:10" x14ac:dyDescent="0.25">
      <c r="A6">
        <v>4</v>
      </c>
      <c r="B6" t="s">
        <v>51</v>
      </c>
      <c r="C6" t="s">
        <v>7</v>
      </c>
      <c r="D6" t="s">
        <v>9</v>
      </c>
      <c r="F6" t="s">
        <v>52</v>
      </c>
      <c r="G6" t="s">
        <v>47</v>
      </c>
    </row>
    <row r="7" spans="1:10" x14ac:dyDescent="0.25">
      <c r="A7">
        <v>5</v>
      </c>
      <c r="B7" t="s">
        <v>13</v>
      </c>
      <c r="C7" t="s">
        <v>7</v>
      </c>
      <c r="D7" t="s">
        <v>8</v>
      </c>
      <c r="E7" t="s">
        <v>28</v>
      </c>
      <c r="F7" t="s">
        <v>46</v>
      </c>
      <c r="G7" t="s">
        <v>47</v>
      </c>
    </row>
    <row r="8" spans="1:10" x14ac:dyDescent="0.25">
      <c r="A8">
        <v>6</v>
      </c>
      <c r="B8" t="s">
        <v>53</v>
      </c>
      <c r="C8" t="s">
        <v>7</v>
      </c>
      <c r="D8" t="s">
        <v>9</v>
      </c>
      <c r="F8" t="s">
        <v>54</v>
      </c>
      <c r="G8" t="s">
        <v>47</v>
      </c>
    </row>
    <row r="9" spans="1:10" x14ac:dyDescent="0.25">
      <c r="B9" t="s">
        <v>68</v>
      </c>
      <c r="C9" t="s">
        <v>7</v>
      </c>
      <c r="D9" t="s">
        <v>8</v>
      </c>
      <c r="E9" t="s">
        <v>28</v>
      </c>
      <c r="F9" t="s">
        <v>46</v>
      </c>
      <c r="G9" t="s">
        <v>49</v>
      </c>
    </row>
    <row r="10" spans="1:10" x14ac:dyDescent="0.25">
      <c r="B10" s="28" t="s">
        <v>71</v>
      </c>
      <c r="C10" s="28" t="s">
        <v>7</v>
      </c>
      <c r="D10" s="28" t="s">
        <v>14</v>
      </c>
      <c r="E10" s="28" t="s">
        <v>72</v>
      </c>
      <c r="F10" s="28" t="s">
        <v>52</v>
      </c>
      <c r="G10" s="28" t="s">
        <v>47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sqref="A1:C6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14</v>
      </c>
    </row>
    <row r="3" spans="1:3" x14ac:dyDescent="0.25">
      <c r="A3">
        <v>2</v>
      </c>
      <c r="B3" t="s">
        <v>15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16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10</v>
      </c>
      <c r="B1" t="s">
        <v>32</v>
      </c>
      <c r="C1" t="s">
        <v>33</v>
      </c>
      <c r="D1" t="s">
        <v>1</v>
      </c>
      <c r="E1" t="s">
        <v>34</v>
      </c>
    </row>
    <row r="2" spans="1:5" x14ac:dyDescent="0.25">
      <c r="A2" s="10">
        <v>45766</v>
      </c>
      <c r="B2" s="10">
        <v>45766</v>
      </c>
      <c r="C2" s="10">
        <v>45766</v>
      </c>
      <c r="D2" t="s">
        <v>35</v>
      </c>
      <c r="E2">
        <v>1</v>
      </c>
    </row>
    <row r="3" spans="1:5" x14ac:dyDescent="0.25">
      <c r="A3" s="10">
        <v>45766</v>
      </c>
      <c r="B3" s="10">
        <v>45765</v>
      </c>
      <c r="C3" s="10">
        <v>45765</v>
      </c>
      <c r="D3" t="s">
        <v>36</v>
      </c>
      <c r="E3">
        <v>1</v>
      </c>
    </row>
    <row r="4" spans="1:5" x14ac:dyDescent="0.25">
      <c r="A4" s="10">
        <v>45766</v>
      </c>
      <c r="B4" s="10">
        <v>45760</v>
      </c>
      <c r="C4" s="10">
        <v>45766</v>
      </c>
      <c r="D4" t="s">
        <v>37</v>
      </c>
      <c r="E4">
        <v>7</v>
      </c>
    </row>
    <row r="5" spans="1:5" x14ac:dyDescent="0.25">
      <c r="A5" s="10">
        <v>45766</v>
      </c>
      <c r="B5" s="10">
        <v>45753</v>
      </c>
      <c r="C5" s="10">
        <v>45759</v>
      </c>
      <c r="D5" t="s">
        <v>38</v>
      </c>
      <c r="E5">
        <v>7</v>
      </c>
    </row>
    <row r="6" spans="1:5" x14ac:dyDescent="0.25">
      <c r="A6" s="10">
        <v>45766</v>
      </c>
      <c r="B6" s="10">
        <v>45748</v>
      </c>
      <c r="C6" s="10">
        <v>45777</v>
      </c>
      <c r="D6" t="s">
        <v>39</v>
      </c>
      <c r="E6">
        <v>30</v>
      </c>
    </row>
    <row r="7" spans="1:5" x14ac:dyDescent="0.25">
      <c r="A7" s="10">
        <v>45766</v>
      </c>
      <c r="B7" s="10">
        <v>45717</v>
      </c>
      <c r="C7" s="10">
        <v>45747</v>
      </c>
      <c r="D7" t="s">
        <v>40</v>
      </c>
      <c r="E7">
        <v>31</v>
      </c>
    </row>
    <row r="8" spans="1:5" x14ac:dyDescent="0.25">
      <c r="A8" s="10">
        <v>45766</v>
      </c>
      <c r="B8" s="10">
        <v>45658</v>
      </c>
      <c r="C8" s="10">
        <v>46022</v>
      </c>
      <c r="D8" t="s">
        <v>41</v>
      </c>
      <c r="E8">
        <v>365</v>
      </c>
    </row>
    <row r="9" spans="1:5" x14ac:dyDescent="0.25">
      <c r="A9" s="10">
        <v>45766</v>
      </c>
      <c r="B9" s="10"/>
      <c r="C9" s="10"/>
      <c r="D9" t="s">
        <v>42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3"/>
  <sheetViews>
    <sheetView tabSelected="1" workbookViewId="0">
      <selection activeCell="H3" sqref="H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29</v>
      </c>
      <c r="D1" s="29"/>
      <c r="E1" s="29"/>
    </row>
    <row r="2" spans="2:9" ht="15.75" thickBot="1" x14ac:dyDescent="0.3">
      <c r="B2" s="1" t="s">
        <v>10</v>
      </c>
      <c r="C2" s="1" t="s">
        <v>11</v>
      </c>
      <c r="D2" s="1" t="s">
        <v>23</v>
      </c>
      <c r="E2" s="1" t="s">
        <v>24</v>
      </c>
      <c r="F2" s="1" t="s">
        <v>22</v>
      </c>
      <c r="G2" s="1" t="s">
        <v>12</v>
      </c>
      <c r="H2" s="1" t="s">
        <v>25</v>
      </c>
      <c r="I2" s="1" t="s">
        <v>26</v>
      </c>
    </row>
    <row r="3" spans="2:9" x14ac:dyDescent="0.25">
      <c r="B3" s="3"/>
      <c r="C3" s="13"/>
      <c r="D3" s="14"/>
      <c r="E3" s="15"/>
      <c r="F3" s="5" t="str">
        <f>IF(_TBL_LAPTOP_INVENTORY[[#This Row],[IN]]+_TBL_LAPTOP_INVENTORY[[#This Row],[OUT]]&lt;&gt; 0, _TBL_LAPTOP_INVENTORY[[#This Row],[IN]]+_TBL_LAPTOP_INVENTORY[[#This Row],[OUT]], "")</f>
        <v/>
      </c>
      <c r="G3" s="2"/>
      <c r="H3" s="22"/>
      <c r="I3" s="23"/>
    </row>
    <row r="4" spans="2:9" x14ac:dyDescent="0.25">
      <c r="B4" s="3"/>
      <c r="C4" s="16"/>
      <c r="D4" s="17"/>
      <c r="E4" s="18"/>
      <c r="F4" s="5" t="str">
        <f>IF(_TBL_LAPTOP_INVENTORY[[#This Row],[IN]]+_TBL_LAPTOP_INVENTORY[[#This Row],[OUT]]&lt;&gt; 0, _TBL_LAPTOP_INVENTORY[[#This Row],[IN]]+_TBL_LAPTOP_INVENTORY[[#This Row],[OUT]], "")</f>
        <v/>
      </c>
      <c r="G4" s="2"/>
      <c r="H4" s="24"/>
      <c r="I4" s="25"/>
    </row>
    <row r="5" spans="2:9" x14ac:dyDescent="0.25">
      <c r="B5" s="3"/>
      <c r="C5" s="16"/>
      <c r="D5" s="17"/>
      <c r="E5" s="18"/>
      <c r="F5" s="5" t="str">
        <f>IF(_TBL_LAPTOP_INVENTORY[[#This Row],[IN]]+_TBL_LAPTOP_INVENTORY[[#This Row],[OUT]]&lt;&gt; 0, _TBL_LAPTOP_INVENTORY[[#This Row],[IN]]+_TBL_LAPTOP_INVENTORY[[#This Row],[OUT]], "")</f>
        <v/>
      </c>
      <c r="G5" s="2"/>
      <c r="H5" s="24"/>
      <c r="I5" s="25"/>
    </row>
    <row r="6" spans="2:9" x14ac:dyDescent="0.25">
      <c r="B6" s="3"/>
      <c r="C6" s="16"/>
      <c r="D6" s="17"/>
      <c r="E6" s="18"/>
      <c r="F6" s="5" t="str">
        <f>IF(_TBL_LAPTOP_INVENTORY[[#This Row],[IN]]+_TBL_LAPTOP_INVENTORY[[#This Row],[OUT]]&lt;&gt; 0, _TBL_LAPTOP_INVENTORY[[#This Row],[IN]]+_TBL_LAPTOP_INVENTORY[[#This Row],[OUT]], "")</f>
        <v/>
      </c>
      <c r="G6" s="2"/>
      <c r="H6" s="24"/>
      <c r="I6" s="25"/>
    </row>
    <row r="7" spans="2:9" x14ac:dyDescent="0.25">
      <c r="B7" s="3"/>
      <c r="C7" s="16"/>
      <c r="D7" s="17"/>
      <c r="E7" s="18"/>
      <c r="F7" s="5" t="str">
        <f>IF(_TBL_LAPTOP_INVENTORY[[#This Row],[IN]]+_TBL_LAPTOP_INVENTORY[[#This Row],[OUT]]&lt;&gt; 0, _TBL_LAPTOP_INVENTORY[[#This Row],[IN]]+_TBL_LAPTOP_INVENTORY[[#This Row],[OUT]], "")</f>
        <v/>
      </c>
      <c r="G7" s="2"/>
      <c r="H7" s="24"/>
      <c r="I7" s="25"/>
    </row>
    <row r="8" spans="2:9" x14ac:dyDescent="0.25">
      <c r="B8" s="3"/>
      <c r="C8" s="16"/>
      <c r="D8" s="17"/>
      <c r="E8" s="18"/>
      <c r="F8" s="5" t="str">
        <f>IF(_TBL_LAPTOP_INVENTORY[[#This Row],[IN]]+_TBL_LAPTOP_INVENTORY[[#This Row],[OUT]]&lt;&gt; 0, _TBL_LAPTOP_INVENTORY[[#This Row],[IN]]+_TBL_LAPTOP_INVENTORY[[#This Row],[OUT]], "")</f>
        <v/>
      </c>
      <c r="G8" s="2"/>
      <c r="H8" s="24"/>
      <c r="I8" s="25"/>
    </row>
    <row r="9" spans="2:9" x14ac:dyDescent="0.25">
      <c r="B9" s="3"/>
      <c r="C9" s="16"/>
      <c r="D9" s="17"/>
      <c r="E9" s="18"/>
      <c r="F9" s="5" t="str">
        <f>IF(_TBL_LAPTOP_INVENTORY[[#This Row],[IN]]+_TBL_LAPTOP_INVENTORY[[#This Row],[OUT]]&lt;&gt; 0, _TBL_LAPTOP_INVENTORY[[#This Row],[IN]]+_TBL_LAPTOP_INVENTORY[[#This Row],[OUT]], "")</f>
        <v/>
      </c>
      <c r="G9" s="2"/>
      <c r="H9" s="24"/>
      <c r="I9" s="25"/>
    </row>
    <row r="10" spans="2:9" x14ac:dyDescent="0.25">
      <c r="B10" s="3"/>
      <c r="C10" s="16"/>
      <c r="D10" s="17"/>
      <c r="E10" s="18"/>
      <c r="F10" s="5" t="str">
        <f>IF(_TBL_LAPTOP_INVENTORY[[#This Row],[IN]]+_TBL_LAPTOP_INVENTORY[[#This Row],[OUT]]&lt;&gt; 0, _TBL_LAPTOP_INVENTORY[[#This Row],[IN]]+_TBL_LAPTOP_INVENTORY[[#This Row],[OUT]], "")</f>
        <v/>
      </c>
      <c r="G10" s="2"/>
      <c r="H10" s="24"/>
      <c r="I10" s="25"/>
    </row>
    <row r="11" spans="2:9" ht="15.75" thickBot="1" x14ac:dyDescent="0.3">
      <c r="C11" s="19"/>
      <c r="D11" s="20"/>
      <c r="E11" s="21"/>
      <c r="F11" s="5" t="str">
        <f>IF(_TBL_LAPTOP_INVENTORY[[#This Row],[IN]]+_TBL_LAPTOP_INVENTORY[[#This Row],[OUT]]&lt;&gt; 0, _TBL_LAPTOP_INVENTORY[[#This Row],[IN]]+_TBL_LAPTOP_INVENTORY[[#This Row],[OUT]], "")</f>
        <v/>
      </c>
      <c r="G11" s="2"/>
      <c r="H11" s="26"/>
      <c r="I11" s="27"/>
    </row>
    <row r="12" spans="2:9" x14ac:dyDescent="0.25">
      <c r="B12" s="1" t="str">
        <f>_xlfn.CONCAT("COUNT: ", SUBTOTAL(103,_TBL_LAPTOP_INVENTORY[DATE]))</f>
        <v>COUNT: 0</v>
      </c>
      <c r="C12" s="7" t="s">
        <v>30</v>
      </c>
      <c r="D12" s="6">
        <f>SUBTOTAL(109,_TBL_LAPTOP_INVENTORY[IN])</f>
        <v>0</v>
      </c>
      <c r="E12" s="6">
        <f>SUBTOTAL(109,_TBL_LAPTOP_INVENTORY[OUT])</f>
        <v>0</v>
      </c>
      <c r="F12" s="6">
        <f>SUBTOTAL(109,_TBL_LAPTOP_INVENTORY[TOTAL])</f>
        <v>0</v>
      </c>
      <c r="G12" s="6">
        <f>SUBTOTAL(109,_TBL_LAPTOP_INVENTORY[BACKJOB])</f>
        <v>0</v>
      </c>
      <c r="H12" s="2"/>
      <c r="I12" s="4"/>
    </row>
    <row r="13" spans="2:9" x14ac:dyDescent="0.25">
      <c r="C13" s="8" t="s">
        <v>31</v>
      </c>
      <c r="D13" s="9">
        <f>SUM(_TBL_LAPTOP_INVENTORY[IN])</f>
        <v>0</v>
      </c>
      <c r="E13" s="9">
        <f>SUM(_TBL_LAPTOP_INVENTORY[OUT])</f>
        <v>0</v>
      </c>
      <c r="F13" s="9">
        <f>SUM(_TBL_LAPTOP_INVENTORY[TOTAL])</f>
        <v>0</v>
      </c>
      <c r="G13" s="9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27"/>
  <sheetViews>
    <sheetView workbookViewId="0">
      <selection activeCell="B14" sqref="B14"/>
    </sheetView>
  </sheetViews>
  <sheetFormatPr defaultRowHeight="15" x14ac:dyDescent="0.25"/>
  <cols>
    <col min="1" max="1" width="8.85546875" customWidth="1"/>
    <col min="2" max="2" width="29.28515625" style="12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2" bestFit="1" customWidth="1"/>
    <col min="9" max="9" width="18.7109375" customWidth="1"/>
    <col min="10" max="10" width="21.42578125" style="12" bestFit="1" customWidth="1"/>
  </cols>
  <sheetData>
    <row r="1" spans="2:10" x14ac:dyDescent="0.25">
      <c r="C1" s="30" t="s">
        <v>46</v>
      </c>
      <c r="D1" s="30"/>
      <c r="E1" s="30"/>
    </row>
    <row r="2" spans="2:10" ht="14.25" customHeight="1" x14ac:dyDescent="0.25">
      <c r="B2" s="12" t="s">
        <v>1</v>
      </c>
      <c r="C2" s="12" t="s">
        <v>43</v>
      </c>
      <c r="D2" s="12" t="s">
        <v>63</v>
      </c>
      <c r="E2" s="12" t="s">
        <v>66</v>
      </c>
      <c r="F2" s="12" t="s">
        <v>44</v>
      </c>
      <c r="G2" s="12" t="s">
        <v>64</v>
      </c>
      <c r="H2" s="12" t="s">
        <v>22</v>
      </c>
      <c r="I2" s="12" t="s">
        <v>12</v>
      </c>
      <c r="J2" s="12" t="s">
        <v>70</v>
      </c>
    </row>
    <row r="3" spans="2:10" ht="14.25" customHeight="1" x14ac:dyDescent="0.25">
      <c r="B3" s="12" t="s">
        <v>6</v>
      </c>
      <c r="C3" s="11"/>
      <c r="D3" s="11"/>
      <c r="E3" s="11"/>
      <c r="F3" s="11"/>
      <c r="G3" s="11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1"/>
      <c r="J3" s="9">
        <f>IFERROR(TEMPLATE_REGULAR[[#This Row],[TOTAL]] + TEMPLATE_REGULAR[[#This Row],[BACKJOB]], "")</f>
        <v>0</v>
      </c>
    </row>
    <row r="4" spans="2:10" ht="14.25" customHeight="1" x14ac:dyDescent="0.25">
      <c r="B4" s="12" t="s">
        <v>48</v>
      </c>
      <c r="C4" s="11"/>
      <c r="D4" s="11"/>
      <c r="E4" s="11"/>
      <c r="F4" s="11"/>
      <c r="G4" s="11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1"/>
      <c r="J4" s="9">
        <f>IFERROR(TEMPLATE_REGULAR[[#This Row],[TOTAL]] + TEMPLATE_REGULAR[[#This Row],[BACKJOB]], "")</f>
        <v>0</v>
      </c>
    </row>
    <row r="5" spans="2:10" x14ac:dyDescent="0.25">
      <c r="B5" s="12" t="s">
        <v>50</v>
      </c>
      <c r="C5" s="11"/>
      <c r="D5" s="11"/>
      <c r="E5" s="11"/>
      <c r="F5" s="11"/>
      <c r="G5" s="11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1"/>
      <c r="J5" s="9">
        <f>IFERROR(TEMPLATE_REGULAR[[#This Row],[TOTAL]] + TEMPLATE_REGULAR[[#This Row],[BACKJOB]], "")</f>
        <v>0</v>
      </c>
    </row>
    <row r="6" spans="2:10" x14ac:dyDescent="0.25">
      <c r="B6" s="12" t="s">
        <v>13</v>
      </c>
      <c r="C6" s="11"/>
      <c r="D6" s="11"/>
      <c r="E6" s="11"/>
      <c r="F6" s="11"/>
      <c r="G6" s="11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1"/>
      <c r="J6" s="9">
        <f>IFERROR(TEMPLATE_REGULAR[[#This Row],[TOTAL]] + TEMPLATE_REGULAR[[#This Row],[BACKJOB]], "")</f>
        <v>0</v>
      </c>
    </row>
    <row r="7" spans="2:10" x14ac:dyDescent="0.25">
      <c r="B7" s="12" t="s">
        <v>68</v>
      </c>
      <c r="C7" s="11"/>
      <c r="D7" s="11"/>
      <c r="E7" s="11"/>
      <c r="F7" s="11"/>
      <c r="G7" s="11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1"/>
      <c r="J7" s="9">
        <f>IFERROR(TEMPLATE_REGULAR[[#This Row],[TOTAL]] + TEMPLATE_REGULAR[[#This Row],[BACKJOB]], "")</f>
        <v>0</v>
      </c>
    </row>
    <row r="8" spans="2:10" x14ac:dyDescent="0.25">
      <c r="C8" s="11"/>
      <c r="D8" s="11"/>
      <c r="E8" s="11"/>
      <c r="F8" s="11"/>
      <c r="G8" s="11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1"/>
      <c r="J8" s="9">
        <f>IFERROR(TEMPLATE_REGULAR[[#This Row],[TOTAL]] + TEMPLATE_REGULAR[[#This Row],[BACKJOB]], "")</f>
        <v>0</v>
      </c>
    </row>
    <row r="9" spans="2:10" x14ac:dyDescent="0.25">
      <c r="C9" s="11"/>
      <c r="D9" s="11"/>
      <c r="E9" s="11"/>
      <c r="F9" s="11"/>
      <c r="G9" s="11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1"/>
      <c r="J9" s="9">
        <f>IFERROR(TEMPLATE_REGULAR[[#This Row],[TOTAL]] + TEMPLATE_REGULAR[[#This Row],[BACKJOB]], "")</f>
        <v>0</v>
      </c>
    </row>
    <row r="10" spans="2:10" x14ac:dyDescent="0.25">
      <c r="B10" s="12" t="s">
        <v>65</v>
      </c>
      <c r="C10" s="9">
        <f>SUM(TEMPLATE_REGULAR[UNCHECKED])</f>
        <v>0</v>
      </c>
      <c r="D10" s="9">
        <f>SUM(TEMPLATE_REGULAR[CHECKED])</f>
        <v>0</v>
      </c>
      <c r="E10" s="9">
        <f>SUM(TEMPLATE_REGULAR[ON PROCESS])</f>
        <v>0</v>
      </c>
      <c r="F10" s="9">
        <f>SUM(TEMPLATE_REGULAR[CHROME OS])</f>
        <v>0</v>
      </c>
      <c r="G10" s="9">
        <f>SUM(TEMPLATE_REGULAR[WINDOWS])</f>
        <v>0</v>
      </c>
      <c r="H10" s="9">
        <f>SUM(TEMPLATE_REGULAR[TOTAL])</f>
        <v>0</v>
      </c>
      <c r="I10" s="9">
        <f>SUM(TEMPLATE_REGULAR[BACKJOB])</f>
        <v>0</v>
      </c>
      <c r="J10" s="9">
        <f>SUM(TEMPLATE_REGULAR[TOTAL INVENTORY:])</f>
        <v>0</v>
      </c>
    </row>
    <row r="12" spans="2:10" x14ac:dyDescent="0.25">
      <c r="C12" s="30" t="s">
        <v>52</v>
      </c>
      <c r="D12" s="30"/>
      <c r="E12" s="30"/>
    </row>
    <row r="13" spans="2:10" x14ac:dyDescent="0.25">
      <c r="B13" s="12" t="s">
        <v>1</v>
      </c>
      <c r="C13" t="s">
        <v>43</v>
      </c>
      <c r="D13" t="s">
        <v>63</v>
      </c>
      <c r="E13" t="s">
        <v>66</v>
      </c>
      <c r="F13" t="s">
        <v>44</v>
      </c>
      <c r="G13" t="s">
        <v>64</v>
      </c>
      <c r="H13" s="12" t="s">
        <v>65</v>
      </c>
      <c r="I13" t="s">
        <v>12</v>
      </c>
      <c r="J13" s="12" t="s">
        <v>67</v>
      </c>
    </row>
    <row r="14" spans="2:10" x14ac:dyDescent="0.25">
      <c r="B14" s="12" t="e" cm="1">
        <f t="array" aca="1" ref="B14" ca="1">_xlfn._xlws.FILTER(_TBL_INVENTORY[NAME], _TBL_INVENTORY[VARIANT] = "TOUCHSCREEN")</f>
        <v>#NAME?</v>
      </c>
      <c r="H14" s="12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4" s="12">
        <f>IFERROR(TEMPLATE_TOUCHSCREEN[[#This Row],[TOTAL : ]] + TEMPLATE_TOUCHSCREEN[[#This Row],[BACKJOB]], "")</f>
        <v>0</v>
      </c>
    </row>
    <row r="15" spans="2:10" x14ac:dyDescent="0.25">
      <c r="H15" s="12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5" s="12">
        <f>IFERROR(TEMPLATE_TOUCHSCREEN[[#This Row],[TOTAL : ]] + TEMPLATE_TOUCHSCREEN[[#This Row],[BACKJOB]], "")</f>
        <v>0</v>
      </c>
    </row>
    <row r="16" spans="2:10" x14ac:dyDescent="0.25">
      <c r="B16" s="12" t="s">
        <v>65</v>
      </c>
      <c r="C16" s="11">
        <f>SUBTOTAL(109, TEMPLATE_TOUCHSCREEN[UNCHECKED])</f>
        <v>0</v>
      </c>
      <c r="D16" s="11">
        <f>SUBTOTAL(109, TEMPLATE_TOUCHSCREEN[CHECKED])</f>
        <v>0</v>
      </c>
      <c r="E16" s="11">
        <f>SUBTOTAL(109, TEMPLATE_TOUCHSCREEN[ON PROCESS])</f>
        <v>0</v>
      </c>
      <c r="F16" s="11">
        <f>SUBTOTAL(109, TEMPLATE_TOUCHSCREEN[CHROME OS])</f>
        <v>0</v>
      </c>
      <c r="G16" s="11">
        <f>SUBTOTAL(109, TEMPLATE_TOUCHSCREEN[WINDOWS])</f>
        <v>0</v>
      </c>
      <c r="H16" s="9">
        <f>SUBTOTAL(109, TEMPLATE_TOUCHSCREEN[TOTAL : ])</f>
        <v>0</v>
      </c>
      <c r="I16" s="11">
        <f>SUBTOTAL(109, TEMPLATE_TOUCHSCREEN[BACKJOB])</f>
        <v>0</v>
      </c>
      <c r="J16" s="9">
        <f>SUBTOTAL(109, TEMPLATE_TOUCHSCREEN[TOTAL INVENTORY : ])</f>
        <v>0</v>
      </c>
    </row>
    <row r="17" spans="2:10" x14ac:dyDescent="0.25">
      <c r="C17" s="11"/>
      <c r="D17" s="11"/>
      <c r="E17" s="11"/>
      <c r="F17" s="11"/>
      <c r="G17" s="11"/>
      <c r="H17" s="9"/>
      <c r="I17" s="11"/>
      <c r="J17" s="9"/>
    </row>
    <row r="18" spans="2:10" x14ac:dyDescent="0.25">
      <c r="C18" s="30" t="s">
        <v>69</v>
      </c>
      <c r="D18" s="30"/>
      <c r="E18" s="30"/>
    </row>
    <row r="19" spans="2:10" x14ac:dyDescent="0.25">
      <c r="B19" s="12" t="s">
        <v>1</v>
      </c>
      <c r="C19" t="s">
        <v>43</v>
      </c>
      <c r="D19" t="s">
        <v>63</v>
      </c>
      <c r="E19" t="s">
        <v>66</v>
      </c>
      <c r="F19" t="s">
        <v>44</v>
      </c>
      <c r="G19" t="s">
        <v>64</v>
      </c>
      <c r="H19" s="12" t="s">
        <v>65</v>
      </c>
      <c r="I19" t="s">
        <v>12</v>
      </c>
      <c r="J19" s="12" t="s">
        <v>67</v>
      </c>
    </row>
    <row r="20" spans="2:10" x14ac:dyDescent="0.25">
      <c r="B20" s="12" t="e" cm="1">
        <f t="array" aca="1" ref="B20" ca="1">_xlfn._xlws.FILTER(_TBL_INVENTORY[NAME], _TBL_INVENTORY[VARIANT] = "14'")</f>
        <v>#NAME?</v>
      </c>
      <c r="H20" s="12">
        <f>SUM(TEMPLATE_14_INCH[[#This Row],[UNCHECKED]],TEMPLATE_14_INCH[[#This Row],[CHECKED]],TEMPLATE_14_INCH[[#This Row],[ON PROCESS]],TEMPLATE_14_INCH[[#This Row],[CHROME OS]],TEMPLATE_14_INCH[[#This Row],[WINDOWS]])</f>
        <v>0</v>
      </c>
      <c r="J20" s="12">
        <f>IFERROR(TEMPLATE_14_INCH[[#This Row],[TOTAL : ]] + TEMPLATE_14_INCH[[#This Row],[BACKJOB]], "")</f>
        <v>0</v>
      </c>
    </row>
    <row r="21" spans="2:10" x14ac:dyDescent="0.25">
      <c r="H21" s="12">
        <f>SUM(TEMPLATE_14_INCH[[#This Row],[UNCHECKED]],TEMPLATE_14_INCH[[#This Row],[CHECKED]],TEMPLATE_14_INCH[[#This Row],[ON PROCESS]],TEMPLATE_14_INCH[[#This Row],[CHROME OS]],TEMPLATE_14_INCH[[#This Row],[WINDOWS]])</f>
        <v>0</v>
      </c>
      <c r="J21" s="12">
        <f>IFERROR(TEMPLATE_14_INCH[[#This Row],[TOTAL : ]] + TEMPLATE_14_INCH[[#This Row],[BACKJOB]], "")</f>
        <v>0</v>
      </c>
    </row>
    <row r="22" spans="2:10" x14ac:dyDescent="0.25">
      <c r="B22" s="12" t="s">
        <v>65</v>
      </c>
      <c r="C22" s="11">
        <f>SUBTOTAL(109, TEMPLATE_14_INCH[UNCHECKED])</f>
        <v>0</v>
      </c>
      <c r="D22" s="11">
        <f>SUBTOTAL(109, TEMPLATE_14_INCH[CHECKED])</f>
        <v>0</v>
      </c>
      <c r="E22" s="11">
        <f>SUBTOTAL(109, TEMPLATE_14_INCH[ON PROCESS])</f>
        <v>0</v>
      </c>
      <c r="F22" s="11">
        <f>SUBTOTAL(109, TEMPLATE_14_INCH[CHROME OS])</f>
        <v>0</v>
      </c>
      <c r="G22" s="11">
        <f>SUBTOTAL(109, TEMPLATE_14_INCH[WINDOWS])</f>
        <v>0</v>
      </c>
      <c r="H22" s="9">
        <f>SUBTOTAL(109, TEMPLATE_14_INCH[TOTAL : ])</f>
        <v>0</v>
      </c>
      <c r="I22" s="11">
        <f>SUBTOTAL(109, TEMPLATE_14_INCH[BACKJOB])</f>
        <v>0</v>
      </c>
      <c r="J22" s="9">
        <f>SUBTOTAL(109, TEMPLATE_14_INCH[TOTAL INVENTORY : ])</f>
        <v>0</v>
      </c>
    </row>
    <row r="24" spans="2:10" x14ac:dyDescent="0.25">
      <c r="C24" s="11"/>
      <c r="D24" s="11"/>
      <c r="E24" s="11"/>
      <c r="F24" s="11"/>
      <c r="G24" s="11"/>
      <c r="H24" s="9"/>
      <c r="I24" s="11"/>
      <c r="J24" s="9" t="str">
        <f>IFERROR(TEMPLATE_14_INCH[[#This Row],[TOTAL : ]]+TEMPLATE_14_INCH[[#This Row],[BACKJOB]], "")</f>
        <v/>
      </c>
    </row>
    <row r="25" spans="2:10" x14ac:dyDescent="0.25">
      <c r="C25" s="11"/>
      <c r="D25" s="11"/>
      <c r="E25" s="11"/>
      <c r="F25" s="11"/>
      <c r="G25" s="11"/>
      <c r="H25" s="9"/>
      <c r="I25" s="11"/>
      <c r="J25" s="9" t="str">
        <f>IFERROR(TEMPLATE_14_INCH[[#This Row],[TOTAL : ]]+TEMPLATE_14_INCH[[#This Row],[BACKJOB]], "")</f>
        <v/>
      </c>
    </row>
    <row r="26" spans="2:10" x14ac:dyDescent="0.25">
      <c r="C26" s="11"/>
      <c r="D26" s="11"/>
      <c r="E26" s="11"/>
      <c r="F26" s="11"/>
      <c r="G26" s="11"/>
      <c r="H26" s="9"/>
      <c r="I26" s="11"/>
      <c r="J26" s="9" t="str">
        <f>IFERROR(TEMPLATE_14_INCH[[#This Row],[TOTAL : ]]+TEMPLATE_14_INCH[[#This Row],[BACKJOB]], "")</f>
        <v/>
      </c>
    </row>
    <row r="27" spans="2:10" x14ac:dyDescent="0.25">
      <c r="C27" s="11"/>
      <c r="D27" s="11"/>
      <c r="E27" s="11"/>
      <c r="F27" s="11"/>
      <c r="G27" s="11"/>
      <c r="H27" s="9"/>
      <c r="I27" s="11"/>
      <c r="J27" s="9"/>
    </row>
  </sheetData>
  <mergeCells count="3">
    <mergeCell ref="C1:E1"/>
    <mergeCell ref="C12:E12"/>
    <mergeCell ref="C18:E18"/>
  </mergeCells>
  <phoneticPr fontId="3" type="noConversion"/>
  <pageMargins left="0.7" right="0.7" top="0.75" bottom="0.75" header="0.3" footer="0.3"/>
  <tableParts count="3">
    <tablePart r:id="rId1"/>
    <tablePart r:id="rId2"/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_TBL_SPECS</vt:lpstr>
      <vt:lpstr>_TBL_VARIANT</vt:lpstr>
      <vt:lpstr>_TBL_INVENTORY_TYPE</vt:lpstr>
      <vt:lpstr>_TBL_INVENTORY</vt:lpstr>
      <vt:lpstr>_TBL_BRAND</vt:lpstr>
      <vt:lpstr>_TBL_DATES</vt:lpstr>
      <vt:lpstr>INVENTORY</vt:lpstr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2025-04-19T04:22:57Z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