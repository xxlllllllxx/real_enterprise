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0A199268-EBFA-4BCF-9135-0C984EA7C5A4}" xr6:coauthVersionLast="36" xr6:coauthVersionMax="47" xr10:uidLastSave="{00000000-0000-0000-0000-000000000000}"/>
  <bookViews>
    <workbookView xWindow="-120" yWindow="-120" windowWidth="29040" windowHeight="15720" firstSheet="7" activeTab="8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_TBL_PRODUCT" sheetId="9" state="hidden" r:id="rId6"/>
    <sheet name="_TBL_INVENTORY_CATALOG" sheetId="8" state="hidden" r:id="rId7"/>
    <sheet name="_TBL_EMPLOYEES" sheetId="10" r:id="rId8"/>
    <sheet name="SALES" sheetId="2" r:id="rId9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1" localSheetId="4" hidden="1">_TBL_DATES!$A$1:$E$9</definedName>
    <definedName name="ExternalData_1" localSheetId="7" hidden="1">_TBL_EMPLOYEES!$A$1:$Q$2</definedName>
    <definedName name="ExternalData_1" localSheetId="6" hidden="1">_TBL_INVENTORY_CATALOG!$A$1:$B$2</definedName>
    <definedName name="ExternalData_2" localSheetId="2" hidden="1">_TBL_INVENTORY!$A$1:$G$9</definedName>
    <definedName name="ExternalData_2" localSheetId="5" hidden="1">_TBL_PRODUCT!$A$2:$D$3</definedName>
    <definedName name="ExternalData_3" localSheetId="1" hidden="1">_TBL_INVENTORY_TYPE!$A$1:$D$7</definedName>
    <definedName name="ExternalData_4" localSheetId="0" hidden="1">_TBL_SPECS!$A$1:$C$11</definedName>
    <definedName name="NAMES_EMPLOYEES">_TBL_EMPLOYEES[EMPLOYEE NAME]</definedName>
    <definedName name="NAMES_INVENTORY">OFFSET(_TBL_INVENTORY[NAME], 0, 0, COUNTA(_TBL_INVENTORY[NAME]), 1)</definedName>
    <definedName name="NAMES_PRODUCT">_TBL_PRODUCT[PRODUCT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D3" i="2" l="1"/>
  <c r="F3" i="2" s="1"/>
  <c r="D4" i="2"/>
  <c r="F4" i="2" s="1"/>
  <c r="D5" i="2"/>
  <c r="F5" i="2" s="1"/>
  <c r="D6" i="2"/>
  <c r="F6" i="2" s="1"/>
  <c r="D7" i="2"/>
  <c r="F7" i="2" s="1"/>
  <c r="D8" i="2"/>
  <c r="F8" i="2" s="1"/>
  <c r="D9" i="2"/>
  <c r="F9" i="2" s="1"/>
  <c r="D10" i="2"/>
  <c r="F10" i="2" s="1"/>
  <c r="D11" i="2"/>
  <c r="F11" i="2" s="1"/>
  <c r="B12" i="2"/>
  <c r="F12" i="2" l="1"/>
  <c r="F13" i="2"/>
  <c r="E12" i="2"/>
  <c r="D12" i="2"/>
  <c r="E13" i="2"/>
  <c r="D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AB86701A-8470-47D1-B3D1-E45473BC1C0E}" keepAlive="1" name="Query - _TBL_INVENTORY_CATALOG" description="Connection to the '_TBL_INVENTORY_CATALOG' query in the workbook." type="5" refreshedVersion="6" background="1" saveData="1">
    <dbPr connection="Provider=Microsoft.Mashup.OleDb.1;Data Source=$Workbook$;Location=_TBL_INVENTORY_CATALOG;Extended Properties=&quot;&quot;" command="SELECT * FROM [_TBL_INVENTORY_CATALOG]"/>
  </connection>
  <connection id="6" xr16:uid="{BEB28E94-6F5F-44E4-8913-DDE28149B3D8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7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8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10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<sst xmlns="http://schemas.openxmlformats.org/spreadsheetml/2006/main" count="134" uniqueCount="89">
  <si>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</si>
  <si>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</si>
  <si>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</si>
  <si>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</si>
  <si>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</si>
  <si>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</si>
  <si>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</si>
  <si>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</si>
  <si>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</si>
  <si>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</si>
  <si>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</si>
  <si>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</si>
  <si>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</si>
  <si>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</si>
  <si>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</si>
  <si>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</si>
  <si>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</si>
  <si>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</si>
  <si>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</si>
  <si>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</si>
  <si>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</si>
  <si>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</si>
  <si>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</si>
  <si>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</si>
  <si>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</si>
  <si>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</si>
  <si>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</si>
  <si>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REMARKS</t>
  </si>
  <si>
    <t>BOX ID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</si>
  <si>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</si>
  <si>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</si>
  <si>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</si>
  <si>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</si>
  <si>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</si>
  <si>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</si>
  <si>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</si>
  <si>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</si>
  <si>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</si>
  <si>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</si>
  <si>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</si>
  <si>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</si>
  <si>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</si>
  <si>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</si>
  <si>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</si>
  <si>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SALES REPORT</t>
  </si>
  <si>
    <t>PRODUCT SET</t>
  </si>
  <si>
    <t>PRODUCT ID</t>
  </si>
  <si>
    <t>INVENTORY ID</t>
  </si>
  <si>
    <t>PRODUCT NAME</t>
  </si>
  <si>
    <t>DEFAULT PRICE</t>
  </si>
  <si>
    <t>DETAILS</t>
  </si>
  <si>
    <t>PRICE DEFAULT</t>
  </si>
  <si>
    <t>PRICE SOLD</t>
  </si>
  <si>
    <t>RECEIPT ID</t>
  </si>
  <si>
    <t>SELLER NAME</t>
  </si>
  <si>
    <t>DIFF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</si>
  <si>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</si>
  <si>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</si>
  <si>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</si>
  <si>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</si>
  <si>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</si>
  <si>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</si>
  <si>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</si>
  <si>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</si>
  <si>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</si>
  <si>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</si>
  <si>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</si>
  <si>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</si>
  <si>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</si>
  <si>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</si>
  <si>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</si>
  <si>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</si>
  <si>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</si>
  <si>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</si>
  <si>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</si>
  <si>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</si>
  <si>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</si>
  <si>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</si>
  <si>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</si>
  <si>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</si>
  <si>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</si>
  <si>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</si>
  <si>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</si>
  <si>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</si>
  <si>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ACER 3343 TOUCHSCREEN 4 / 16</t>
  </si>
  <si>
    <t>3343</t>
  </si>
  <si>
    <t>2 / 16</t>
  </si>
  <si>
    <t>8 / 128</t>
  </si>
  <si>
    <t>8 / 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</si>
</sst>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₱&quot;* #,##0.00_-;\-&quot;₱&quot;* #,##0.00_-;_-&quot;₱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37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86A54954-571E-48DC-BD1B-96C2CFA6DC5F}" autoFormatId="16" applyNumberFormats="0" applyBorderFormats="0" applyFontFormats="0" applyPatternFormats="0" applyAlignmentFormats="0" applyWidthHeightFormats="0">
  <queryTableRefresh nextId="5">
    <queryTableFields count="4">
      <queryTableField id="1" name="PRODUCT ID" tableColumnId="1"/>
      <queryTableField id="2" name="PRODUCT NAME" tableColumnId="2"/>
      <queryTableField id="3" name="DEFAULT PRICE" tableColumnId="3"/>
      <queryTableField id="4" name="DETAILS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4B56B6E-7244-44A9-BC9F-5066710925B1}" autoFormatId="16" applyNumberFormats="0" applyBorderFormats="0" applyFontFormats="0" applyPatternFormats="0" applyAlignmentFormats="0" applyWidthHeightFormats="0">
  <queryTableRefresh nextId="3">
    <queryTableFields count="2">
      <queryTableField id="1" name="PRODUCT ID" tableColumnId="1"/>
      <queryTableField id="2" name="INVENTORY ID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36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35"/>
    <tableColumn id="3" xr3:uid="{77531021-D05F-4B6C-84DA-32AED82A9680}" name="CODE" dataDxfId="34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9" tableType="queryTable" totalsRowShown="0">
  <autoFilter ref="A1:G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3"/>
    <tableColumn id="3" xr3:uid="{076104D8-C9E8-451B-A965-B0F52E829B97}" uniqueName="3" name="TYPE" queryTableFieldId="3" dataDxfId="32"/>
    <tableColumn id="4" xr3:uid="{EED15770-5ACA-47A3-90AC-004FB47CC5A3}" uniqueName="4" name="BRAND" queryTableFieldId="4" dataDxfId="31"/>
    <tableColumn id="5" xr3:uid="{3006AD62-9893-4204-AD0A-4EF3B9BE605E}" uniqueName="5" name="CODE" queryTableFieldId="5" dataDxfId="30"/>
    <tableColumn id="7" xr3:uid="{DC21BDB8-8A69-4186-83FC-A99F4F8E7737}" uniqueName="7" name="VARIANT" queryTableFieldId="7"/>
    <tableColumn id="6" xr3:uid="{895EF583-4F50-4211-A9B8-9D6A9E4977E5}" uniqueName="6" name="SPECS" queryTableFieldId="6" dataDxfId="2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28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11"/>
    <tableColumn id="2" xr3:uid="{9ACA5BAE-3452-4A54-88A1-1D3A54B85E6B}" uniqueName="2" name="START_DATE" queryTableFieldId="2" dataDxfId="10"/>
    <tableColumn id="3" xr3:uid="{C60B9200-CA57-4C5B-AF47-28D5CBEAD345}" uniqueName="3" name="END_DATE" queryTableFieldId="3" dataDxfId="9"/>
    <tableColumn id="4" xr3:uid="{A600AE55-31A6-4008-AA79-30DCDCBCFBDA}" uniqueName="4" name="NAME" queryTableFieldId="4" dataDxfId="27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78AEE-95FD-4AD2-844D-4ABA9FFFE9FD}" name="_TBL_PRODUCT" displayName="_TBL_PRODUCT" ref="A2:D3" tableType="queryTable" insertRow="1" totalsRowShown="0">
  <autoFilter ref="A2:D3" xr:uid="{8B378AEE-95FD-4AD2-844D-4ABA9FFFE9FD}"/>
  <tableColumns count="4">
    <tableColumn id="1" xr3:uid="{15CC3BF0-8B87-41F1-BAA1-E28D9398F692}" uniqueName="1" name="PRODUCT ID" queryTableFieldId="1"/>
    <tableColumn id="2" xr3:uid="{296BF938-E0AF-4324-ABAA-10A18A38E8D1}" uniqueName="2" name="PRODUCT NAME" queryTableFieldId="2" dataDxfId="26"/>
    <tableColumn id="3" xr3:uid="{06F5724F-2DA8-4AD1-965F-19DA55DE5782}" uniqueName="3" name="DEFAULT PRICE" queryTableFieldId="3"/>
    <tableColumn id="4" xr3:uid="{2CC1018B-F477-4181-8E30-2CB103A6B9DB}" uniqueName="4" name="DETAILS" queryTableFieldId="4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DC2229-5015-4C87-8544-AF0C6505727A}" name="_TBL_INVENTORY_CATALOG" displayName="_TBL_INVENTORY_CATALOG" ref="A1:B2" tableType="queryTable" totalsRowShown="0">
  <autoFilter ref="A1:B2" xr:uid="{BDDC2229-5015-4C87-8544-AF0C6505727A}"/>
  <tableColumns count="2">
    <tableColumn id="1" xr3:uid="{0E186CD4-2663-4E65-8CFE-1CA1AE9004FD}" uniqueName="1" name="PRODUCT ID" queryTableFieldId="1"/>
    <tableColumn id="2" xr3:uid="{DA5797CD-DDCB-45D1-983E-C4AF8EAE0B3E}" uniqueName="2" name="INVENTORY ID" queryTableFieldId="2" dataDxf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3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J12" totalsRowCount="1" headerRowDxfId="22" dataDxfId="21">
  <autoFilter ref="B2:J11" xr:uid="{11196D4F-0C08-44E6-8845-054A162CF400}"/>
  <tableColumns count="9">
    <tableColumn id="1" xr3:uid="{7E5944E0-EEF7-48BA-9C65-2A065AAFA2D9}" name="DATE" totalsRowFunction="custom" dataDxfId="20" totalsRowDxfId="8">
      <totalsRowFormula>_xlfn.CONCAT("COUNT: ", SUBTOTAL(103,_TBL_SALES[DATE]))</totalsRowFormula>
    </tableColumn>
    <tableColumn id="2" xr3:uid="{6346439F-B17B-42E4-B169-E92F350D30A5}" name="PRODUCT SET" totalsRowLabel="TOTAL: " dataDxfId="19" totalsRowDxfId="7"/>
    <tableColumn id="4" xr3:uid="{95CD9087-654C-4E2A-AF3A-261436977333}" name="PRICE DEFAULT" totalsRowFunction="sum" dataDxfId="18" totalsRowDxfId="6">
      <calculatedColumnFormula>IFERROR(_xlfn.XLOOKUP(_TBL_SALES[[#This Row],[PRODUCT SET]], _TBL_PRODUCT[PRODUCT NAME],  _TBL_PRODUCT[DEFAULT PRICE], "",0, 1), "")</calculatedColumnFormula>
    </tableColumn>
    <tableColumn id="5" xr3:uid="{20315BED-21B2-403E-9EB7-F0CC6C891D05}" name="PRICE SOLD" totalsRowFunction="sum" dataDxfId="17" totalsRowDxfId="5"/>
    <tableColumn id="3" xr3:uid="{0C6F7D0D-2B13-4E91-997A-E759C7E54BFB}" name="DIFF" totalsRowFunction="sum" dataDxfId="16" totalsRowDxfId="4">
      <calculatedColumnFormula>IFERROR(_TBL_SALES[[#This Row],[PRICE SOLD]]-_TBL_SALES[[#This Row],[PRICE DEFAULT]], "")</calculatedColumnFormula>
    </tableColumn>
    <tableColumn id="7" xr3:uid="{A2774850-F5E8-4FA1-8C17-FE6EEC4F8D73}" name="RECEIPT ID" dataDxfId="15" totalsRowDxfId="3">
      <calculatedColumnFormula>IF(_TBL_SALES[[#This Row],[PRICE DEFAULT]]+_TBL_SALES[[#This Row],[PRICE SOLD]]&lt;&gt; 0, _TBL_SALES[[#This Row],[PRICE DEFAULT]]+_TBL_SALES[[#This Row],[PRICE SOLD]], "")</calculatedColumnFormula>
    </tableColumn>
    <tableColumn id="8" xr3:uid="{3BEEB058-8C1B-4F3B-A112-E1C3BF3C5795}" name="SELLER NAME" dataDxfId="14" totalsRowDxfId="2"/>
    <tableColumn id="10" xr3:uid="{1B6A8F81-4CD3-412F-B3A2-C032710C5771}" name="REMARKS" dataDxfId="13" totalsRowDxfId="1"/>
    <tableColumn id="12" xr3:uid="{161DBC59-E0E9-488B-9D75-AD60C50E18B7}" name="BOX ID" dataDxfId="12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86</v>
      </c>
    </row>
    <row r="3" spans="1:3" x14ac:dyDescent="0.25">
      <c r="A3">
        <v>2</v>
      </c>
      <c r="B3" t="s">
        <v>75</v>
      </c>
    </row>
    <row r="4" spans="1:3" x14ac:dyDescent="0.25">
      <c r="A4">
        <v>3</v>
      </c>
      <c r="B4" t="s">
        <v>77</v>
      </c>
    </row>
    <row r="5" spans="1:3" x14ac:dyDescent="0.25">
      <c r="A5">
        <v>4</v>
      </c>
      <c r="B5" t="s">
        <v>87</v>
      </c>
    </row>
    <row r="6" spans="1:3" x14ac:dyDescent="0.25">
      <c r="A6">
        <v>5</v>
      </c>
      <c r="B6" t="s">
        <v>88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16</v>
      </c>
    </row>
    <row r="3" spans="1:4" x14ac:dyDescent="0.25">
      <c r="A3">
        <v>2</v>
      </c>
      <c r="B3" t="s">
        <v>17</v>
      </c>
      <c r="C3" t="s">
        <v>18</v>
      </c>
    </row>
    <row r="4" spans="1:4" x14ac:dyDescent="0.25">
      <c r="A4">
        <v>3</v>
      </c>
      <c r="B4" t="s">
        <v>19</v>
      </c>
      <c r="C4" t="s">
        <v>20</v>
      </c>
    </row>
    <row r="5" spans="1:4" x14ac:dyDescent="0.25">
      <c r="A5">
        <v>4</v>
      </c>
      <c r="B5" t="s">
        <v>21</v>
      </c>
      <c r="C5" t="s">
        <v>22</v>
      </c>
    </row>
    <row r="6" spans="1:4" x14ac:dyDescent="0.25">
      <c r="A6">
        <v>5</v>
      </c>
      <c r="B6" t="s">
        <v>23</v>
      </c>
      <c r="C6" t="s">
        <v>24</v>
      </c>
    </row>
    <row r="7" spans="1:4" x14ac:dyDescent="0.25">
      <c r="A7">
        <v>6</v>
      </c>
      <c r="B7" t="s">
        <v>25</v>
      </c>
      <c r="C7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9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73</v>
      </c>
      <c r="G1" t="s">
        <v>5</v>
      </c>
    </row>
    <row r="2" spans="1:7" x14ac:dyDescent="0.25">
      <c r="A2">
        <v>1</v>
      </c>
      <c r="B2" t="s">
        <v>6</v>
      </c>
      <c r="C2" t="s">
        <v>7</v>
      </c>
      <c r="D2" t="s">
        <v>8</v>
      </c>
      <c r="E2" t="s">
        <v>29</v>
      </c>
      <c r="F2" t="s">
        <v>74</v>
      </c>
      <c r="G2" t="s">
        <v>75</v>
      </c>
    </row>
    <row r="3" spans="1:7" x14ac:dyDescent="0.25">
      <c r="A3">
        <v>2</v>
      </c>
      <c r="B3" t="s">
        <v>76</v>
      </c>
      <c r="C3" t="s">
        <v>7</v>
      </c>
      <c r="D3" t="s">
        <v>8</v>
      </c>
      <c r="E3" t="s">
        <v>29</v>
      </c>
      <c r="F3" t="s">
        <v>74</v>
      </c>
      <c r="G3" t="s">
        <v>77</v>
      </c>
    </row>
    <row r="4" spans="1:7" x14ac:dyDescent="0.25">
      <c r="A4">
        <v>3</v>
      </c>
      <c r="B4" t="s">
        <v>78</v>
      </c>
      <c r="C4" t="s">
        <v>7</v>
      </c>
      <c r="D4" t="s">
        <v>9</v>
      </c>
      <c r="F4" t="s">
        <v>74</v>
      </c>
      <c r="G4" t="s">
        <v>75</v>
      </c>
    </row>
    <row r="5" spans="1:7" x14ac:dyDescent="0.25">
      <c r="A5">
        <v>4</v>
      </c>
      <c r="B5" t="s">
        <v>79</v>
      </c>
      <c r="C5" t="s">
        <v>7</v>
      </c>
      <c r="D5" t="s">
        <v>9</v>
      </c>
      <c r="F5" t="s">
        <v>80</v>
      </c>
      <c r="G5" t="s">
        <v>75</v>
      </c>
    </row>
    <row r="6" spans="1:7" x14ac:dyDescent="0.25">
      <c r="A6">
        <v>5</v>
      </c>
      <c r="B6" t="s">
        <v>12</v>
      </c>
      <c r="C6" t="s">
        <v>7</v>
      </c>
      <c r="D6" t="s">
        <v>8</v>
      </c>
      <c r="E6" t="s">
        <v>30</v>
      </c>
      <c r="F6" t="s">
        <v>74</v>
      </c>
      <c r="G6" t="s">
        <v>75</v>
      </c>
    </row>
    <row r="7" spans="1:7" x14ac:dyDescent="0.25">
      <c r="A7">
        <v>6</v>
      </c>
      <c r="B7" t="s">
        <v>81</v>
      </c>
      <c r="C7" t="s">
        <v>7</v>
      </c>
      <c r="D7" t="s">
        <v>9</v>
      </c>
      <c r="F7" t="s">
        <v>82</v>
      </c>
      <c r="G7" t="s">
        <v>75</v>
      </c>
    </row>
    <row r="8" spans="1:7" x14ac:dyDescent="0.25">
      <c r="B8" s="29" t="s">
        <v>83</v>
      </c>
      <c r="C8" s="29" t="s">
        <v>7</v>
      </c>
      <c r="D8" s="29" t="s">
        <v>8</v>
      </c>
      <c r="E8" s="29" t="s">
        <v>30</v>
      </c>
      <c r="F8" t="s">
        <v>74</v>
      </c>
      <c r="G8" s="29" t="s">
        <v>77</v>
      </c>
    </row>
    <row r="9" spans="1:7" x14ac:dyDescent="0.25">
      <c r="B9" s="29" t="s">
        <v>84</v>
      </c>
      <c r="C9" s="29" t="s">
        <v>7</v>
      </c>
      <c r="D9" s="29" t="s">
        <v>13</v>
      </c>
      <c r="E9" s="29" t="s">
        <v>85</v>
      </c>
      <c r="F9" t="s">
        <v>80</v>
      </c>
      <c r="G9" s="29" t="s">
        <v>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13</v>
      </c>
    </row>
    <row r="3" spans="1:3" x14ac:dyDescent="0.25">
      <c r="A3">
        <v>2</v>
      </c>
      <c r="B3" t="s">
        <v>14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33</v>
      </c>
      <c r="C1" t="s">
        <v>34</v>
      </c>
      <c r="D1" t="s">
        <v>1</v>
      </c>
      <c r="E1" t="s">
        <v>35</v>
      </c>
    </row>
    <row r="2" spans="1:5" x14ac:dyDescent="0.25">
      <c r="A2" s="9">
        <v>45766</v>
      </c>
      <c r="B2" s="9">
        <v>45766</v>
      </c>
      <c r="C2" s="9">
        <v>45766</v>
      </c>
      <c r="D2" t="s">
        <v>36</v>
      </c>
      <c r="E2">
        <v>1</v>
      </c>
    </row>
    <row r="3" spans="1:5" x14ac:dyDescent="0.25">
      <c r="A3" s="9">
        <v>45766</v>
      </c>
      <c r="B3" s="9">
        <v>45765</v>
      </c>
      <c r="C3" s="9">
        <v>45765</v>
      </c>
      <c r="D3" t="s">
        <v>37</v>
      </c>
      <c r="E3">
        <v>1</v>
      </c>
    </row>
    <row r="4" spans="1:5" x14ac:dyDescent="0.25">
      <c r="A4" s="9">
        <v>45766</v>
      </c>
      <c r="B4" s="9">
        <v>45760</v>
      </c>
      <c r="C4" s="9">
        <v>45766</v>
      </c>
      <c r="D4" t="s">
        <v>38</v>
      </c>
      <c r="E4">
        <v>7</v>
      </c>
    </row>
    <row r="5" spans="1:5" x14ac:dyDescent="0.25">
      <c r="A5" s="9">
        <v>45766</v>
      </c>
      <c r="B5" s="9">
        <v>45753</v>
      </c>
      <c r="C5" s="9">
        <v>45759</v>
      </c>
      <c r="D5" t="s">
        <v>39</v>
      </c>
      <c r="E5">
        <v>7</v>
      </c>
    </row>
    <row r="6" spans="1:5" x14ac:dyDescent="0.25">
      <c r="A6" s="9">
        <v>45766</v>
      </c>
      <c r="B6" s="9">
        <v>45748</v>
      </c>
      <c r="C6" s="9">
        <v>45777</v>
      </c>
      <c r="D6" t="s">
        <v>40</v>
      </c>
      <c r="E6">
        <v>30</v>
      </c>
    </row>
    <row r="7" spans="1:5" x14ac:dyDescent="0.25">
      <c r="A7" s="9">
        <v>45766</v>
      </c>
      <c r="B7" s="9">
        <v>45717</v>
      </c>
      <c r="C7" s="9">
        <v>45747</v>
      </c>
      <c r="D7" t="s">
        <v>41</v>
      </c>
      <c r="E7">
        <v>31</v>
      </c>
    </row>
    <row r="8" spans="1:5" x14ac:dyDescent="0.25">
      <c r="A8" s="9">
        <v>45766</v>
      </c>
      <c r="B8" s="9">
        <v>45658</v>
      </c>
      <c r="C8" s="9">
        <v>46022</v>
      </c>
      <c r="D8" t="s">
        <v>42</v>
      </c>
      <c r="E8">
        <v>365</v>
      </c>
    </row>
    <row r="9" spans="1:5" x14ac:dyDescent="0.25">
      <c r="A9" s="9">
        <v>45766</v>
      </c>
      <c r="B9" s="9"/>
      <c r="C9" s="9"/>
      <c r="D9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890E-9C7C-4A33-AF65-8EAF5FC819D6}">
  <dimension ref="A2:D2"/>
  <sheetViews>
    <sheetView workbookViewId="0">
      <selection activeCell="B2" sqref="B2"/>
    </sheetView>
  </sheetViews>
  <sheetFormatPr defaultRowHeight="15" x14ac:dyDescent="0.25"/>
  <cols>
    <col min="1" max="1" width="14.140625" bestFit="1" customWidth="1"/>
    <col min="2" max="2" width="18" bestFit="1" customWidth="1"/>
    <col min="3" max="3" width="16.7109375" bestFit="1" customWidth="1"/>
    <col min="4" max="4" width="10.28515625" bestFit="1" customWidth="1"/>
  </cols>
  <sheetData>
    <row r="2" spans="1:4" x14ac:dyDescent="0.25">
      <c r="A2" t="s">
        <v>46</v>
      </c>
      <c r="B2" t="s">
        <v>48</v>
      </c>
      <c r="C2" t="s">
        <v>49</v>
      </c>
      <c r="D2" t="s">
        <v>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39B8-E291-4861-87F0-18F70601C925}">
  <dimension ref="A1:B2"/>
  <sheetViews>
    <sheetView workbookViewId="0"/>
  </sheetViews>
  <sheetFormatPr defaultRowHeight="15" x14ac:dyDescent="0.25"/>
  <cols>
    <col min="1" max="1" width="14.140625" bestFit="1" customWidth="1"/>
    <col min="2" max="2" width="23.42578125" bestFit="1" customWidth="1"/>
  </cols>
  <sheetData>
    <row r="1" spans="1:2" x14ac:dyDescent="0.25">
      <c r="A1" t="s">
        <v>46</v>
      </c>
      <c r="B1" t="s">
        <v>47</v>
      </c>
    </row>
    <row r="2" spans="1:2" x14ac:dyDescent="0.25">
      <c r="A2">
        <v>1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dimension ref="A1:Q2"/>
  <sheetViews>
    <sheetView workbookViewId="0">
      <selection activeCell="D27" sqref="D27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</row>
    <row r="2" spans="1:17" x14ac:dyDescent="0.25">
      <c r="B2" t="s">
        <v>72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J13"/>
  <sheetViews>
    <sheetView tabSelected="1" workbookViewId="0">
      <selection activeCell="F21" sqref="F21"/>
    </sheetView>
  </sheetViews>
  <sheetFormatPr defaultRowHeight="15" x14ac:dyDescent="0.25"/>
  <cols>
    <col min="2" max="2" width="18.42578125" customWidth="1"/>
    <col min="3" max="3" width="42.7109375" customWidth="1"/>
    <col min="4" max="4" width="21" customWidth="1"/>
    <col min="5" max="5" width="21.140625" customWidth="1"/>
    <col min="6" max="6" width="22.42578125" customWidth="1"/>
    <col min="7" max="7" width="18" customWidth="1"/>
    <col min="8" max="8" width="29.85546875" customWidth="1"/>
    <col min="9" max="9" width="44.140625" customWidth="1"/>
    <col min="10" max="10" width="17.42578125" customWidth="1"/>
  </cols>
  <sheetData>
    <row r="1" spans="2:10" x14ac:dyDescent="0.25">
      <c r="C1" s="28" t="s">
        <v>44</v>
      </c>
      <c r="D1" s="28"/>
      <c r="E1" s="28"/>
    </row>
    <row r="2" spans="2:10" ht="15.75" thickBot="1" x14ac:dyDescent="0.3">
      <c r="B2" s="1" t="s">
        <v>11</v>
      </c>
      <c r="C2" s="1" t="s">
        <v>45</v>
      </c>
      <c r="D2" s="1" t="s">
        <v>51</v>
      </c>
      <c r="E2" s="1" t="s">
        <v>52</v>
      </c>
      <c r="F2" s="1" t="s">
        <v>55</v>
      </c>
      <c r="G2" s="1" t="s">
        <v>53</v>
      </c>
      <c r="H2" s="1" t="s">
        <v>54</v>
      </c>
      <c r="I2" s="1" t="s">
        <v>27</v>
      </c>
      <c r="J2" s="1" t="s">
        <v>28</v>
      </c>
    </row>
    <row r="3" spans="2:10" x14ac:dyDescent="0.25">
      <c r="B3" s="3"/>
      <c r="C3" s="13"/>
      <c r="D3" s="10" t="str">
        <f ca="1">IFERROR(_xlfn.XLOOKUP(_TBL_SALES[[#This Row],[PRODUCT SET]], _TBL_PRODUCT[PRODUCT NAME],  _TBL_PRODUCT[DEFAULT PRICE], "",0, 1), "")</f>
        <v/>
      </c>
      <c r="E3" s="16"/>
      <c r="F3" s="10" t="str">
        <f ca="1">IFERROR(_TBL_SALES[[#This Row],[PRICE SOLD]]-_TBL_SALES[[#This Row],[PRICE DEFAULT]], "")</f>
        <v/>
      </c>
      <c r="G3" s="19"/>
      <c r="H3" s="20"/>
      <c r="I3" s="20"/>
      <c r="J3" s="21"/>
    </row>
    <row r="4" spans="2:10" x14ac:dyDescent="0.25">
      <c r="B4" s="3"/>
      <c r="C4" s="14"/>
      <c r="D4" s="10" t="str">
        <f ca="1">IFERROR(_xlfn.XLOOKUP(_TBL_SALES[[#This Row],[PRODUCT SET]], _TBL_PRODUCT[PRODUCT NAME],  _TBL_PRODUCT[DEFAULT PRICE], "",0, 1), "")</f>
        <v/>
      </c>
      <c r="E4" s="17"/>
      <c r="F4" s="10" t="str">
        <f ca="1">IFERROR(_TBL_SALES[[#This Row],[PRICE SOLD]]-_TBL_SALES[[#This Row],[PRICE DEFAULT]], "")</f>
        <v/>
      </c>
      <c r="G4" s="22"/>
      <c r="H4" s="27"/>
      <c r="I4" s="27"/>
      <c r="J4" s="23"/>
    </row>
    <row r="5" spans="2:10" x14ac:dyDescent="0.25">
      <c r="B5" s="3"/>
      <c r="C5" s="14"/>
      <c r="D5" s="10" t="str">
        <f ca="1">IFERROR(_xlfn.XLOOKUP(_TBL_SALES[[#This Row],[PRODUCT SET]], _TBL_PRODUCT[PRODUCT NAME],  _TBL_PRODUCT[DEFAULT PRICE], "",0, 1), "")</f>
        <v/>
      </c>
      <c r="E5" s="17"/>
      <c r="F5" s="10" t="str">
        <f ca="1">IFERROR(_TBL_SALES[[#This Row],[PRICE SOLD]]-_TBL_SALES[[#This Row],[PRICE DEFAULT]], "")</f>
        <v/>
      </c>
      <c r="G5" s="22"/>
      <c r="H5" s="27"/>
      <c r="I5" s="27"/>
      <c r="J5" s="23"/>
    </row>
    <row r="6" spans="2:10" x14ac:dyDescent="0.25">
      <c r="B6" s="3"/>
      <c r="C6" s="14"/>
      <c r="D6" s="10" t="str">
        <f ca="1">IFERROR(_xlfn.XLOOKUP(_TBL_SALES[[#This Row],[PRODUCT SET]], _TBL_PRODUCT[PRODUCT NAME],  _TBL_PRODUCT[DEFAULT PRICE], "",0, 1), "")</f>
        <v/>
      </c>
      <c r="E6" s="17"/>
      <c r="F6" s="10" t="str">
        <f ca="1">IFERROR(_TBL_SALES[[#This Row],[PRICE SOLD]]-_TBL_SALES[[#This Row],[PRICE DEFAULT]], "")</f>
        <v/>
      </c>
      <c r="G6" s="22"/>
      <c r="H6" s="27"/>
      <c r="I6" s="27"/>
      <c r="J6" s="23"/>
    </row>
    <row r="7" spans="2:10" x14ac:dyDescent="0.25">
      <c r="B7" s="3"/>
      <c r="C7" s="14"/>
      <c r="D7" s="10" t="str">
        <f ca="1">IFERROR(_xlfn.XLOOKUP(_TBL_SALES[[#This Row],[PRODUCT SET]], _TBL_PRODUCT[PRODUCT NAME],  _TBL_PRODUCT[DEFAULT PRICE], "",0, 1), "")</f>
        <v/>
      </c>
      <c r="E7" s="17"/>
      <c r="F7" s="10" t="str">
        <f ca="1">IFERROR(_TBL_SALES[[#This Row],[PRICE SOLD]]-_TBL_SALES[[#This Row],[PRICE DEFAULT]], "")</f>
        <v/>
      </c>
      <c r="G7" s="22"/>
      <c r="H7" s="27"/>
      <c r="I7" s="27"/>
      <c r="J7" s="23"/>
    </row>
    <row r="8" spans="2:10" x14ac:dyDescent="0.25">
      <c r="B8" s="3"/>
      <c r="C8" s="14"/>
      <c r="D8" s="10" t="str">
        <f ca="1">IFERROR(_xlfn.XLOOKUP(_TBL_SALES[[#This Row],[PRODUCT SET]], _TBL_PRODUCT[PRODUCT NAME],  _TBL_PRODUCT[DEFAULT PRICE], "",0, 1), "")</f>
        <v/>
      </c>
      <c r="E8" s="17"/>
      <c r="F8" s="10" t="str">
        <f ca="1">IFERROR(_TBL_SALES[[#This Row],[PRICE SOLD]]-_TBL_SALES[[#This Row],[PRICE DEFAULT]], "")</f>
        <v/>
      </c>
      <c r="G8" s="22"/>
      <c r="H8" s="27"/>
      <c r="I8" s="27"/>
      <c r="J8" s="23"/>
    </row>
    <row r="9" spans="2:10" x14ac:dyDescent="0.25">
      <c r="B9" s="3"/>
      <c r="C9" s="14"/>
      <c r="D9" s="10" t="str">
        <f ca="1">IFERROR(_xlfn.XLOOKUP(_TBL_SALES[[#This Row],[PRODUCT SET]], _TBL_PRODUCT[PRODUCT NAME],  _TBL_PRODUCT[DEFAULT PRICE], "",0, 1), "")</f>
        <v/>
      </c>
      <c r="E9" s="17"/>
      <c r="F9" s="10" t="str">
        <f ca="1">IFERROR(_TBL_SALES[[#This Row],[PRICE SOLD]]-_TBL_SALES[[#This Row],[PRICE DEFAULT]], "")</f>
        <v/>
      </c>
      <c r="G9" s="22"/>
      <c r="H9" s="27"/>
      <c r="I9" s="27"/>
      <c r="J9" s="23"/>
    </row>
    <row r="10" spans="2:10" x14ac:dyDescent="0.25">
      <c r="B10" s="3"/>
      <c r="C10" s="14"/>
      <c r="D10" s="10" t="str">
        <f ca="1">IFERROR(_xlfn.XLOOKUP(_TBL_SALES[[#This Row],[PRODUCT SET]], _TBL_PRODUCT[PRODUCT NAME],  _TBL_PRODUCT[DEFAULT PRICE], "",0, 1), "")</f>
        <v/>
      </c>
      <c r="E10" s="17"/>
      <c r="F10" s="10" t="str">
        <f ca="1">IFERROR(_TBL_SALES[[#This Row],[PRICE SOLD]]-_TBL_SALES[[#This Row],[PRICE DEFAULT]], "")</f>
        <v/>
      </c>
      <c r="G10" s="22"/>
      <c r="H10" s="27"/>
      <c r="I10" s="27"/>
      <c r="J10" s="23"/>
    </row>
    <row r="11" spans="2:10" ht="15.75" thickBot="1" x14ac:dyDescent="0.3">
      <c r="B11" s="9"/>
      <c r="C11" s="15"/>
      <c r="D11" s="10" t="str">
        <f ca="1">IFERROR(_xlfn.XLOOKUP(_TBL_SALES[[#This Row],[PRODUCT SET]], _TBL_PRODUCT[PRODUCT NAME],  _TBL_PRODUCT[DEFAULT PRICE], "",0, 1), "")</f>
        <v/>
      </c>
      <c r="E11" s="18"/>
      <c r="F11" s="10" t="str">
        <f ca="1">IFERROR(_TBL_SALES[[#This Row],[PRICE SOLD]]-_TBL_SALES[[#This Row],[PRICE DEFAULT]], "")</f>
        <v/>
      </c>
      <c r="G11" s="24"/>
      <c r="H11" s="25"/>
      <c r="I11" s="25"/>
      <c r="J11" s="26"/>
    </row>
    <row r="12" spans="2:10" x14ac:dyDescent="0.25">
      <c r="B12" s="1" t="str">
        <f>_xlfn.CONCAT("COUNT: ", SUBTOTAL(103,_TBL_SALES[DATE]))</f>
        <v>COUNT: 0</v>
      </c>
      <c r="C12" s="6" t="s">
        <v>31</v>
      </c>
      <c r="D12" s="11">
        <f ca="1">SUBTOTAL(109,_TBL_SALES[PRICE DEFAULT])</f>
        <v>0</v>
      </c>
      <c r="E12" s="11">
        <f>SUBTOTAL(109,_TBL_SALES[PRICE SOLD])</f>
        <v>0</v>
      </c>
      <c r="F12" s="11">
        <f ca="1">SUBTOTAL(109,_TBL_SALES[DIFF])</f>
        <v>0</v>
      </c>
      <c r="G12" s="5"/>
      <c r="H12" s="5"/>
      <c r="I12" s="2"/>
      <c r="J12" s="4"/>
    </row>
    <row r="13" spans="2:10" x14ac:dyDescent="0.25">
      <c r="C13" s="7" t="s">
        <v>32</v>
      </c>
      <c r="D13" s="12">
        <f ca="1">SUM(_TBL_SALES[PRICE DEFAULT])</f>
        <v>0</v>
      </c>
      <c r="E13" s="12">
        <f>SUM(_TBL_SALES[PRICE SOLD])</f>
        <v>0</v>
      </c>
      <c r="F13" s="12">
        <f ca="1">SUM(_TBL_SALES[DIFF])</f>
        <v>0</v>
      </c>
      <c r="G13" s="8"/>
    </row>
  </sheetData>
  <mergeCells count="1">
    <mergeCell ref="C1:E1"/>
  </mergeCells>
  <phoneticPr fontId="2" type="noConversion"/>
  <dataValidations count="2">
    <dataValidation type="list" allowBlank="1" showInputMessage="1" showErrorMessage="1" sqref="C3:C11" xr:uid="{C05EF535-55C1-4B49-B101-E497A6C0CFC1}">
      <formula1>NAMES_PRODUCT</formula1>
    </dataValidation>
    <dataValidation type="list" allowBlank="1" showInputMessage="1" showErrorMessage="1" sqref="H3:H11" xr:uid="{E32978AC-B34A-411A-87D9-88BC00926DBC}">
      <formula1>NAMES_EMPLOYEES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_TBL_SPECS</vt:lpstr>
      <vt:lpstr>_TBL_INVENTORY_TYPE</vt:lpstr>
      <vt:lpstr>_TBL_INVENTORY</vt:lpstr>
      <vt:lpstr>_TBL_BRAND</vt:lpstr>
      <vt:lpstr>_TBL_DATES</vt:lpstr>
      <vt:lpstr>_TBL_PRODUCT</vt:lpstr>
      <vt:lpstr>_TBL_INVENTORY_CATALOG</vt:lpstr>
      <vt:lpstr>_TBL_EMPLOYEES</vt:lpstr>
      <vt:lpstr>SALES</vt:lpstr>
      <vt:lpstr>NAMES_EMPLOYEES</vt:lpstr>
      <vt:lpstr>NAMES_PRODUCT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2025-04-19T04:27:04Z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