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BE8BD99D-4A31-4F0D-B443-DF21301BB7B4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'_TBL_ADD_ONS'!$A$1:$C$7</definedName>
    <definedName name="ExternalData_1" localSheetId="1" hidden="1">'_TBL_EMPLOYEES'!$A$1:$Q$2</definedName>
    <definedName name="ExternalData_1" localSheetId="3" hidden="1">'_TBL_FREEBIES_SET'!$A$1:$D$6</definedName>
    <definedName name="ExternalData_2" localSheetId="0" hidden="1">'_TBL_INVENTORY'!$A$1:$G$50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2" l="1"/>
  <c r="M3" i="2"/>
  <c r="M4" i="2"/>
  <c r="M5" i="2"/>
  <c r="M6" i="2"/>
  <c r="M7" i="2"/>
  <c r="M8" i="2"/>
  <c r="I3" i="2"/>
  <c r="I4" i="2"/>
  <c r="I6" i="2"/>
  <c r="I7" i="2"/>
  <c r="I8" i="2"/>
  <c r="I9" i="2"/>
  <c r="I5" i="2"/>
  <c r="K11" i="2" l="1"/>
  <c r="L11" i="2"/>
  <c r="K10" i="2"/>
  <c r="L10" i="2"/>
  <c r="D3" i="2" l="1"/>
  <c r="D4" i="2"/>
  <c r="D5" i="2"/>
  <c r="J5" i="2" s="1"/>
  <c r="D6" i="2"/>
  <c r="D7" i="2"/>
  <c r="D8" i="2"/>
  <c r="D9" i="2"/>
  <c r="J4" i="2" l="1"/>
  <c r="J8" i="2"/>
  <c r="J9" i="2"/>
  <c r="J7" i="2"/>
  <c r="J6" i="2"/>
  <c r="J3" i="2"/>
  <c r="B10" i="2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<sst xmlns="http://schemas.openxmlformats.org/spreadsheetml/2006/main" count="580" uniqueCount="150">
  <si>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</si>
  <si>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</si>
  <si>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</si>
  <si>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</si>
  <si>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</si>
  <si>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</si>
  <si>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</si>
  <si>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</si>
  <si>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</si>
  <si>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</si>
  <si>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</si>
  <si>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</si>
  <si>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</si>
  <si>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</si>
  <si>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</si>
  <si>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</si>
  <si>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</si>
  <si>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</si>
  <si>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</si>
  <si>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</si>
  <si>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</si>
  <si>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</si>
  <si>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</si>
  <si>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</si>
  <si>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</si>
  <si>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</si>
  <si>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</si>
  <si>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</si>
  <si>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</si>
  <si>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</si>
  <si>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</si>
  <si>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</si>
  <si>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</si>
  <si>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</si>
  <si>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</si>
  <si>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</si>
  <si>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</si>
  <si>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</si>
  <si>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</si>
  <si>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</si>
  <si>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</si>
  <si>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</si>
  <si>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</si>
  <si>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</si>
  <si>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</si>
  <si>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</si>
  <si>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</si>
  <si>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</si>
  <si>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</si>
  <si>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</si>
  <si>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</si>
  <si>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</si>
  <si>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</si>
  <si>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</si>
  <si>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</si>
  <si>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</si>
  <si>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</si>
  <si>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</si>
  <si>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</si>
  <si>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</si>
  <si>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</si>
  <si>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</si>
  <si>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</si>
  <si>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</si>
  <si>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</si>
  <si>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</si>
  <si>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</si>
  <si>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</si>
  <si>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</si>
  <si>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</si>
  <si>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</si>
  <si>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</si>
  <si>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</si>
  <si>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</si>
  <si>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</si>
  <si>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</si>
  <si>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</si>
  <si>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</si>
  <si>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</si>
  <si>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</si>
  <si>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</si>
  <si>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</si>
  <si>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</si>
  <si>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</si>
  <si>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</si>
  <si>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</si>
  <si>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</si>
  <si>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</si>
  <si>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</si>
  <si>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</si>
  <si>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</si>
  <si>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</si>
  <si>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</si>
  <si>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</si>
  <si>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</si>
  <si>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</si>
  <si>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</si>
  <si>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</si>
  <si>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</si>
  <si>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</si>
  <si>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</si>
  <si>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</si>
  <si>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</si>
  <si>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</si>
  <si>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</si>
  <si>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</si>
  <si>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</si>
  <si>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</si>
  <si>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</si>
  <si>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</si>
  <si>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</si>
  <si>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</si>
  <si>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</si>
  <si>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</si>
  <si>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</si>
  <si>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</si>
  <si>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</si>
  <si>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</si>
  <si>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</si>
  <si>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</si>
  <si>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</si>
  <si>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</si>
  <si>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</si>
  <si>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</si>
  <si>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</si>
  <si>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</si>
  <si>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</si>
  <si>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</si>
  <si>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</si>
  <si>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</si>
  <si>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</si>
  <si>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</si>
  <si>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</si>
  <si>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</si>
  <si>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CASH</t>
  </si>
  <si>
    <t>GCASH/BANK</t>
  </si>
  <si>
    <t>Computer Table</t>
  </si>
  <si>
    <t>P47 Headphone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</si>
  <si>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</si>
  <si>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</si>
  <si>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</si>
  <si>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</si>
  <si>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</si>
  <si>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</si>
  <si>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</si>
  <si>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</si>
  <si>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COST</t>
  </si>
  <si>
    <t>Mouse, Laptop Table, Laptop Bag, Laptop Brush, Laptop Stand, Charger, Mouse Pad, P47 Headphone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</si>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</sst>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2">
    <dxf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8">
    <queryTableFields count="4">
      <queryTableField id="4" name="ID" tableColumnId="1"/>
      <queryTableField id="2" name="FREEBIES NAME" tableColumnId="2"/>
      <queryTableField id="6" name="COST" tableColumnId="4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1"/>
    <tableColumn id="3" xr3:uid="{076104D8-C9E8-451B-A965-B0F52E829B97}" uniqueName="3" name="TYPE" queryTableFieldId="3" dataDxfId="30"/>
    <tableColumn id="4" xr3:uid="{EED15770-5ACA-47A3-90AC-004FB47CC5A3}" uniqueName="4" name="BRAND" queryTableFieldId="4" dataDxfId="29"/>
    <tableColumn id="5" xr3:uid="{3006AD62-9893-4204-AD0A-4EF3B9BE605E}" uniqueName="5" name="CODE" queryTableFieldId="5" dataDxfId="28"/>
    <tableColumn id="7" xr3:uid="{DC21BDB8-8A69-4186-83FC-A99F4F8E7737}" uniqueName="7" name="VARIANT" queryTableFieldId="7"/>
    <tableColumn id="6" xr3:uid="{895EF583-4F50-4211-A9B8-9D6A9E4977E5}" uniqueName="6" name="SPECS" queryTableFieldId="6" dataDxfId="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26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D6" tableType="queryTable" totalsRowShown="0">
  <autoFilter ref="A1:D6" xr:uid="{4662DD68-3559-4E05-8449-0F73B97BBCEC}"/>
  <tableColumns count="4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B618BDC7-15BE-4395-B1C2-7AF6C909EBED}" uniqueName="4" name="COST" queryTableFieldId="6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7" tableType="queryTable" totalsRowShown="0">
  <autoFilter ref="A1:C7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M10" totalsRowCount="1" headerRowDxfId="25" dataDxfId="24">
  <autoFilter ref="B2:M9" xr:uid="{11196D4F-0C08-44E6-8845-054A162CF400}"/>
  <tableColumns count="12">
    <tableColumn id="1" xr3:uid="{7E5944E0-EEF7-48BA-9C65-2A065AAFA2D9}" name="DATE" totalsRowFunction="custom" dataDxfId="23" totalsRowDxfId="22">
      <totalsRowFormula>_xlfn.CONCAT("COUNT: ", SUBTOTAL(103,_TBL_SALES[DATE]))</totalsRowFormula>
    </tableColumn>
    <tableColumn id="2" xr3:uid="{6346439F-B17B-42E4-B169-E92F350D30A5}" name="MAIN PRODUCT" totalsRowLabel="TOTAL: " dataDxfId="21" totalsRowDxfId="20"/>
    <tableColumn id="4" xr3:uid="{95CD9087-654C-4E2A-AF3A-261436977333}" name="PRICE DEFAULT" totalsRowFunction="sum" dataDxfId="19" totalsRowDxfId="18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17" totalsRowDxfId="16"/>
    <tableColumn id="11" xr3:uid="{9F9E45A1-7B2D-48FF-A185-8ED8FCD21D9D}" name="Add Ons 2" dataDxfId="15" totalsRowDxfId="14"/>
    <tableColumn id="9" xr3:uid="{631CE9C0-E0FE-462C-B49B-A25E944D45BA}" name="Add Ons 3" dataDxfId="13" totalsRowDxfId="12"/>
    <tableColumn id="14" xr3:uid="{4F652C77-A69B-4014-BFAE-0FAAD8498F77}" name="Freebies" dataDxfId="11" totalsRowDxfId="10"/>
    <tableColumn id="5" xr3:uid="{20315BED-21B2-403E-9EB7-F0CC6C891D05}" name="Add Ons Cost" totalsRowFunction="sum" dataDxfId="9" totalsRowDxfId="8">
      <calculatedColumnFormula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calculatedColumnFormula>
    </tableColumn>
    <tableColumn id="3" xr3:uid="{0C6F7D0D-2B13-4E91-997A-E759C7E54BFB}" name="TOTAL PAYMEMT" totalsRowFunction="sum" dataDxfId="7" totalsRowDxfId="6">
      <calculatedColumnFormula>IFERROR(_TBL_SALES[[#This Row],[Add Ons Cost]]+_TBL_SALES[[#This Row],[PRICE DEFAULT]], "")</calculatedColumnFormula>
    </tableColumn>
    <tableColumn id="7" xr3:uid="{A2774850-F5E8-4FA1-8C17-FE6EEC4F8D73}" name="CASH" totalsRowFunction="sum" dataDxfId="5" totalsRowDxfId="4">
      <calculatedColumnFormula>IF(_TBL_SALES[[#This Row],[PRICE DEFAULT]]+_TBL_SALES[[#This Row],[Add Ons Cost]]&lt;&gt; 0, _TBL_SALES[[#This Row],[PRICE DEFAULT]]+_TBL_SALES[[#This Row],[Add Ons Cost]], "")</calculatedColumnFormula>
    </tableColumn>
    <tableColumn id="8" xr3:uid="{3BEEB058-8C1B-4F3B-A112-E1C3BF3C5795}" name="GCASH/BANK" totalsRowFunction="sum" dataDxfId="3" totalsRowDxfId="2"/>
    <tableColumn id="6" xr3:uid="{C248064F-C2EB-414B-92FA-814B8706B646}" name="BOX CONTENT" dataDxfId="1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25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25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25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25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25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25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25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25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25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25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25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25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25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25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25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25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25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25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25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25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25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25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25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25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25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25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25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25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25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25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25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25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25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25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25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25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25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25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25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25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25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25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25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25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25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25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25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25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25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25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25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25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25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25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25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25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25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25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25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25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25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25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25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25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25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25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25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25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25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25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25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25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25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25">
      <c r="A42">
        <v>41</v>
      </c>
      <c r="B42" t="s">
        <v>100</v>
      </c>
      <c r="C42" t="s">
        <v>6</v>
      </c>
      <c r="D42" t="s">
        <v>100</v>
      </c>
    </row>
    <row r="43" spans="1:7" x14ac:dyDescent="0.25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25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25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25">
      <c r="A46">
        <v>45</v>
      </c>
      <c r="B46" t="s">
        <v>105</v>
      </c>
      <c r="C46" t="s">
        <v>6</v>
      </c>
      <c r="D46" t="s">
        <v>105</v>
      </c>
    </row>
    <row r="47" spans="1:7" x14ac:dyDescent="0.25">
      <c r="A47">
        <v>46</v>
      </c>
      <c r="B47" t="s">
        <v>106</v>
      </c>
      <c r="C47" t="s">
        <v>6</v>
      </c>
      <c r="D47" t="s">
        <v>106</v>
      </c>
    </row>
    <row r="48" spans="1:7" x14ac:dyDescent="0.25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25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25">
      <c r="A50">
        <v>49</v>
      </c>
      <c r="B50" t="s">
        <v>109</v>
      </c>
      <c r="C50" t="s">
        <v>6</v>
      </c>
      <c r="D50" t="s">
        <v>109</v>
      </c>
    </row>
    <row r="51" spans="1:7" x14ac:dyDescent="0.25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25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25">
      <c r="A53">
        <v>97</v>
      </c>
      <c r="B53" t="s">
        <v>116</v>
      </c>
      <c r="C53" t="s">
        <v>13</v>
      </c>
      <c r="E53" t="s">
        <v>116</v>
      </c>
    </row>
    <row r="54" spans="1:7" x14ac:dyDescent="0.25">
      <c r="A54">
        <v>98</v>
      </c>
      <c r="B54" t="s">
        <v>117</v>
      </c>
      <c r="C54" t="s">
        <v>15</v>
      </c>
      <c r="E54" t="s">
        <v>117</v>
      </c>
    </row>
    <row r="55" spans="1:7" x14ac:dyDescent="0.25">
      <c r="A55">
        <v>99</v>
      </c>
      <c r="B55" t="s">
        <v>118</v>
      </c>
      <c r="C55" t="s">
        <v>15</v>
      </c>
      <c r="E55" t="s">
        <v>118</v>
      </c>
    </row>
    <row r="56" spans="1:7" x14ac:dyDescent="0.25">
      <c r="A56">
        <v>100</v>
      </c>
      <c r="B56" t="s">
        <v>119</v>
      </c>
      <c r="C56" t="s">
        <v>15</v>
      </c>
      <c r="E56" t="s">
        <v>119</v>
      </c>
    </row>
    <row r="57" spans="1:7" x14ac:dyDescent="0.25">
      <c r="A57">
        <v>101</v>
      </c>
      <c r="B57" t="s">
        <v>120</v>
      </c>
      <c r="C57" t="s">
        <v>15</v>
      </c>
      <c r="E57" t="s">
        <v>120</v>
      </c>
    </row>
    <row r="58" spans="1:7" x14ac:dyDescent="0.25">
      <c r="A58">
        <v>102</v>
      </c>
      <c r="B58" t="s">
        <v>121</v>
      </c>
      <c r="C58" t="s">
        <v>15</v>
      </c>
      <c r="E58" t="s">
        <v>121</v>
      </c>
    </row>
    <row r="59" spans="1:7" x14ac:dyDescent="0.25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sheetPr codeName="Sheet1"/>
  <dimension ref="A1:D6"/>
  <sheetViews>
    <sheetView workbookViewId="0">
      <selection activeCell="C3" sqref="C3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customWidth="1"/>
    <col min="5" max="5" width="81.140625" bestFit="1" customWidth="1"/>
  </cols>
  <sheetData>
    <row r="1" spans="1:4" x14ac:dyDescent="0.25">
      <c r="A1" t="s">
        <v>0</v>
      </c>
      <c r="B1" t="s">
        <v>123</v>
      </c>
      <c r="C1" t="s">
        <v>146</v>
      </c>
      <c r="D1" t="s">
        <v>21</v>
      </c>
    </row>
    <row r="2" spans="1:4" x14ac:dyDescent="0.25">
      <c r="A2">
        <v>1</v>
      </c>
      <c r="B2" t="s">
        <v>124</v>
      </c>
      <c r="C2">
        <v>0</v>
      </c>
      <c r="D2" t="s">
        <v>147</v>
      </c>
    </row>
    <row r="3" spans="1:4" x14ac:dyDescent="0.25">
      <c r="A3">
        <v>2</v>
      </c>
      <c r="B3" t="s">
        <v>125</v>
      </c>
      <c r="C3">
        <v>0</v>
      </c>
      <c r="D3" t="s">
        <v>139</v>
      </c>
    </row>
    <row r="4" spans="1:4" x14ac:dyDescent="0.25">
      <c r="A4">
        <v>3</v>
      </c>
      <c r="B4" t="s">
        <v>126</v>
      </c>
      <c r="C4">
        <v>0</v>
      </c>
      <c r="D4" t="s">
        <v>140</v>
      </c>
    </row>
    <row r="5" spans="1:4" x14ac:dyDescent="0.25">
      <c r="A5">
        <v>4</v>
      </c>
      <c r="B5" t="s">
        <v>127</v>
      </c>
      <c r="C5">
        <v>0</v>
      </c>
      <c r="D5" t="s">
        <v>141</v>
      </c>
    </row>
    <row r="6" spans="1:4" x14ac:dyDescent="0.25">
      <c r="A6">
        <v>5</v>
      </c>
      <c r="B6" t="s">
        <v>148</v>
      </c>
      <c r="D6" t="s">
        <v>149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sheetPr codeName="Sheet3"/>
  <dimension ref="A1:F5"/>
  <sheetViews>
    <sheetView workbookViewId="0">
      <selection activeCell="B2" sqref="B2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25">
      <c r="B2" t="s">
        <v>56</v>
      </c>
      <c r="C2">
        <v>3990</v>
      </c>
    </row>
    <row r="3" spans="1:6" x14ac:dyDescent="0.25">
      <c r="B3" t="s">
        <v>44</v>
      </c>
      <c r="C3">
        <v>3990</v>
      </c>
    </row>
    <row r="4" spans="1:6" x14ac:dyDescent="0.25">
      <c r="B4" t="s">
        <v>55</v>
      </c>
    </row>
    <row r="5" spans="1:6" x14ac:dyDescent="0.25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sheetPr codeName="Sheet5"/>
  <dimension ref="A1:C7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129</v>
      </c>
      <c r="C1" t="s">
        <v>130</v>
      </c>
    </row>
    <row r="2" spans="1:3" x14ac:dyDescent="0.25">
      <c r="A2">
        <v>1</v>
      </c>
      <c r="B2" t="s">
        <v>136</v>
      </c>
      <c r="C2">
        <v>250</v>
      </c>
    </row>
    <row r="3" spans="1:3" x14ac:dyDescent="0.25">
      <c r="A3">
        <v>2</v>
      </c>
      <c r="B3" t="s">
        <v>142</v>
      </c>
      <c r="C3">
        <v>100</v>
      </c>
    </row>
    <row r="4" spans="1:3" x14ac:dyDescent="0.25">
      <c r="A4">
        <v>3</v>
      </c>
      <c r="B4" t="s">
        <v>143</v>
      </c>
      <c r="C4">
        <v>100</v>
      </c>
    </row>
    <row r="5" spans="1:3" x14ac:dyDescent="0.25">
      <c r="A5">
        <v>4</v>
      </c>
      <c r="B5" t="s">
        <v>144</v>
      </c>
      <c r="C5">
        <v>100</v>
      </c>
    </row>
    <row r="6" spans="1:3" x14ac:dyDescent="0.25">
      <c r="A6">
        <v>5</v>
      </c>
      <c r="B6" t="s">
        <v>131</v>
      </c>
      <c r="C6">
        <v>5000</v>
      </c>
    </row>
    <row r="7" spans="1:3" x14ac:dyDescent="0.25">
      <c r="A7">
        <v>6</v>
      </c>
      <c r="B7" t="s">
        <v>132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M11"/>
  <sheetViews>
    <sheetView tabSelected="1" zoomScale="85" zoomScaleNormal="55" workbookViewId="0">
      <selection activeCell="H21" sqref="H21"/>
    </sheetView>
  </sheetViews>
  <sheetFormatPr defaultRowHeight="15" x14ac:dyDescent="0.25"/>
  <cols>
    <col min="2" max="2" width="18.42578125" customWidth="1"/>
    <col min="3" max="3" width="42.7109375" customWidth="1"/>
    <col min="4" max="7" width="21.140625" customWidth="1"/>
    <col min="8" max="8" width="22.42578125" customWidth="1"/>
    <col min="9" max="9" width="18" customWidth="1"/>
    <col min="10" max="10" width="19.7109375" customWidth="1"/>
    <col min="11" max="11" width="24.5703125" customWidth="1"/>
    <col min="12" max="12" width="25.28515625" customWidth="1"/>
    <col min="13" max="13" width="185.7109375" bestFit="1" customWidth="1"/>
  </cols>
  <sheetData>
    <row r="1" spans="2:13" x14ac:dyDescent="0.25">
      <c r="C1" s="22" t="s">
        <v>18</v>
      </c>
      <c r="D1" s="22"/>
      <c r="E1" s="10"/>
      <c r="F1" s="10"/>
      <c r="G1" s="10"/>
    </row>
    <row r="2" spans="2:13" ht="15.75" thickBot="1" x14ac:dyDescent="0.3">
      <c r="B2" s="1" t="s">
        <v>9</v>
      </c>
      <c r="C2" s="1" t="s">
        <v>138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134</v>
      </c>
      <c r="L2" s="1" t="s">
        <v>135</v>
      </c>
      <c r="M2" s="1" t="s">
        <v>145</v>
      </c>
    </row>
    <row r="3" spans="2:13" x14ac:dyDescent="0.25">
      <c r="B3" s="2">
        <v>45766</v>
      </c>
      <c r="C3" s="8" t="s">
        <v>44</v>
      </c>
      <c r="D3" s="5">
        <f xml:space="preserve"> _xlfn.IFNA( VLOOKUP(_TBL_SALES[[#This Row],[MAIN PRODUCT]], MAIN_PRODUCT[[PRODUCT NAME]:[DEFAULT PRICE]], 2), "")</f>
        <v>3990</v>
      </c>
      <c r="E3" s="15" t="s">
        <v>132</v>
      </c>
      <c r="F3" s="16"/>
      <c r="G3" s="16"/>
      <c r="H3" s="17" t="s">
        <v>124</v>
      </c>
      <c r="I3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300</v>
      </c>
      <c r="J3" s="5">
        <f>IFERROR(_TBL_SALES[[#This Row],[Add Ons Cost]]+_TBL_SALES[[#This Row],[PRICE DEFAULT]], "")</f>
        <v>4290</v>
      </c>
      <c r="K3" s="5">
        <v>3000</v>
      </c>
      <c r="L3" s="5">
        <v>1240</v>
      </c>
      <c r="M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,Webcam ,0</v>
      </c>
    </row>
    <row r="4" spans="2:13" x14ac:dyDescent="0.25">
      <c r="B4" s="2">
        <v>45766</v>
      </c>
      <c r="C4" s="8" t="s">
        <v>56</v>
      </c>
      <c r="D4" s="5">
        <f xml:space="preserve"> _xlfn.IFNA( VLOOKUP(_TBL_SALES[[#This Row],[MAIN PRODUCT]], MAIN_PRODUCT[[PRODUCT NAME]:[DEFAULT PRICE]], 2), "")</f>
        <v>3990</v>
      </c>
      <c r="E4" s="13" t="s">
        <v>136</v>
      </c>
      <c r="F4" s="12"/>
      <c r="G4" s="12"/>
      <c r="H4" s="14" t="s">
        <v>148</v>
      </c>
      <c r="I4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4" s="5">
        <f>IFERROR(_TBL_SALES[[#This Row],[Add Ons Cost]]+_TBL_SALES[[#This Row],[PRICE DEFAULT]], "")</f>
        <v>4240</v>
      </c>
      <c r="K4" s="5"/>
      <c r="L4" s="5"/>
      <c r="M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REGULAR 4 / 16 ,Computer Table</v>
      </c>
    </row>
    <row r="5" spans="2:13" x14ac:dyDescent="0.25">
      <c r="B5" s="2">
        <v>45766</v>
      </c>
      <c r="C5" s="8" t="s">
        <v>137</v>
      </c>
      <c r="D5" s="5">
        <f xml:space="preserve"> _xlfn.IFNA( VLOOKUP(_TBL_SALES[[#This Row],[MAIN PRODUCT]], MAIN_PRODUCT[[PRODUCT NAME]:[DEFAULT PRICE]], 2), "")</f>
        <v>6000</v>
      </c>
      <c r="E5" s="13" t="s">
        <v>142</v>
      </c>
      <c r="F5" s="12"/>
      <c r="G5" s="12"/>
      <c r="H5" s="14"/>
      <c r="I5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5" s="5">
        <f>IFERROR(_TBL_SALES[[#This Row],[Add Ons Cost]]+_TBL_SALES[[#This Row],[PRICE DEFAULT]], "")</f>
        <v>6100</v>
      </c>
      <c r="K5" s="5"/>
      <c r="L5" s="5"/>
      <c r="M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3" x14ac:dyDescent="0.25">
      <c r="B6" s="2">
        <v>45773</v>
      </c>
      <c r="C6" s="8" t="s">
        <v>44</v>
      </c>
      <c r="D6" s="5">
        <f xml:space="preserve"> _xlfn.IFNA( VLOOKUP(_TBL_SALES[[#This Row],[MAIN PRODUCT]], MAIN_PRODUCT[[PRODUCT NAME]:[DEFAULT PRICE]], 2), "")</f>
        <v>3990</v>
      </c>
      <c r="E6" s="13" t="s">
        <v>136</v>
      </c>
      <c r="F6" s="12"/>
      <c r="G6" s="12"/>
      <c r="H6" s="14"/>
      <c r="I6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6" s="5">
        <f>IFERROR(_TBL_SALES[[#This Row],[Add Ons Cost]]+_TBL_SALES[[#This Row],[PRICE DEFAULT]], "")</f>
        <v>4240</v>
      </c>
      <c r="K6" s="5"/>
      <c r="L6" s="5"/>
      <c r="M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3" x14ac:dyDescent="0.25">
      <c r="B7" s="2"/>
      <c r="C7" s="8"/>
      <c r="D7" s="5" t="str">
        <f xml:space="preserve"> _xlfn.IFNA( VLOOKUP(_TBL_SALES[[#This Row],[MAIN PRODUCT]], MAIN_PRODUCT[[PRODUCT NAME]:[DEFAULT PRICE]], 2), "")</f>
        <v/>
      </c>
      <c r="E7" s="13"/>
      <c r="F7" s="12"/>
      <c r="G7" s="12"/>
      <c r="H7" s="14"/>
      <c r="I7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5"/>
      <c r="L7" s="5"/>
      <c r="M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3" x14ac:dyDescent="0.25">
      <c r="B8" s="2"/>
      <c r="C8" s="8"/>
      <c r="D8" s="5" t="str">
        <f xml:space="preserve"> _xlfn.IFNA( VLOOKUP(_TBL_SALES[[#This Row],[MAIN PRODUCT]], MAIN_PRODUCT[[PRODUCT NAME]:[DEFAULT PRICE]], 2), "")</f>
        <v/>
      </c>
      <c r="E8" s="13"/>
      <c r="F8" s="12"/>
      <c r="G8" s="12"/>
      <c r="H8" s="14"/>
      <c r="I8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5"/>
      <c r="L8" s="5"/>
      <c r="M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3" ht="15.75" thickBot="1" x14ac:dyDescent="0.3">
      <c r="B9" s="2"/>
      <c r="C9" s="9"/>
      <c r="D9" s="5" t="str">
        <f xml:space="preserve"> _xlfn.IFNA( VLOOKUP(_TBL_SALES[[#This Row],[MAIN PRODUCT]], MAIN_PRODUCT[[PRODUCT NAME]:[DEFAULT PRICE]], 2), "")</f>
        <v/>
      </c>
      <c r="E9" s="18"/>
      <c r="F9" s="19"/>
      <c r="G9" s="19"/>
      <c r="H9" s="20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5"/>
      <c r="L9" s="5"/>
      <c r="M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3" x14ac:dyDescent="0.25">
      <c r="B10" s="1" t="str">
        <f>_xlfn.CONCAT("COUNT: ", SUBTOTAL(103,_TBL_SALES[DATE]))</f>
        <v>COUNT: 4</v>
      </c>
      <c r="C10" s="3" t="s">
        <v>16</v>
      </c>
      <c r="D10" s="6">
        <f>SUBTOTAL(109,_TBL_SALES[PRICE DEFAULT])</f>
        <v>17970</v>
      </c>
      <c r="E10" s="6"/>
      <c r="F10" s="6"/>
      <c r="G10" s="6"/>
      <c r="H10" s="6"/>
      <c r="I10" s="6">
        <f>SUBTOTAL(109,_TBL_SALES[Add Ons Cost])</f>
        <v>900</v>
      </c>
      <c r="J10" s="6">
        <f>SUBTOTAL(109,_TBL_SALES[TOTAL PAYMEMT])</f>
        <v>18870</v>
      </c>
      <c r="K10" s="6">
        <f>SUBTOTAL(109,_TBL_SALES[CASH])</f>
        <v>3000</v>
      </c>
      <c r="L10" s="6">
        <f>SUBTOTAL(109,_TBL_SALES[GCASH/BANK])</f>
        <v>1240</v>
      </c>
      <c r="M10" s="3"/>
    </row>
    <row r="11" spans="2:13" x14ac:dyDescent="0.25">
      <c r="C11" s="4" t="s">
        <v>17</v>
      </c>
      <c r="D11" s="7">
        <f>SUM(_TBL_SALES[Add Ons Cost])</f>
        <v>900</v>
      </c>
      <c r="E11" s="7"/>
      <c r="F11" s="7"/>
      <c r="G11" s="7"/>
      <c r="J11" s="7">
        <f>SUM(_TBL_SALES[TOTAL PAYMEMT])</f>
        <v>18870</v>
      </c>
      <c r="K11" s="7">
        <f>SUM(_TBL_SALES[CASH])</f>
        <v>3000</v>
      </c>
      <c r="L11" s="7">
        <f>SUM(_TBL_SALES[GCASH/BANK])</f>
        <v>1240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  <dataValidation type="list" allowBlank="1" showInputMessage="1" showErrorMessage="1" sqref="E3:G9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2025-04-27T04:55:52Z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