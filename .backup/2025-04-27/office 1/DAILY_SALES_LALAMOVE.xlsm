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C85EE039-8103-482D-B0AA-D0C9D1959600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'_TBL_ADD_ONS'!$A$1:$C$8</definedName>
    <definedName name="ExternalData_1" localSheetId="1" hidden="1">'_TBL_EMPLOYEES'!$A$1:$Q$2</definedName>
    <definedName name="ExternalData_1" localSheetId="3" hidden="1">'_TBL_FREEBIES_SET'!$A$1:$D$6</definedName>
    <definedName name="ExternalData_2" localSheetId="0" hidden="1">'_TBL_INVENTORY'!$A$1:$G$50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2" l="1"/>
  <c r="M3" i="2"/>
  <c r="M4" i="2"/>
  <c r="M5" i="2"/>
  <c r="M6" i="2"/>
  <c r="M7" i="2"/>
  <c r="M8" i="2"/>
  <c r="I3" i="2"/>
  <c r="I4" i="2"/>
  <c r="I6" i="2"/>
  <c r="I7" i="2"/>
  <c r="I8" i="2"/>
  <c r="I9" i="2"/>
  <c r="I5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<sst xmlns="http://schemas.openxmlformats.org/spreadsheetml/2006/main" count="579" uniqueCount="150">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</sst>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"/>
    <tableColumn id="3" xr3:uid="{076104D8-C9E8-451B-A965-B0F52E829B97}" uniqueName="3" name="TYPE" queryTableFieldId="3" dataDxfId="3"/>
    <tableColumn id="4" xr3:uid="{EED15770-5ACA-47A3-90AC-004FB47CC5A3}" uniqueName="4" name="BRAND" queryTableFieldId="4" dataDxfId="2"/>
    <tableColumn id="5" xr3:uid="{3006AD62-9893-4204-AD0A-4EF3B9BE605E}" uniqueName="5" name="CODE" queryTableFieldId="5" dataDxfId="1"/>
    <tableColumn id="7" xr3:uid="{DC21BDB8-8A69-4186-83FC-A99F4F8E7737}" uniqueName="7" name="VARIANT" queryTableFieldId="7"/>
    <tableColumn id="6" xr3:uid="{895EF583-4F50-4211-A9B8-9D6A9E4977E5}" uniqueName="6" name="SPECS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1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8D9FA396-0789-4E31-BB75-FA8BCBEE8058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0" totalsRowCount="1" headerRowDxfId="30" dataDxfId="29">
  <autoFilter ref="B2:M9" xr:uid="{11196D4F-0C08-44E6-8845-054A162CF400}"/>
  <tableColumns count="12">
    <tableColumn id="1" xr3:uid="{7E5944E0-EEF7-48BA-9C65-2A065AAFA2D9}" name="DATE" totalsRowFunction="custom" dataDxfId="28" totalsRowDxfId="27">
      <totalsRowFormula>_xlfn.CONCAT("COUNT: ", SUBTOTAL(103,_TBL_SALES[DATE]))</totalsRowFormula>
    </tableColumn>
    <tableColumn id="2" xr3:uid="{6346439F-B17B-42E4-B169-E92F350D30A5}" name="MAIN PRODUCT" totalsRowLabel="TOTAL: " dataDxfId="26" totalsRowDxfId="25"/>
    <tableColumn id="4" xr3:uid="{95CD9087-654C-4E2A-AF3A-261436977333}" name="PRICE DEFAULT" totalsRowFunction="sum" dataDxfId="24" totalsRowDxfId="23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2" totalsRowDxfId="21"/>
    <tableColumn id="11" xr3:uid="{9F9E45A1-7B2D-48FF-A185-8ED8FCD21D9D}" name="Add Ons 2" dataDxfId="20" totalsRowDxfId="19"/>
    <tableColumn id="9" xr3:uid="{631CE9C0-E0FE-462C-B49B-A25E944D45BA}" name="Add Ons 3" dataDxfId="18" totalsRowDxfId="17"/>
    <tableColumn id="14" xr3:uid="{4F652C77-A69B-4014-BFAE-0FAAD8498F77}" name="Freebies" dataDxfId="16" totalsRowDxfId="15"/>
    <tableColumn id="5" xr3:uid="{20315BED-21B2-403E-9EB7-F0CC6C891D05}" name="Add Ons Cost" totalsRowFunction="sum" dataDxfId="14" totalsRowDxfId="13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12" totalsRowDxfId="11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0" totalsRowDxfId="9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8" totalsRowDxfId="7"/>
    <tableColumn id="6" xr3:uid="{C248064F-C2EB-414B-92FA-814B8706B646}" name="BOX CONTENT" dataDxfId="6" totalsRowDxfId="5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146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147</v>
      </c>
    </row>
    <row r="3" spans="1:4" x14ac:dyDescent="0.25">
      <c r="A3">
        <v>2</v>
      </c>
      <c r="B3" t="s">
        <v>125</v>
      </c>
      <c r="C3">
        <v>0</v>
      </c>
      <c r="D3" t="s">
        <v>139</v>
      </c>
    </row>
    <row r="4" spans="1:4" x14ac:dyDescent="0.25">
      <c r="A4">
        <v>3</v>
      </c>
      <c r="B4" t="s">
        <v>126</v>
      </c>
      <c r="C4">
        <v>0</v>
      </c>
      <c r="D4" t="s">
        <v>140</v>
      </c>
    </row>
    <row r="5" spans="1:4" x14ac:dyDescent="0.25">
      <c r="A5">
        <v>4</v>
      </c>
      <c r="B5" t="s">
        <v>127</v>
      </c>
      <c r="C5">
        <v>0</v>
      </c>
      <c r="D5" t="s">
        <v>141</v>
      </c>
    </row>
    <row r="6" spans="1:4" x14ac:dyDescent="0.25">
      <c r="A6">
        <v>5</v>
      </c>
      <c r="B6" t="s">
        <v>148</v>
      </c>
      <c r="D6" t="s">
        <v>149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142</v>
      </c>
      <c r="C3">
        <v>100</v>
      </c>
    </row>
    <row r="4" spans="1:3" x14ac:dyDescent="0.25">
      <c r="A4">
        <v>3</v>
      </c>
      <c r="B4" t="s">
        <v>143</v>
      </c>
      <c r="C4">
        <v>100</v>
      </c>
    </row>
    <row r="5" spans="1:3" x14ac:dyDescent="0.25">
      <c r="A5">
        <v>4</v>
      </c>
      <c r="B5" t="s">
        <v>144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1"/>
  <sheetViews>
    <sheetView tabSelected="1" zoomScale="85" zoomScaleNormal="55" workbookViewId="0">
      <selection activeCell="H23" sqref="H23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22" t="s">
        <v>18</v>
      </c>
      <c r="D1" s="22"/>
      <c r="E1" s="10"/>
      <c r="F1" s="10"/>
      <c r="G1" s="10"/>
    </row>
    <row r="2" spans="2:13" ht="15.75" thickBot="1" x14ac:dyDescent="0.3">
      <c r="B2" s="1" t="s">
        <v>9</v>
      </c>
      <c r="C2" s="1" t="s">
        <v>138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145</v>
      </c>
    </row>
    <row r="3" spans="2:13" x14ac:dyDescent="0.25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5" t="s">
        <v>132</v>
      </c>
      <c r="F3" s="16"/>
      <c r="G3" s="16"/>
      <c r="H3" s="17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5">
        <f>IFERROR(_TBL_SALES[[#This Row],[Add Ons Cost]]+_TBL_SALES[[#This Row],[PRICE DEFAULT]], "")</f>
        <v>4290</v>
      </c>
      <c r="K3" s="5">
        <v>3000</v>
      </c>
      <c r="L3" s="5">
        <v>1240</v>
      </c>
      <c r="M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,0</v>
      </c>
    </row>
    <row r="4" spans="2:13" x14ac:dyDescent="0.25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136</v>
      </c>
      <c r="F4" s="12"/>
      <c r="G4" s="12"/>
      <c r="H4" s="14"/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5">
        <f>IFERROR(_TBL_SALES[[#This Row],[Add Ons Cost]]+_TBL_SALES[[#This Row],[PRICE DEFAULT]], "")</f>
        <v>4240</v>
      </c>
      <c r="K4" s="5"/>
      <c r="L4" s="5"/>
      <c r="M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25">
      <c r="B5" s="2">
        <v>45766</v>
      </c>
      <c r="C5" s="8" t="s">
        <v>137</v>
      </c>
      <c r="D5" s="5">
        <f xml:space="preserve"> _xlfn.IFNA( VLOOKUP(_TBL_SALES[[#This Row],[MAIN PRODUCT]], MAIN_PRODUCT[[PRODUCT NAME]:[DEFAULT PRICE]], 2), "")</f>
        <v>6000</v>
      </c>
      <c r="E5" s="13" t="s">
        <v>142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5">
        <f>IFERROR(_TBL_SALES[[#This Row],[Add Ons Cost]]+_TBL_SALES[[#This Row],[PRICE DEFAULT]], "")</f>
        <v>6100</v>
      </c>
      <c r="K5" s="5"/>
      <c r="L5" s="5"/>
      <c r="M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5"/>
      <c r="L6" s="5"/>
      <c r="M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>
        <v>45773</v>
      </c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5"/>
      <c r="L7" s="5"/>
      <c r="M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>
        <v>45773</v>
      </c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5"/>
      <c r="L8" s="5"/>
      <c r="M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ht="15.75" thickBot="1" x14ac:dyDescent="0.3">
      <c r="B9" s="2"/>
      <c r="C9" s="9"/>
      <c r="D9" s="5" t="str">
        <f xml:space="preserve"> _xlfn.IFNA( VLOOKUP(_TBL_SALES[[#This Row],[MAIN PRODUCT]], MAIN_PRODUCT[[PRODUCT NAME]:[DEFAULT PRICE]], 2), "")</f>
        <v/>
      </c>
      <c r="E9" s="18"/>
      <c r="F9" s="19"/>
      <c r="G9" s="19"/>
      <c r="H9" s="20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5"/>
      <c r="L9" s="5"/>
      <c r="M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1" t="str">
        <f>_xlfn.CONCAT("COUNT: ", SUBTOTAL(103,_TBL_SALES[DATE]))</f>
        <v>COUNT: 6</v>
      </c>
      <c r="C10" s="3" t="s">
        <v>16</v>
      </c>
      <c r="D10" s="6">
        <f>SUBTOTAL(109,_TBL_SALES[PRICE DEFAULT])</f>
        <v>17970</v>
      </c>
      <c r="E10" s="6"/>
      <c r="F10" s="6"/>
      <c r="G10" s="6"/>
      <c r="H10" s="6"/>
      <c r="I10" s="6">
        <f>SUBTOTAL(109,_TBL_SALES[Add Ons Cost])</f>
        <v>650</v>
      </c>
      <c r="J10" s="6">
        <f>SUBTOTAL(109,_TBL_SALES[TOTAL PAYMEMT])</f>
        <v>14630</v>
      </c>
      <c r="K10" s="6">
        <f>SUBTOTAL(109,_TBL_SALES[CASH])</f>
        <v>3000</v>
      </c>
      <c r="L10" s="6">
        <f>SUBTOTAL(109,_TBL_SALES[GCASH/BANK])</f>
        <v>1240</v>
      </c>
      <c r="M10" s="3"/>
    </row>
    <row r="11" spans="2:13" x14ac:dyDescent="0.25">
      <c r="C11" s="4" t="s">
        <v>17</v>
      </c>
      <c r="D11" s="7">
        <f>SUM(_TBL_SALES[Add Ons Cost])</f>
        <v>650</v>
      </c>
      <c r="E11" s="7"/>
      <c r="F11" s="7"/>
      <c r="G11" s="7"/>
      <c r="J11" s="7">
        <f>SUM(_TBL_SALES[TOTAL PAYMEMT])</f>
        <v>14630</v>
      </c>
      <c r="K11" s="7">
        <f>SUM(_TBL_SALES[CASH])</f>
        <v>3000</v>
      </c>
      <c r="L11" s="7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  <dataValidation type="list" allowBlank="1" showInputMessage="1" showErrorMessage="1" sqref="E3:G9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2025-04-27T05:16:46Z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