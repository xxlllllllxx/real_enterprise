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reports\"/>
    </mc:Choice>
  </mc:AlternateContent>
  <xr:revisionPtr revIDLastSave="0" documentId="13_ncr:1_{B71CCFA9-4829-4921-9C65-0737C7064280}" xr6:coauthVersionLast="36" xr6:coauthVersionMax="47" xr10:uidLastSave="{00000000-0000-0000-0000-000000000000}"/>
  <bookViews>
    <workbookView xWindow="-120" yWindow="-120" windowWidth="29040" windowHeight="15720" tabRatio="811" firstSheet="6" activeTab="6" xr2:uid="{00000000-000D-0000-FFFF-FFFF00000000}"/>
  </bookViews>
  <sheets>
    <sheet name="_TBL_INVENTORY_IN" sheetId="19" state="hidden" r:id="rId1"/>
    <sheet name="_TBL_PRODUCT_CATALOG" sheetId="29" state="hidden" r:id="rId2"/>
    <sheet name="_TBL_PRODUCT" sheetId="28" state="hidden" r:id="rId3"/>
    <sheet name="_TBL_INVENTORY" sheetId="27" state="hidden" r:id="rId4"/>
    <sheet name="PC_INVENTORY" sheetId="31" state="hidden" r:id="rId5"/>
    <sheet name="LAPTOP_INVENTORY" sheetId="30" state="hidden" r:id="rId6"/>
    <sheet name="INVENTORY IN LOGS" sheetId="2" r:id="rId7"/>
    <sheet name="PRINTER_INVENTORY" sheetId="32" r:id="rId8"/>
    <sheet name="STOCKS OFFICE 2" sheetId="33" r:id="rId9"/>
    <sheet name="STOCKS OFFICE 2-OLD" sheetId="25" state="hidden" r:id="rId10"/>
    <sheet name="SALES REPORT" sheetId="13" r:id="rId11"/>
    <sheet name="STOCKS OFFICE 1" sheetId="24" r:id="rId12"/>
  </sheets>
  <definedNames>
    <definedName name="ExternalData_1" localSheetId="3" hidden="1">_TBL_INVENTORY!$A$1:$G$105</definedName>
    <definedName name="ExternalData_1" localSheetId="0" hidden="1">_TBL_INVENTORY_IN!$A$2:$F$9</definedName>
    <definedName name="ExternalData_1" localSheetId="5" hidden="1">LAPTOP_INVENTORY!$A$1:$H$4</definedName>
    <definedName name="ExternalData_1" localSheetId="7" hidden="1">PRINTER_INVENTORY!$A$1:$H$3</definedName>
    <definedName name="ExternalData_1" localSheetId="8" hidden="1">'STOCKS OFFICE 2'!$B$2:$G$106</definedName>
    <definedName name="ExternalData_2" localSheetId="2" hidden="1">_TBL_PRODUCT!$A$1:$F$5</definedName>
    <definedName name="ExternalData_2" localSheetId="4" hidden="1">PC_INVENTORY!$A$1:$H$4</definedName>
    <definedName name="ExternalData_3" localSheetId="1" hidden="1">_TBL_PRODUCT_CATALOG!$A$1:$B$14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5" l="1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3" i="25"/>
  <c r="E107" i="25" l="1"/>
  <c r="E108" i="25"/>
  <c r="E109" i="25"/>
  <c r="E110" i="25"/>
  <c r="E111" i="25"/>
  <c r="E112" i="25"/>
  <c r="E113" i="25"/>
  <c r="E114" i="25"/>
  <c r="E115" i="25"/>
  <c r="E116" i="25"/>
  <c r="D3" i="25"/>
  <c r="D108" i="25"/>
  <c r="D109" i="25"/>
  <c r="D110" i="25"/>
  <c r="D111" i="25"/>
  <c r="D112" i="25"/>
  <c r="D113" i="25"/>
  <c r="D114" i="25"/>
  <c r="D115" i="25"/>
  <c r="D116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C6" i="13" l="1"/>
  <c r="E8" i="2" l="1"/>
  <c r="F8" i="2" l="1"/>
  <c r="F9" i="2"/>
  <c r="F10" i="2"/>
  <c r="F11" i="2"/>
  <c r="E4" i="13"/>
  <c r="E5" i="13"/>
  <c r="E6" i="13"/>
  <c r="E7" i="13"/>
  <c r="E8" i="13"/>
  <c r="E9" i="13"/>
  <c r="E10" i="13"/>
  <c r="E11" i="13"/>
  <c r="E12" i="13"/>
  <c r="E13" i="13"/>
  <c r="E3" i="13"/>
  <c r="F5" i="13"/>
  <c r="F6" i="13"/>
  <c r="F7" i="13"/>
  <c r="F8" i="13"/>
  <c r="F9" i="13"/>
  <c r="F10" i="13"/>
  <c r="F11" i="13"/>
  <c r="F12" i="13"/>
  <c r="F13" i="13"/>
  <c r="F4" i="13"/>
  <c r="F3" i="13"/>
  <c r="D3" i="13"/>
  <c r="D4" i="13"/>
  <c r="D5" i="13"/>
  <c r="D6" i="13"/>
  <c r="D7" i="13"/>
  <c r="D8" i="13"/>
  <c r="D9" i="13"/>
  <c r="D10" i="13"/>
  <c r="D11" i="13"/>
  <c r="D12" i="13"/>
  <c r="D13" i="13"/>
  <c r="B4" i="13"/>
  <c r="C4" i="13"/>
  <c r="B5" i="13"/>
  <c r="C5" i="13"/>
  <c r="B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3" i="13"/>
  <c r="C3" i="13"/>
  <c r="C4" i="2" l="1"/>
  <c r="C10" i="2"/>
  <c r="E10" i="2" s="1"/>
  <c r="C11" i="2"/>
  <c r="E11" i="2" s="1"/>
  <c r="F4" i="2" l="1"/>
  <c r="F5" i="2"/>
  <c r="F6" i="2"/>
  <c r="F7" i="2"/>
  <c r="D3" i="2"/>
  <c r="D4" i="2"/>
  <c r="E4" i="2" s="1"/>
  <c r="E9" i="2"/>
  <c r="D10" i="2"/>
  <c r="D11" i="2"/>
  <c r="B4" i="2"/>
  <c r="C3" i="2"/>
  <c r="E3" i="25" s="1"/>
  <c r="B14" i="13"/>
  <c r="G13" i="13"/>
  <c r="G12" i="13"/>
  <c r="G11" i="13"/>
  <c r="G10" i="13"/>
  <c r="G9" i="13"/>
  <c r="G8" i="13"/>
  <c r="G7" i="13"/>
  <c r="G6" i="13"/>
  <c r="G5" i="13"/>
  <c r="G4" i="13"/>
  <c r="D15" i="13"/>
  <c r="E9" i="25" l="1"/>
  <c r="E17" i="25"/>
  <c r="E25" i="25"/>
  <c r="E33" i="25"/>
  <c r="E41" i="25"/>
  <c r="E49" i="25"/>
  <c r="E57" i="25"/>
  <c r="E65" i="25"/>
  <c r="E73" i="25"/>
  <c r="E81" i="25"/>
  <c r="E89" i="25"/>
  <c r="E97" i="25"/>
  <c r="E105" i="25"/>
  <c r="E69" i="25"/>
  <c r="E14" i="25"/>
  <c r="E62" i="25"/>
  <c r="E94" i="25"/>
  <c r="E47" i="25"/>
  <c r="E79" i="25"/>
  <c r="E24" i="25"/>
  <c r="E48" i="25"/>
  <c r="E64" i="25"/>
  <c r="E10" i="25"/>
  <c r="E18" i="25"/>
  <c r="E26" i="25"/>
  <c r="E34" i="25"/>
  <c r="E42" i="25"/>
  <c r="E50" i="25"/>
  <c r="E58" i="25"/>
  <c r="E66" i="25"/>
  <c r="E74" i="25"/>
  <c r="E82" i="25"/>
  <c r="E90" i="25"/>
  <c r="E98" i="25"/>
  <c r="E106" i="25"/>
  <c r="E93" i="25"/>
  <c r="E6" i="25"/>
  <c r="E54" i="25"/>
  <c r="E102" i="25"/>
  <c r="E23" i="25"/>
  <c r="E71" i="25"/>
  <c r="E103" i="25"/>
  <c r="E32" i="25"/>
  <c r="E56" i="25"/>
  <c r="E72" i="25"/>
  <c r="E96" i="25"/>
  <c r="E11" i="25"/>
  <c r="E19" i="25"/>
  <c r="E27" i="25"/>
  <c r="E35" i="25"/>
  <c r="E43" i="25"/>
  <c r="E51" i="25"/>
  <c r="E59" i="25"/>
  <c r="E67" i="25"/>
  <c r="E75" i="25"/>
  <c r="E83" i="25"/>
  <c r="E91" i="25"/>
  <c r="E99" i="25"/>
  <c r="E13" i="25"/>
  <c r="E29" i="25"/>
  <c r="E45" i="25"/>
  <c r="E61" i="25"/>
  <c r="E85" i="25"/>
  <c r="E22" i="25"/>
  <c r="E38" i="25"/>
  <c r="E70" i="25"/>
  <c r="E7" i="25"/>
  <c r="E31" i="25"/>
  <c r="E55" i="25"/>
  <c r="E87" i="25"/>
  <c r="E8" i="25"/>
  <c r="E88" i="25"/>
  <c r="E4" i="25"/>
  <c r="E12" i="25"/>
  <c r="E20" i="25"/>
  <c r="E28" i="25"/>
  <c r="E36" i="25"/>
  <c r="E44" i="25"/>
  <c r="E52" i="25"/>
  <c r="E60" i="25"/>
  <c r="E68" i="25"/>
  <c r="E76" i="25"/>
  <c r="E84" i="25"/>
  <c r="E92" i="25"/>
  <c r="E100" i="25"/>
  <c r="E5" i="25"/>
  <c r="E21" i="25"/>
  <c r="E37" i="25"/>
  <c r="E53" i="25"/>
  <c r="E77" i="25"/>
  <c r="E101" i="25"/>
  <c r="E30" i="25"/>
  <c r="E46" i="25"/>
  <c r="E78" i="25"/>
  <c r="E86" i="25"/>
  <c r="E15" i="25"/>
  <c r="E39" i="25"/>
  <c r="E63" i="25"/>
  <c r="E95" i="25"/>
  <c r="E16" i="25"/>
  <c r="E40" i="25"/>
  <c r="E80" i="25"/>
  <c r="E104" i="25"/>
  <c r="E7" i="2"/>
  <c r="E6" i="2"/>
  <c r="E5" i="2"/>
  <c r="E3" i="2"/>
  <c r="D14" i="13"/>
  <c r="G3" i="13"/>
  <c r="G15" i="13" s="1"/>
  <c r="G14" i="13" l="1"/>
  <c r="G13" i="2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saveData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saveData="1">
    <dbPr connection="Provider=Microsoft.Mashup.OleDb.1;Data Source=$Workbook$;Location=_TBL_PRODUCT;Extended Properties=&quot;&quot;" command="SELECT * FROM [_TBL_PRODUCT]"/>
  </connection>
  <connection id="4" xr16:uid="{F3DD8F31-37F2-4DD0-B356-80E31540C90B}" keepAlive="1" name="Query - _TBL_PRODUCT_CATALOG" description="Connection to the '_TBL_PRODUCT_CATALOG' query in the workbook." type="5" refreshedVersion="6" background="1" saveData="1">
    <dbPr connection="Provider=Microsoft.Mashup.OleDb.1;Data Source=$Workbook$;Location=_TBL_PRODUCT_CATALOG;Extended Properties=&quot;&quot;" command="SELECT * FROM [_TBL_PRODUCT_CATALOG]"/>
  </connection>
  <connection id="5" xr16:uid="{4DFBC01F-9BBC-427A-996C-A7DD92C03697}" keepAlive="1" name="Query - LAPTOP_INVENTORY" description="Connection to the 'LAPTOP_INVENTORY' query in the workbook." type="5" refreshedVersion="6" background="1" saveData="1">
    <dbPr connection="Provider=Microsoft.Mashup.OleDb.1;Data Source=$Workbook$;Location=LAPTOP_INVENTORY;Extended Properties=&quot;&quot;" command="SELECT * FROM [LAPTOP_INVENTORY]"/>
  </connection>
  <connection id="6" xr16:uid="{9474C3DD-6F50-449A-90CA-71A5FA6A2F69}" keepAlive="1" name="Query - PC_INVENTORY" description="Connection to the 'PC_INVENTORY' query in the workbook." type="5" refreshedVersion="6" background="1" saveData="1">
    <dbPr connection="Provider=Microsoft.Mashup.OleDb.1;Data Source=$Workbook$;Location=PC_INVENTORY;Extended Properties=&quot;&quot;" command="SELECT * FROM [PC_INVENTORY]"/>
  </connection>
  <connection id="7" xr16:uid="{EE00C2A9-6801-493A-94D0-411FAC44AD7A}" keepAlive="1" name="Query - PRINTER_INVENTORY" description="Connection to the 'PRINTER_INVENTORY' query in the workbook." type="5" refreshedVersion="6" background="1" saveData="1">
    <dbPr connection="Provider=Microsoft.Mashup.OleDb.1;Data Source=$Workbook$;Location=PRINTER_INVENTORY;Extended Properties=&quot;&quot;" command="SELECT * FROM [PRINTER_INVENTORY]"/>
  </connection>
  <connection id="8" xr16:uid="{25BCE4E8-1C38-429D-947B-9A212A1C5A87}" keepAlive="1" name="Query - STOCKS_OFFICE_2" description="Connection to the 'STOCKS_OFFICE_2' query in the workbook." type="5" refreshedVersion="6" background="1" saveData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<sst xmlns="http://schemas.openxmlformats.org/spreadsheetml/2006/main" count="840" uniqueCount="180">
  <si>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</si>
  <si>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</si>
  <si>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</si>
  <si>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</si>
  <si>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</si>
  <si>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</si>
  <si>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</si>
  <si>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</si>
  <si>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</si>
  <si>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</si>
  <si>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</si>
  <si>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ACER</t>
  </si>
  <si>
    <t>ASUS</t>
  </si>
  <si>
    <t>LENOVO</t>
  </si>
  <si>
    <t>PC Parts</t>
  </si>
  <si>
    <t>Printers</t>
  </si>
  <si>
    <t>IN</t>
  </si>
  <si>
    <t>REMARKS</t>
  </si>
  <si>
    <t xml:space="preserve">TOTAL: </t>
  </si>
  <si>
    <t>ABSOLUTE TOTAL:</t>
  </si>
  <si>
    <t>INVENTORY</t>
  </si>
  <si>
    <t>COST TOTAL</t>
  </si>
  <si>
    <t>COST PER PIECE</t>
  </si>
  <si>
    <t>TOTAL:</t>
  </si>
  <si>
    <t>PRICE PER PIECE</t>
  </si>
  <si>
    <t>TOTAL PRICE</t>
  </si>
  <si>
    <t>BOX ID</t>
  </si>
  <si>
    <t>INVENTORY IN</t>
  </si>
  <si>
    <t>PRODUCT SET</t>
  </si>
  <si>
    <t>INVENTORY ID</t>
  </si>
  <si>
    <t>PRODUCT NAME</t>
  </si>
  <si>
    <t>DEFAULT PRICE</t>
  </si>
  <si>
    <t>COUNT</t>
  </si>
  <si>
    <t>SALES REPORT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</si>
  <si>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</si>
  <si>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</si>
  <si>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</si>
  <si>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</si>
  <si>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</si>
  <si>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</si>
  <si>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</si>
  <si>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</si>
  <si>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</si>
  <si>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</si>
  <si>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</si>
  <si>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Monitor</t>
  </si>
  <si>
    <t>SALES REMARKS</t>
  </si>
  <si>
    <t>Sytem Intel i5 4th Gen</t>
  </si>
  <si>
    <t>PC</t>
  </si>
  <si>
    <t>DELL REGULAR 4 / 16</t>
  </si>
  <si>
    <t>Column3</t>
  </si>
  <si>
    <t>Column4</t>
  </si>
  <si>
    <t>Column5</t>
  </si>
  <si>
    <t>Column6</t>
  </si>
  <si>
    <t>Column7</t>
  </si>
  <si>
    <t>Column8</t>
  </si>
  <si>
    <t>INVENTORY NAME</t>
  </si>
  <si>
    <t>PRODUCT STOCKS</t>
  </si>
  <si>
    <t>INVENTORY STOCKS</t>
  </si>
  <si>
    <t>BACKJOB</t>
  </si>
  <si>
    <t>TOTAL</t>
  </si>
  <si>
    <t>DELL REGULAR 2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</si>
  <si>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</si>
  <si>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</si>
  <si>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</si>
  <si>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</si>
  <si>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</si>
  <si>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</si>
  <si>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</si>
  <si>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</si>
  <si>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</si>
  <si>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</si>
  <si>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</si>
  <si>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</si>
  <si>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</si>
  <si>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</si>
  <si>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</si>
  <si>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</si>
  <si>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</si>
  <si>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</si>
  <si>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</si>
  <si>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</si>
  <si>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</si>
  <si>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</si>
  <si>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</si>
  <si>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</si>
  <si>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</si>
  <si>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</si>
  <si>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</si>
  <si>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</si>
  <si>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</si>
  <si>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</si>
  <si>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</si>
  <si>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</si>
  <si>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</si>
  <si>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</si>
  <si>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</si>
  <si>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</si>
  <si>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</si>
  <si>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</si>
  <si>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</si>
  <si>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</si>
  <si>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</si>
  <si>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</si>
  <si>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</si>
  <si>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</si>
  <si>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</si>
  <si>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</si>
  <si>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</si>
  <si>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</si>
  <si>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</si>
  <si>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</si>
  <si>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</si>
  <si>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</si>
  <si>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</si>
  <si>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</si>
  <si>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</si>
  <si>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</si>
  <si>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</si>
  <si>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</si>
  <si>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</si>
  <si>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</si>
  <si>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</si>
  <si>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</si>
  <si>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</si>
  <si>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</si>
  <si>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</si>
  <si>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</si>
  <si>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</si>
  <si>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</si>
  <si>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</si>
  <si>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</si>
  <si>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</si>
  <si>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</si>
  <si>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</si>
  <si>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</si>
  <si>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</si>
  <si>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</si>
  <si>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</si>
  <si>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</si>
  <si>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</si>
  <si>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</si>
  <si>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</si>
  <si>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</si>
  <si>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</si>
  <si>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</si>
  <si>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</si>
  <si>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</si>
  <si>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</si>
  <si>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</si>
  <si>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</si>
  <si>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</si>
  <si>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</si>
  <si>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</si>
  <si>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</si>
  <si>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</si>
  <si>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</si>
  <si>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</si>
  <si>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</si>
  <si>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</si>
  <si>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</si>
  <si>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</si>
  <si>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</si>
  <si>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 Ryzen 3</t>
  </si>
  <si>
    <t>System</t>
  </si>
  <si>
    <t>Ryzen 3</t>
  </si>
  <si>
    <t>TS 207</t>
  </si>
  <si>
    <t>MG 2570 S</t>
  </si>
  <si>
    <t>MG 3070 S</t>
  </si>
  <si>
    <t>G 2021</t>
  </si>
  <si>
    <t>L 121</t>
  </si>
  <si>
    <t>Brother 3420 W</t>
  </si>
  <si>
    <t>Charger</t>
  </si>
  <si>
    <t>FREEBIES SET ID</t>
  </si>
  <si>
    <t>TOTAL IN</t>
  </si>
  <si>
    <t>CURRENT STOCKS</t>
  </si>
  <si>
    <t>OUT</t>
  </si>
  <si>
    <t>Printer</t>
  </si>
  <si>
    <t>22/04/2025</t>
  </si>
  <si>
    <t>23/04/2025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</si>
</sst>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center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14" fontId="1" fillId="0" borderId="0" xfId="0" applyNumberFormat="1" applyFont="1" applyAlignment="1">
      <alignment horizontal="center"/>
    </xf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1A0DF6E-52FF-4844-BDAF-279E6B003071}" autoFormatId="16" applyNumberFormats="0" applyBorderFormats="0" applyFontFormats="0" applyPatternFormats="0" applyAlignmentFormats="0" applyWidthHeightFormats="0">
  <queryTableRefresh nextId="3">
    <queryTableFields count="2">
      <queryTableField id="1" name="FREEBIES SET ID" tableColumnId="1"/>
      <queryTableField id="2" name="INVENTORY I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44CC440-E367-450D-955A-8596FCCF2B7F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9839DF1-724C-4744-BCDD-D36113ACCB94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C6B4A3-CA8E-427B-A485-466E14937F77}" autoFormatId="16" applyNumberFormats="0" applyBorderFormats="0" applyFontFormats="0" applyPatternFormats="0" applyAlignmentFormats="0" applyWidthHeightFormats="0">
  <queryTableRefresh nextId="11">
    <queryTableFields count="6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9" name="CURRENT STOCKS" tableColumnId="9"/>
      <queryTableField id="10" name="BACKJOB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9" tableType="queryTable" totalsRowShown="0">
  <autoFilter ref="A2:F9" xr:uid="{4E5DF040-AA94-41AC-A60E-654EED1201CA}"/>
  <tableColumns count="6">
    <tableColumn id="1" xr3:uid="{EA7E1BCC-DC92-430D-AD96-CD5C4695B89A}" uniqueName="1" name="DATE" queryTableFieldId="1" dataDxfId="59"/>
    <tableColumn id="2" xr3:uid="{81CBBAC1-248F-4F5B-8D98-41266600E8B3}" uniqueName="2" name="INVENTORY ITEM" queryTableFieldId="2" dataDxfId="58"/>
    <tableColumn id="3" xr3:uid="{443A7F7C-278E-4BE5-A918-DB3817034812}" uniqueName="3" name="TYPE" queryTableFieldId="3" dataDxfId="57"/>
    <tableColumn id="4" xr3:uid="{2D6C6ECE-E625-4F86-A6E6-780FD90A56EB}" uniqueName="4" name="IN" queryTableFieldId="4"/>
    <tableColumn id="5" xr3:uid="{62BFE006-B5CC-4F2E-BACE-69CDA54ECC8E}" uniqueName="5" name="REMARKS" queryTableFieldId="5" dataDxfId="56"/>
    <tableColumn id="6" xr3:uid="{A5E4118C-1C80-44FB-B274-24DB603A58D3}" uniqueName="6" name="BOX ID" queryTableFieldId="6" dataDxfId="5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B96F60-BEC5-4AB3-B0FF-3351CE3C220C}" name="_TBL_PRODUCT_CATALOG" displayName="_TBL_PRODUCT_CATALOG" ref="A1:B14" tableType="queryTable" totalsRowShown="0">
  <autoFilter ref="A1:B14" xr:uid="{0FB96F60-BEC5-4AB3-B0FF-3351CE3C220C}"/>
  <tableColumns count="2">
    <tableColumn id="1" xr3:uid="{2FB79E8A-E980-4C02-9C14-D7542B528300}" uniqueName="1" name="FREEBIES SET ID" queryTableFieldId="1"/>
    <tableColumn id="2" xr3:uid="{6413CB80-F301-4ECA-9C65-1472FC4C7E33}" uniqueName="2" name="INVENTORY ID" queryTableFieldId="2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F5" tableType="queryTable" totalsRowShown="0">
  <autoFilter ref="A1:F5" xr:uid="{E208CA0A-BDB5-49DF-8B32-9F79C84731E9}"/>
  <tableColumns count="6">
    <tableColumn id="1" xr3:uid="{E1916C6F-E0B1-45FB-8682-6D315415E0D9}" uniqueName="1" name="ID" queryTableFieldId="1"/>
    <tableColumn id="2" xr3:uid="{C619201B-808D-4C57-9B0C-2A57DE3820C8}" uniqueName="2" name="PRODUCT NAME" queryTableFieldId="2" dataDxfId="53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5" tableType="queryTable" totalsRowShown="0">
  <autoFilter ref="A1:G105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52"/>
    <tableColumn id="3" xr3:uid="{0CA5C960-3582-46A1-9ACD-1486421D4E8F}" uniqueName="3" name="TYPE" queryTableFieldId="3" dataDxfId="51"/>
    <tableColumn id="4" xr3:uid="{D1893C2A-8B4A-4A4B-BF7C-F952AF8DE170}" uniqueName="4" name="BRAND" queryTableFieldId="4" dataDxfId="50"/>
    <tableColumn id="5" xr3:uid="{0D95C275-B955-40C1-AD06-E5DE3652CFEB}" uniqueName="5" name="CODE" queryTableFieldId="5" dataDxfId="49"/>
    <tableColumn id="6" xr3:uid="{DCA08976-69AB-49DC-A4A3-070474D91550}" uniqueName="6" name="VARIANT" queryTableFieldId="6" dataDxfId="48"/>
    <tableColumn id="7" xr3:uid="{1D5BA9C1-8BFA-4B4A-9B9B-1F675493271E}" uniqueName="7" name="SPECS" queryTableFieldId="7" dataDxfId="4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4" tableType="queryTable" totalsRowShown="0">
  <autoFilter ref="A1:H4" xr:uid="{9A763FE6-F968-4814-B524-2A4BF86B1D6F}"/>
  <tableColumns count="8">
    <tableColumn id="1" xr3:uid="{ECEAEBC5-2D63-4BE6-98D4-19C1BE54C2A4}" uniqueName="1" name="DATE" queryTableFieldId="1" dataDxfId="46"/>
    <tableColumn id="2" xr3:uid="{6C4E3827-2303-4451-89F4-4A0D4E51E081}" uniqueName="2" name="INVENTORY ITEM" queryTableFieldId="2" dataDxfId="45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H4" tableType="queryTable" totalsRowShown="0">
  <autoFilter ref="A1:H4" xr:uid="{4ACE85FB-A10E-4360-9836-F9C3A5AB8201}"/>
  <tableColumns count="8">
    <tableColumn id="1" xr3:uid="{897F1308-C2B1-4DC2-9616-09E99C41BD21}" uniqueName="1" name="DATE" queryTableFieldId="1"/>
    <tableColumn id="2" xr3:uid="{5C8CF4D9-AB75-48BE-BADB-F473F1B0F3B1}" uniqueName="2" name="INVENTORY ITEM" queryTableFieldId="2" dataDxfId="44"/>
    <tableColumn id="3" xr3:uid="{59A10983-E638-4E94-80A9-BFA814BBD52F}" uniqueName="3" name="IN" queryTableFieldId="3"/>
    <tableColumn id="4" xr3:uid="{85E739DA-5839-45D1-942F-9B739772A711}" uniqueName="4" name="OUT" queryTableFieldId="4"/>
    <tableColumn id="5" xr3:uid="{8802091C-4E56-4162-BAA2-AAC9B6A09291}" uniqueName="5" name="TOTAL" queryTableFieldId="5"/>
    <tableColumn id="6" xr3:uid="{E76275D3-8F24-412E-A299-4927789358B7}" uniqueName="6" name="BACKJOB" queryTableFieldId="6"/>
    <tableColumn id="7" xr3:uid="{504F0C70-4D49-4797-8AA8-09BF3785EBB7}" uniqueName="7" name="REMARKS" queryTableFieldId="7"/>
    <tableColumn id="8" xr3:uid="{2C4CEA1D-9202-4631-98DF-D88EA2D4432C}" uniqueName="8" name="BOX ID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43" dataDxfId="42" totalsRowDxfId="41">
  <autoFilter ref="B2:H11" xr:uid="{11196D4F-0C08-44E6-8845-054A162CF400}"/>
  <tableColumns count="7">
    <tableColumn id="1" xr3:uid="{7E5944E0-EEF7-48BA-9C65-2A065AAFA2D9}" name="DATE" totalsRowFunction="custom" dataDxfId="40" totalsRowDxfId="6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39" totalsRowDxfId="5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38" totalsRowDxfId="4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37" totalsRowDxfId="3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36" totalsRowDxfId="2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35" totalsRowDxfId="1"/>
    <tableColumn id="12" xr3:uid="{161DBC59-E0E9-488B-9D75-AD60C50E18B7}" name="COST PER PIECE" totalsRowFunction="custom" dataDxfId="34" totalsRowDxfId="0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3" tableType="queryTable" totalsRowShown="0">
  <autoFilter ref="A1:H3" xr:uid="{7398A87A-C316-4DE1-B50C-121701319153}"/>
  <tableColumns count="8">
    <tableColumn id="1" xr3:uid="{D80C27E6-AF32-433B-A2DC-A7EB85E3691B}" uniqueName="1" name="DATE" queryTableFieldId="1" dataDxfId="33"/>
    <tableColumn id="2" xr3:uid="{D68EB8E7-2430-4786-943F-4361DB1CB3D9}" uniqueName="2" name="INVENTORY ITEM" queryTableFieldId="2" dataDxfId="32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G106" tableType="queryTable" totalsRowShown="0">
  <autoFilter ref="B2:G106" xr:uid="{1BE06B96-3114-42C3-80AF-2649DED6DB3C}"/>
  <tableColumns count="6">
    <tableColumn id="1" xr3:uid="{9207E316-51C7-4FEF-AFF4-46A2F29D734E}" uniqueName="1" name="ID" queryTableFieldId="1"/>
    <tableColumn id="2" xr3:uid="{A478E17C-8796-461F-A131-57E3F0704BAA}" uniqueName="2" name="NAME" queryTableFieldId="2" dataDxfId="31"/>
    <tableColumn id="3" xr3:uid="{929F0981-4AEB-41C0-9B78-DD6B4445D40F}" uniqueName="3" name="TYPE" queryTableFieldId="3" dataDxfId="30"/>
    <tableColumn id="8" xr3:uid="{1DF8A428-D3E2-4859-90CD-0A8759C864B3}" uniqueName="8" name="TOTAL IN" queryTableFieldId="8" dataDxfId="29"/>
    <tableColumn id="9" xr3:uid="{8EC085B0-E564-458B-B454-85F54FF495E2}" uniqueName="9" name="CURRENT STOCKS" queryTableFieldId="9" dataDxfId="28"/>
    <tableColumn id="10" xr3:uid="{971294A6-7F90-4E3E-8727-4D4C3C1AB825}" uniqueName="10" name="BACKJOB" queryTableFieldId="10" dataDxfId="2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CDBBE8-755A-44A1-94B5-F34437B1D96C}" name="INVENTORY_STOCKS" displayName="INVENTORY_STOCKS" ref="B2:G116" totalsRowShown="0" headerRowDxfId="26">
  <autoFilter ref="B2:G116" xr:uid="{76CDBBE8-755A-44A1-94B5-F34437B1D96C}"/>
  <tableColumns count="6">
    <tableColumn id="1" xr3:uid="{A76AC8C2-46D7-4D8D-9312-6DAE24E6693E}" name="ID"/>
    <tableColumn id="2" xr3:uid="{1138AFED-7C21-44A4-9575-E8BB9BA61767}" name="INVENTORY NAME" dataDxfId="25"/>
    <tableColumn id="3" xr3:uid="{00895C51-F868-4DA7-A130-005C33E2867A}" name="TYPE">
      <calculatedColumnFormula>IF(INVENTORY_STOCKS[[#This Row],[INVENTORY NAME]] = "", "",VLOOKUP(INVENTORY_STOCKS[[#This Row],[INVENTORY NAME]],_TBL_INVENTORY[[NAME]:[TYPE]], 2,FALSE))</calculatedColumnFormula>
    </tableColumn>
    <tableColumn id="4" xr3:uid="{D132A862-4DD8-4DC5-8C61-2246F707C07A}" name="TOTAL IN" dataDxfId="24">
      <calculatedColumnFormula>IF(INVENTORY_STOCKS[[#This Row],[INVENTORY NAME]]="", "", IFERROR(SUMIFS(_TBL_LAPTOP_INVENTORY_ACCOUNT_IN[IN], _TBL_LAPTOP_INVENTORY_ACCOUNT_IN[INVENTORY ITEM],INVENTORY_STOCKS[[#This Row],[INVENTORY NAME]]), ""))</calculatedColumnFormula>
    </tableColumn>
    <tableColumn id="7" xr3:uid="{3368ADD3-BCE3-4CDA-B7E8-F393281EA462}" name="CURRENT STOCKS" dataDxfId="23">
      <calculatedColumnFormula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calculatedColumnFormula>
    </tableColumn>
    <tableColumn id="8" xr3:uid="{95EBBA02-8475-4FF7-89CE-C3EEAD74A2FF}" name="BACKJOB" dataDxfId="22">
      <calculatedColumnFormula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6C957B-EAF7-4D39-AEA0-56A468EB28AC}" name="_TBL_SALES_REPORT" displayName="_TBL_SALES_REPORT" ref="B2:G14" totalsRowCount="1" headerRowDxfId="21" dataDxfId="20" totalsRowDxfId="19">
  <autoFilter ref="B2:G13" xr:uid="{A76C957B-EAF7-4D39-AEA0-56A468EB28AC}"/>
  <tableColumns count="6">
    <tableColumn id="1" xr3:uid="{61AD353A-0DFE-4154-B8A3-3ED125D1CBE8}" name="DATE" totalsRowFunction="custom" dataDxfId="18" totalsRowDxfId="17">
      <calculatedColumnFormula>IF(IFERROR(#REF!, "")&lt;&gt; 0, IFERROR(#REF!, ""), "")</calculatedColumnFormula>
      <totalsRowFormula>_xlfn.CONCAT("COUNT: ", SUBTOTAL(103,_TBL_SALES_REPORT[DATE]))</totalsRowFormula>
    </tableColumn>
    <tableColumn id="2" xr3:uid="{10799DDC-2681-4CD8-80BA-8CF12A4DD717}" name="PRODUCT SET" totalsRowLabel="TOTAL: " dataDxfId="16" totalsRowDxfId="15">
      <calculatedColumnFormula>IF(IFERROR(#REF!, "")&lt;&gt; 0, IFERROR(#REF!, ""), "")</calculatedColumnFormula>
    </tableColumn>
    <tableColumn id="4" xr3:uid="{1B0BCB4C-C566-4216-8BA4-461A76D059FE}" name="COUNT" totalsRowFunction="sum" dataDxfId="14" totalsRowDxfId="13">
      <calculatedColumnFormula>IF(IFERROR(#REF!, "")&lt;&gt; 0, IFERROR(#REF!, ""), "")</calculatedColumnFormula>
    </tableColumn>
    <tableColumn id="6" xr3:uid="{28983EAE-B7F2-4D1A-BEC7-3ADCA8F0A01A}" name="SALES REMARKS" dataDxfId="12" totalsRowDxfId="11">
      <calculatedColumnFormula>IF(IFERROR(#REF!, "")&lt;&gt; 0, IFERROR(#REF!, ""), "")</calculatedColumnFormula>
    </tableColumn>
    <tableColumn id="10" xr3:uid="{E4EF7E54-7245-4ABA-8412-24BE99659484}" name="PRICE PER PIECE" dataDxfId="10" totalsRowDxfId="9">
      <calculatedColumnFormula>IF(IFERROR(#REF!, "")&lt;&gt; 0, IFERROR(#REF!, ""), "")</calculatedColumnFormula>
    </tableColumn>
    <tableColumn id="12" xr3:uid="{303257D1-7F55-442C-AFEB-014CFDA15263}" name="TOTAL PRICE" totalsRowFunction="custom" dataDxfId="8" totalsRowDxfId="7">
      <calculatedColumnFormula>IFERROR(_TBL_SALES_REPORT[[#This Row],[PRICE PER PIECE]]*_TBL_SALES_REPORT[[#This Row],[COUNT]], "")</calculatedColumnFormula>
      <totalsRowFormula>SUBTOTAL(109, _TBL_SALES_REPORT[TOTAL PRICE])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89099C-9836-49ED-AF50-5476EBB37DEA}" name="SALES_STOCKS" displayName="SALES_STOCKS" ref="B2:I8" totalsRowShown="0">
  <autoFilter ref="B2:I8" xr:uid="{7889099C-9836-49ED-AF50-5476EBB37DEA}"/>
  <tableColumns count="8">
    <tableColumn id="1" xr3:uid="{6FB414E5-8A9D-472F-A89B-8F11D671334C}" name="ID"/>
    <tableColumn id="2" xr3:uid="{5EBC0712-82AF-4D13-B840-3FB46AC4A2BB}" name="PRODUCT NAME"/>
    <tableColumn id="3" xr3:uid="{523CE0DF-F7DC-4424-BCE3-30FFFC197CAF}" name="Column3"/>
    <tableColumn id="4" xr3:uid="{BC0541CD-A78C-4352-90CC-AB0D894919FD}" name="Column4"/>
    <tableColumn id="5" xr3:uid="{0DD9C140-7D77-4A48-874F-1596E9FAD2A4}" name="Column5"/>
    <tableColumn id="6" xr3:uid="{DAE3DFB4-444C-4ECD-800D-212EE10E3407}" name="Column6"/>
    <tableColumn id="7" xr3:uid="{633BABB9-314D-4A82-BA99-FFF1138337A7}" name="Column7"/>
    <tableColumn id="8" xr3:uid="{977EADCA-53D0-4798-BA2F-F2F3D9374B8D}" name="Column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9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0.710937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 t="s">
        <v>9</v>
      </c>
      <c r="B2" t="s">
        <v>10</v>
      </c>
      <c r="C2" t="s">
        <v>2</v>
      </c>
      <c r="D2" t="s">
        <v>16</v>
      </c>
      <c r="E2" t="s">
        <v>17</v>
      </c>
      <c r="F2" t="s">
        <v>26</v>
      </c>
    </row>
    <row r="3" spans="1:6" x14ac:dyDescent="0.25">
      <c r="A3" s="7">
        <v>45767</v>
      </c>
      <c r="B3" s="17" t="s">
        <v>49</v>
      </c>
      <c r="C3" s="17" t="s">
        <v>6</v>
      </c>
      <c r="D3">
        <v>20</v>
      </c>
      <c r="E3" s="17"/>
      <c r="F3" s="17"/>
    </row>
    <row r="4" spans="1:6" x14ac:dyDescent="0.25">
      <c r="A4" s="7">
        <v>45767</v>
      </c>
      <c r="B4" s="17" t="s">
        <v>62</v>
      </c>
      <c r="C4" s="17" t="s">
        <v>6</v>
      </c>
      <c r="D4">
        <v>20</v>
      </c>
      <c r="E4" s="17"/>
      <c r="F4" s="17"/>
    </row>
    <row r="5" spans="1:6" x14ac:dyDescent="0.25">
      <c r="A5" s="7">
        <v>45769</v>
      </c>
      <c r="B5" s="17" t="s">
        <v>47</v>
      </c>
      <c r="C5" s="17" t="s">
        <v>48</v>
      </c>
      <c r="D5">
        <v>20</v>
      </c>
      <c r="E5" s="17"/>
      <c r="F5" s="17"/>
    </row>
    <row r="6" spans="1:6" x14ac:dyDescent="0.25">
      <c r="A6" s="7">
        <v>45769</v>
      </c>
      <c r="B6" s="17" t="s">
        <v>166</v>
      </c>
      <c r="C6" s="17" t="s">
        <v>177</v>
      </c>
      <c r="D6">
        <v>55</v>
      </c>
      <c r="E6" s="17"/>
      <c r="F6" s="17"/>
    </row>
    <row r="7" spans="1:6" x14ac:dyDescent="0.25">
      <c r="A7" s="7">
        <v>45770</v>
      </c>
      <c r="B7" s="17" t="s">
        <v>64</v>
      </c>
      <c r="C7" s="17" t="s">
        <v>6</v>
      </c>
      <c r="D7">
        <v>7</v>
      </c>
      <c r="E7" s="17"/>
      <c r="F7" s="17"/>
    </row>
    <row r="8" spans="1:6" x14ac:dyDescent="0.25">
      <c r="A8" s="7">
        <v>45770</v>
      </c>
      <c r="B8" s="17" t="s">
        <v>167</v>
      </c>
      <c r="C8" s="17" t="s">
        <v>177</v>
      </c>
      <c r="D8">
        <v>5</v>
      </c>
      <c r="E8" s="17"/>
      <c r="F8" s="17"/>
    </row>
    <row r="9" spans="1:6" x14ac:dyDescent="0.25">
      <c r="A9" s="7">
        <v>45770</v>
      </c>
      <c r="B9" s="17" t="s">
        <v>163</v>
      </c>
      <c r="C9" s="17" t="s">
        <v>48</v>
      </c>
      <c r="D9">
        <v>100</v>
      </c>
      <c r="E9" s="17"/>
      <c r="F9" s="1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D2EB9-BEFC-4E9E-8DDC-2F52DD442752}">
  <sheetPr codeName="Sheet3"/>
  <dimension ref="A1:B14"/>
  <sheetViews>
    <sheetView workbookViewId="0"/>
  </sheetViews>
  <sheetFormatPr defaultRowHeight="15" x14ac:dyDescent="0.25"/>
  <cols>
    <col min="1" max="1" width="17" bestFit="1" customWidth="1"/>
    <col min="2" max="2" width="16.5703125" bestFit="1" customWidth="1"/>
  </cols>
  <sheetData>
    <row r="1" spans="1:2" x14ac:dyDescent="0.25">
      <c r="A1" t="s">
        <v>173</v>
      </c>
      <c r="B1" t="s">
        <v>29</v>
      </c>
    </row>
    <row r="2" spans="1:2" x14ac:dyDescent="0.25">
      <c r="A2">
        <v>1</v>
      </c>
      <c r="B2" s="17" t="s">
        <v>125</v>
      </c>
    </row>
    <row r="3" spans="1:2" x14ac:dyDescent="0.25">
      <c r="A3">
        <v>1</v>
      </c>
      <c r="B3" s="17" t="s">
        <v>124</v>
      </c>
    </row>
    <row r="4" spans="1:2" x14ac:dyDescent="0.25">
      <c r="A4">
        <v>1</v>
      </c>
      <c r="B4" s="17" t="s">
        <v>130</v>
      </c>
    </row>
    <row r="5" spans="1:2" x14ac:dyDescent="0.25">
      <c r="A5">
        <v>1</v>
      </c>
      <c r="B5" s="17" t="s">
        <v>129</v>
      </c>
    </row>
    <row r="6" spans="1:2" x14ac:dyDescent="0.25">
      <c r="A6">
        <v>1</v>
      </c>
      <c r="B6" s="17" t="s">
        <v>128</v>
      </c>
    </row>
    <row r="7" spans="1:2" x14ac:dyDescent="0.25">
      <c r="A7">
        <v>1</v>
      </c>
      <c r="B7" s="17" t="s">
        <v>172</v>
      </c>
    </row>
    <row r="8" spans="1:2" x14ac:dyDescent="0.25">
      <c r="A8">
        <v>1</v>
      </c>
      <c r="B8" s="17" t="s">
        <v>126</v>
      </c>
    </row>
    <row r="9" spans="1:2" x14ac:dyDescent="0.25">
      <c r="A9">
        <v>1</v>
      </c>
      <c r="B9" s="17" t="s">
        <v>127</v>
      </c>
    </row>
    <row r="10" spans="1:2" x14ac:dyDescent="0.25">
      <c r="A10">
        <v>2</v>
      </c>
      <c r="B10" s="17" t="s">
        <v>159</v>
      </c>
    </row>
    <row r="11" spans="1:2" x14ac:dyDescent="0.25">
      <c r="A11">
        <v>3</v>
      </c>
      <c r="B11" s="17" t="s">
        <v>158</v>
      </c>
    </row>
    <row r="12" spans="1:2" x14ac:dyDescent="0.25">
      <c r="A12">
        <v>4</v>
      </c>
      <c r="B12" s="17" t="s">
        <v>160</v>
      </c>
    </row>
    <row r="13" spans="1:2" x14ac:dyDescent="0.25">
      <c r="A13">
        <v>5</v>
      </c>
      <c r="B13" s="17" t="s">
        <v>122</v>
      </c>
    </row>
    <row r="14" spans="1:2" x14ac:dyDescent="0.25">
      <c r="A14">
        <v>5</v>
      </c>
      <c r="B14" s="17" t="s">
        <v>118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F5"/>
  <sheetViews>
    <sheetView workbookViewId="0"/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30</v>
      </c>
      <c r="C1" t="s">
        <v>31</v>
      </c>
      <c r="D1" t="s">
        <v>51</v>
      </c>
      <c r="E1" t="s">
        <v>52</v>
      </c>
      <c r="F1" t="s">
        <v>53</v>
      </c>
    </row>
    <row r="2" spans="1:6" x14ac:dyDescent="0.25">
      <c r="B2" s="17" t="s">
        <v>49</v>
      </c>
      <c r="C2">
        <v>3990</v>
      </c>
    </row>
    <row r="3" spans="1:6" x14ac:dyDescent="0.25">
      <c r="B3" s="17" t="s">
        <v>40</v>
      </c>
      <c r="C3">
        <v>3990</v>
      </c>
    </row>
    <row r="4" spans="1:6" x14ac:dyDescent="0.25">
      <c r="B4" s="17" t="s">
        <v>61</v>
      </c>
    </row>
    <row r="5" spans="1:6" x14ac:dyDescent="0.25">
      <c r="B5" s="17" t="s">
        <v>157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5"/>
  <sheetViews>
    <sheetView topLeftCell="A80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</v>
      </c>
      <c r="G1" t="s">
        <v>5</v>
      </c>
    </row>
    <row r="2" spans="1:7" x14ac:dyDescent="0.25">
      <c r="A2">
        <v>1</v>
      </c>
      <c r="B2" s="17" t="s">
        <v>61</v>
      </c>
      <c r="C2" s="17" t="s">
        <v>6</v>
      </c>
      <c r="D2" s="17" t="s">
        <v>7</v>
      </c>
      <c r="E2" s="17"/>
      <c r="F2" s="17" t="s">
        <v>39</v>
      </c>
      <c r="G2" s="17" t="s">
        <v>34</v>
      </c>
    </row>
    <row r="3" spans="1:7" x14ac:dyDescent="0.25">
      <c r="A3">
        <v>2</v>
      </c>
      <c r="B3" s="17" t="s">
        <v>49</v>
      </c>
      <c r="C3" s="17" t="s">
        <v>6</v>
      </c>
      <c r="D3" s="17" t="s">
        <v>7</v>
      </c>
      <c r="E3" s="17"/>
      <c r="F3" s="17" t="s">
        <v>39</v>
      </c>
      <c r="G3" s="17" t="s">
        <v>35</v>
      </c>
    </row>
    <row r="4" spans="1:7" x14ac:dyDescent="0.25">
      <c r="A4">
        <v>3</v>
      </c>
      <c r="B4" s="17" t="s">
        <v>62</v>
      </c>
      <c r="C4" s="17" t="s">
        <v>6</v>
      </c>
      <c r="D4" s="17" t="s">
        <v>7</v>
      </c>
      <c r="E4" s="17"/>
      <c r="F4" s="17" t="s">
        <v>39</v>
      </c>
      <c r="G4" s="17" t="s">
        <v>36</v>
      </c>
    </row>
    <row r="5" spans="1:7" x14ac:dyDescent="0.25">
      <c r="A5">
        <v>4</v>
      </c>
      <c r="B5" s="17" t="s">
        <v>40</v>
      </c>
      <c r="C5" s="17" t="s">
        <v>6</v>
      </c>
      <c r="D5" s="17" t="s">
        <v>8</v>
      </c>
      <c r="E5" s="17"/>
      <c r="F5" s="17" t="s">
        <v>39</v>
      </c>
      <c r="G5" s="17" t="s">
        <v>35</v>
      </c>
    </row>
    <row r="6" spans="1:7" x14ac:dyDescent="0.25">
      <c r="A6">
        <v>5</v>
      </c>
      <c r="B6" s="17" t="s">
        <v>63</v>
      </c>
      <c r="C6" s="17" t="s">
        <v>6</v>
      </c>
      <c r="D6" s="17" t="s">
        <v>8</v>
      </c>
      <c r="E6" s="17"/>
      <c r="F6" s="17" t="s">
        <v>39</v>
      </c>
      <c r="G6" s="17" t="s">
        <v>36</v>
      </c>
    </row>
    <row r="7" spans="1:7" x14ac:dyDescent="0.25">
      <c r="A7">
        <v>6</v>
      </c>
      <c r="B7" s="17" t="s">
        <v>64</v>
      </c>
      <c r="C7" s="17" t="s">
        <v>6</v>
      </c>
      <c r="D7" s="17" t="s">
        <v>65</v>
      </c>
      <c r="E7" s="17"/>
      <c r="F7" s="17" t="s">
        <v>39</v>
      </c>
      <c r="G7" s="17" t="s">
        <v>35</v>
      </c>
    </row>
    <row r="8" spans="1:7" x14ac:dyDescent="0.25">
      <c r="A8">
        <v>7</v>
      </c>
      <c r="B8" s="17" t="s">
        <v>66</v>
      </c>
      <c r="C8" s="17" t="s">
        <v>6</v>
      </c>
      <c r="D8" s="17" t="s">
        <v>13</v>
      </c>
      <c r="E8" s="17"/>
      <c r="F8" s="17" t="s">
        <v>39</v>
      </c>
      <c r="G8" s="17" t="s">
        <v>35</v>
      </c>
    </row>
    <row r="9" spans="1:7" x14ac:dyDescent="0.25">
      <c r="A9">
        <v>8</v>
      </c>
      <c r="B9" s="17" t="s">
        <v>67</v>
      </c>
      <c r="C9" s="17" t="s">
        <v>6</v>
      </c>
      <c r="D9" s="17" t="s">
        <v>13</v>
      </c>
      <c r="E9" s="17"/>
      <c r="F9" s="17" t="s">
        <v>39</v>
      </c>
      <c r="G9" s="17" t="s">
        <v>36</v>
      </c>
    </row>
    <row r="10" spans="1:7" x14ac:dyDescent="0.25">
      <c r="A10">
        <v>9</v>
      </c>
      <c r="B10" s="17" t="s">
        <v>41</v>
      </c>
      <c r="C10" s="17" t="s">
        <v>6</v>
      </c>
      <c r="D10" s="17" t="s">
        <v>8</v>
      </c>
      <c r="E10" s="17"/>
      <c r="F10" s="17" t="s">
        <v>42</v>
      </c>
      <c r="G10" s="17" t="s">
        <v>35</v>
      </c>
    </row>
    <row r="11" spans="1:7" x14ac:dyDescent="0.25">
      <c r="A11">
        <v>10</v>
      </c>
      <c r="B11" s="17" t="s">
        <v>68</v>
      </c>
      <c r="C11" s="17" t="s">
        <v>6</v>
      </c>
      <c r="D11" s="17" t="s">
        <v>8</v>
      </c>
      <c r="E11" s="17"/>
      <c r="F11" s="17" t="s">
        <v>42</v>
      </c>
      <c r="G11" s="17" t="s">
        <v>36</v>
      </c>
    </row>
    <row r="12" spans="1:7" x14ac:dyDescent="0.25">
      <c r="A12">
        <v>11</v>
      </c>
      <c r="B12" s="17" t="s">
        <v>69</v>
      </c>
      <c r="C12" s="17" t="s">
        <v>6</v>
      </c>
      <c r="D12" s="17" t="s">
        <v>7</v>
      </c>
      <c r="E12" s="17"/>
      <c r="F12" s="17" t="s">
        <v>42</v>
      </c>
      <c r="G12" s="17" t="s">
        <v>35</v>
      </c>
    </row>
    <row r="13" spans="1:7" x14ac:dyDescent="0.25">
      <c r="A13">
        <v>12</v>
      </c>
      <c r="B13" s="17" t="s">
        <v>70</v>
      </c>
      <c r="C13" s="17" t="s">
        <v>6</v>
      </c>
      <c r="D13" s="17" t="s">
        <v>7</v>
      </c>
      <c r="E13" s="17"/>
      <c r="F13" s="17" t="s">
        <v>42</v>
      </c>
      <c r="G13" s="17" t="s">
        <v>36</v>
      </c>
    </row>
    <row r="14" spans="1:7" x14ac:dyDescent="0.25">
      <c r="A14">
        <v>13</v>
      </c>
      <c r="B14" s="17" t="s">
        <v>71</v>
      </c>
      <c r="C14" s="17" t="s">
        <v>6</v>
      </c>
      <c r="D14" s="17" t="s">
        <v>11</v>
      </c>
      <c r="E14" s="17"/>
      <c r="F14" s="17" t="s">
        <v>42</v>
      </c>
      <c r="G14" s="17" t="s">
        <v>36</v>
      </c>
    </row>
    <row r="15" spans="1:7" x14ac:dyDescent="0.25">
      <c r="A15">
        <v>14</v>
      </c>
      <c r="B15" s="17" t="s">
        <v>72</v>
      </c>
      <c r="C15" s="17" t="s">
        <v>6</v>
      </c>
      <c r="D15" s="17" t="s">
        <v>11</v>
      </c>
      <c r="E15" s="17"/>
      <c r="F15" s="17" t="s">
        <v>42</v>
      </c>
      <c r="G15" s="17" t="s">
        <v>35</v>
      </c>
    </row>
    <row r="16" spans="1:7" x14ac:dyDescent="0.25">
      <c r="A16">
        <v>15</v>
      </c>
      <c r="B16" s="17" t="s">
        <v>73</v>
      </c>
      <c r="C16" s="17" t="s">
        <v>6</v>
      </c>
      <c r="D16" s="17" t="s">
        <v>13</v>
      </c>
      <c r="E16" s="17"/>
      <c r="F16" s="17" t="s">
        <v>42</v>
      </c>
      <c r="G16" s="17" t="s">
        <v>35</v>
      </c>
    </row>
    <row r="17" spans="1:7" x14ac:dyDescent="0.25">
      <c r="A17">
        <v>16</v>
      </c>
      <c r="B17" s="17" t="s">
        <v>74</v>
      </c>
      <c r="C17" s="17" t="s">
        <v>6</v>
      </c>
      <c r="D17" s="17" t="s">
        <v>65</v>
      </c>
      <c r="E17" s="17"/>
      <c r="F17" s="17" t="s">
        <v>42</v>
      </c>
      <c r="G17" s="17" t="s">
        <v>36</v>
      </c>
    </row>
    <row r="18" spans="1:7" x14ac:dyDescent="0.25">
      <c r="A18">
        <v>17</v>
      </c>
      <c r="B18" s="17" t="s">
        <v>75</v>
      </c>
      <c r="C18" s="17" t="s">
        <v>6</v>
      </c>
      <c r="D18" s="17" t="s">
        <v>7</v>
      </c>
      <c r="E18" s="17"/>
      <c r="F18" s="17" t="s">
        <v>44</v>
      </c>
      <c r="G18" s="17" t="s">
        <v>35</v>
      </c>
    </row>
    <row r="19" spans="1:7" x14ac:dyDescent="0.25">
      <c r="A19">
        <v>18</v>
      </c>
      <c r="B19" s="17" t="s">
        <v>76</v>
      </c>
      <c r="C19" s="17" t="s">
        <v>6</v>
      </c>
      <c r="D19" s="17" t="s">
        <v>8</v>
      </c>
      <c r="E19" s="17"/>
      <c r="F19" s="17" t="s">
        <v>44</v>
      </c>
      <c r="G19" s="17" t="s">
        <v>34</v>
      </c>
    </row>
    <row r="20" spans="1:7" x14ac:dyDescent="0.25">
      <c r="A20">
        <v>19</v>
      </c>
      <c r="B20" s="17" t="s">
        <v>43</v>
      </c>
      <c r="C20" s="17" t="s">
        <v>6</v>
      </c>
      <c r="D20" s="17" t="s">
        <v>8</v>
      </c>
      <c r="E20" s="17"/>
      <c r="F20" s="17" t="s">
        <v>44</v>
      </c>
      <c r="G20" s="17" t="s">
        <v>35</v>
      </c>
    </row>
    <row r="21" spans="1:7" x14ac:dyDescent="0.25">
      <c r="A21">
        <v>20</v>
      </c>
      <c r="B21" s="17" t="s">
        <v>77</v>
      </c>
      <c r="C21" s="17" t="s">
        <v>6</v>
      </c>
      <c r="D21" s="17" t="s">
        <v>8</v>
      </c>
      <c r="E21" s="17"/>
      <c r="F21" s="17" t="s">
        <v>44</v>
      </c>
      <c r="G21" s="17" t="s">
        <v>36</v>
      </c>
    </row>
    <row r="22" spans="1:7" x14ac:dyDescent="0.25">
      <c r="A22">
        <v>21</v>
      </c>
      <c r="B22" s="17" t="s">
        <v>78</v>
      </c>
      <c r="C22" s="17" t="s">
        <v>6</v>
      </c>
      <c r="D22" s="17" t="s">
        <v>8</v>
      </c>
      <c r="E22" s="17"/>
      <c r="F22" s="17" t="s">
        <v>44</v>
      </c>
      <c r="G22" s="17" t="s">
        <v>79</v>
      </c>
    </row>
    <row r="23" spans="1:7" x14ac:dyDescent="0.25">
      <c r="A23">
        <v>22</v>
      </c>
      <c r="B23" s="17" t="s">
        <v>80</v>
      </c>
      <c r="C23" s="17" t="s">
        <v>6</v>
      </c>
      <c r="D23" s="17" t="s">
        <v>8</v>
      </c>
      <c r="E23" s="17"/>
      <c r="F23" s="17" t="s">
        <v>44</v>
      </c>
      <c r="G23" s="17" t="s">
        <v>81</v>
      </c>
    </row>
    <row r="24" spans="1:7" x14ac:dyDescent="0.25">
      <c r="A24">
        <v>23</v>
      </c>
      <c r="B24" s="17" t="s">
        <v>82</v>
      </c>
      <c r="C24" s="17" t="s">
        <v>6</v>
      </c>
      <c r="D24" s="17" t="s">
        <v>11</v>
      </c>
      <c r="E24" s="17"/>
      <c r="F24" s="17" t="s">
        <v>44</v>
      </c>
      <c r="G24" s="17" t="s">
        <v>34</v>
      </c>
    </row>
    <row r="25" spans="1:7" x14ac:dyDescent="0.25">
      <c r="A25">
        <v>24</v>
      </c>
      <c r="B25" s="17" t="s">
        <v>83</v>
      </c>
      <c r="C25" s="17" t="s">
        <v>6</v>
      </c>
      <c r="D25" s="17" t="s">
        <v>11</v>
      </c>
      <c r="E25" s="17"/>
      <c r="F25" s="17" t="s">
        <v>44</v>
      </c>
      <c r="G25" s="17" t="s">
        <v>35</v>
      </c>
    </row>
    <row r="26" spans="1:7" x14ac:dyDescent="0.25">
      <c r="A26">
        <v>25</v>
      </c>
      <c r="B26" s="17" t="s">
        <v>84</v>
      </c>
      <c r="C26" s="17" t="s">
        <v>6</v>
      </c>
      <c r="D26" s="17" t="s">
        <v>12</v>
      </c>
      <c r="E26" s="17"/>
      <c r="F26" s="17" t="s">
        <v>44</v>
      </c>
      <c r="G26" s="17" t="s">
        <v>34</v>
      </c>
    </row>
    <row r="27" spans="1:7" x14ac:dyDescent="0.25">
      <c r="A27">
        <v>26</v>
      </c>
      <c r="B27" s="17" t="s">
        <v>85</v>
      </c>
      <c r="C27" s="17" t="s">
        <v>6</v>
      </c>
      <c r="D27" s="17" t="s">
        <v>13</v>
      </c>
      <c r="E27" s="17"/>
      <c r="F27" s="17" t="s">
        <v>44</v>
      </c>
      <c r="G27" s="17" t="s">
        <v>35</v>
      </c>
    </row>
    <row r="28" spans="1:7" x14ac:dyDescent="0.25">
      <c r="A28">
        <v>27</v>
      </c>
      <c r="B28" s="17" t="s">
        <v>86</v>
      </c>
      <c r="C28" s="17" t="s">
        <v>6</v>
      </c>
      <c r="D28" s="17" t="s">
        <v>7</v>
      </c>
      <c r="E28" s="17"/>
      <c r="F28" s="17" t="s">
        <v>87</v>
      </c>
      <c r="G28" s="17" t="s">
        <v>35</v>
      </c>
    </row>
    <row r="29" spans="1:7" x14ac:dyDescent="0.25">
      <c r="A29">
        <v>28</v>
      </c>
      <c r="B29" s="17" t="s">
        <v>88</v>
      </c>
      <c r="C29" s="17" t="s">
        <v>6</v>
      </c>
      <c r="D29" s="17" t="s">
        <v>7</v>
      </c>
      <c r="E29" s="17"/>
      <c r="F29" s="17" t="s">
        <v>87</v>
      </c>
      <c r="G29" s="17" t="s">
        <v>36</v>
      </c>
    </row>
    <row r="30" spans="1:7" x14ac:dyDescent="0.25">
      <c r="A30">
        <v>29</v>
      </c>
      <c r="B30" s="17" t="s">
        <v>89</v>
      </c>
      <c r="C30" s="17" t="s">
        <v>6</v>
      </c>
      <c r="D30" s="17" t="s">
        <v>7</v>
      </c>
      <c r="E30" s="17"/>
      <c r="F30" s="17" t="s">
        <v>87</v>
      </c>
      <c r="G30" s="17" t="s">
        <v>37</v>
      </c>
    </row>
    <row r="31" spans="1:7" x14ac:dyDescent="0.25">
      <c r="A31">
        <v>30</v>
      </c>
      <c r="B31" s="17" t="s">
        <v>90</v>
      </c>
      <c r="C31" s="17" t="s">
        <v>6</v>
      </c>
      <c r="D31" s="17" t="s">
        <v>11</v>
      </c>
      <c r="E31" s="17"/>
      <c r="F31" s="17" t="s">
        <v>87</v>
      </c>
      <c r="G31" s="17" t="s">
        <v>35</v>
      </c>
    </row>
    <row r="32" spans="1:7" x14ac:dyDescent="0.25">
      <c r="A32">
        <v>31</v>
      </c>
      <c r="B32" s="17" t="s">
        <v>91</v>
      </c>
      <c r="C32" s="17" t="s">
        <v>6</v>
      </c>
      <c r="D32" s="17" t="s">
        <v>11</v>
      </c>
      <c r="E32" s="17"/>
      <c r="F32" s="17" t="s">
        <v>87</v>
      </c>
      <c r="G32" s="17" t="s">
        <v>36</v>
      </c>
    </row>
    <row r="33" spans="1:7" x14ac:dyDescent="0.25">
      <c r="A33">
        <v>32</v>
      </c>
      <c r="B33" s="17" t="s">
        <v>92</v>
      </c>
      <c r="C33" s="17" t="s">
        <v>6</v>
      </c>
      <c r="D33" s="17" t="s">
        <v>13</v>
      </c>
      <c r="E33" s="17"/>
      <c r="F33" s="17" t="s">
        <v>87</v>
      </c>
      <c r="G33" s="17" t="s">
        <v>35</v>
      </c>
    </row>
    <row r="34" spans="1:7" x14ac:dyDescent="0.25">
      <c r="A34">
        <v>33</v>
      </c>
      <c r="B34" s="17" t="s">
        <v>93</v>
      </c>
      <c r="C34" s="17" t="s">
        <v>6</v>
      </c>
      <c r="D34" s="17" t="s">
        <v>13</v>
      </c>
      <c r="E34" s="17"/>
      <c r="F34" s="17" t="s">
        <v>87</v>
      </c>
      <c r="G34" s="17" t="s">
        <v>36</v>
      </c>
    </row>
    <row r="35" spans="1:7" x14ac:dyDescent="0.25">
      <c r="A35">
        <v>34</v>
      </c>
      <c r="B35" s="17" t="s">
        <v>94</v>
      </c>
      <c r="C35" s="17" t="s">
        <v>6</v>
      </c>
      <c r="D35" s="17" t="s">
        <v>13</v>
      </c>
      <c r="E35" s="17"/>
      <c r="F35" s="17" t="s">
        <v>87</v>
      </c>
      <c r="G35" s="17" t="s">
        <v>95</v>
      </c>
    </row>
    <row r="36" spans="1:7" x14ac:dyDescent="0.25">
      <c r="A36">
        <v>35</v>
      </c>
      <c r="B36" s="17" t="s">
        <v>96</v>
      </c>
      <c r="C36" s="17" t="s">
        <v>6</v>
      </c>
      <c r="D36" s="17" t="s">
        <v>8</v>
      </c>
      <c r="E36" s="17"/>
      <c r="F36" s="17" t="s">
        <v>87</v>
      </c>
      <c r="G36" s="17" t="s">
        <v>36</v>
      </c>
    </row>
    <row r="37" spans="1:7" x14ac:dyDescent="0.25">
      <c r="A37">
        <v>36</v>
      </c>
      <c r="B37" s="17" t="s">
        <v>97</v>
      </c>
      <c r="C37" s="17" t="s">
        <v>6</v>
      </c>
      <c r="D37" s="17" t="s">
        <v>8</v>
      </c>
      <c r="E37" s="17"/>
      <c r="F37" s="17" t="s">
        <v>87</v>
      </c>
      <c r="G37" s="17" t="s">
        <v>95</v>
      </c>
    </row>
    <row r="38" spans="1:7" x14ac:dyDescent="0.25">
      <c r="A38">
        <v>37</v>
      </c>
      <c r="B38" s="17" t="s">
        <v>98</v>
      </c>
      <c r="C38" s="17" t="s">
        <v>6</v>
      </c>
      <c r="D38" s="17" t="s">
        <v>12</v>
      </c>
      <c r="E38" s="17"/>
      <c r="F38" s="17" t="s">
        <v>87</v>
      </c>
      <c r="G38" s="17" t="s">
        <v>36</v>
      </c>
    </row>
    <row r="39" spans="1:7" x14ac:dyDescent="0.25">
      <c r="A39">
        <v>38</v>
      </c>
      <c r="B39" s="17" t="s">
        <v>99</v>
      </c>
      <c r="C39" s="17" t="s">
        <v>6</v>
      </c>
      <c r="D39" s="17" t="s">
        <v>65</v>
      </c>
      <c r="E39" s="17"/>
      <c r="F39" s="17" t="s">
        <v>87</v>
      </c>
      <c r="G39" s="17" t="s">
        <v>36</v>
      </c>
    </row>
    <row r="40" spans="1:7" x14ac:dyDescent="0.25">
      <c r="A40">
        <v>39</v>
      </c>
      <c r="B40" s="17" t="s">
        <v>100</v>
      </c>
      <c r="C40" s="17" t="s">
        <v>6</v>
      </c>
      <c r="D40" s="17" t="s">
        <v>101</v>
      </c>
      <c r="E40" s="17"/>
      <c r="F40" s="17" t="s">
        <v>102</v>
      </c>
      <c r="G40" s="17"/>
    </row>
    <row r="41" spans="1:7" x14ac:dyDescent="0.25">
      <c r="A41">
        <v>40</v>
      </c>
      <c r="B41" s="17" t="s">
        <v>103</v>
      </c>
      <c r="C41" s="17" t="s">
        <v>6</v>
      </c>
      <c r="D41" s="17" t="s">
        <v>101</v>
      </c>
      <c r="E41" s="17"/>
      <c r="F41" s="17" t="s">
        <v>104</v>
      </c>
      <c r="G41" s="17"/>
    </row>
    <row r="42" spans="1:7" x14ac:dyDescent="0.25">
      <c r="A42">
        <v>41</v>
      </c>
      <c r="B42" s="17" t="s">
        <v>105</v>
      </c>
      <c r="C42" s="17" t="s">
        <v>6</v>
      </c>
      <c r="D42" s="17" t="s">
        <v>105</v>
      </c>
      <c r="E42" s="17"/>
      <c r="F42" s="17"/>
      <c r="G42" s="17"/>
    </row>
    <row r="43" spans="1:7" x14ac:dyDescent="0.25">
      <c r="A43">
        <v>42</v>
      </c>
      <c r="B43" s="17" t="s">
        <v>106</v>
      </c>
      <c r="C43" s="17" t="s">
        <v>6</v>
      </c>
      <c r="D43" s="17" t="s">
        <v>7</v>
      </c>
      <c r="E43" s="17"/>
      <c r="F43" s="17" t="s">
        <v>102</v>
      </c>
      <c r="G43" s="17"/>
    </row>
    <row r="44" spans="1:7" x14ac:dyDescent="0.25">
      <c r="A44">
        <v>43</v>
      </c>
      <c r="B44" s="17" t="s">
        <v>107</v>
      </c>
      <c r="C44" s="17" t="s">
        <v>6</v>
      </c>
      <c r="D44" s="17" t="s">
        <v>7</v>
      </c>
      <c r="E44" s="17"/>
      <c r="F44" s="17" t="s">
        <v>104</v>
      </c>
      <c r="G44" s="17"/>
    </row>
    <row r="45" spans="1:7" x14ac:dyDescent="0.25">
      <c r="A45">
        <v>44</v>
      </c>
      <c r="B45" s="17" t="s">
        <v>108</v>
      </c>
      <c r="C45" s="17" t="s">
        <v>6</v>
      </c>
      <c r="D45" s="17" t="s">
        <v>7</v>
      </c>
      <c r="E45" s="17"/>
      <c r="F45" s="17" t="s">
        <v>109</v>
      </c>
      <c r="G45" s="17"/>
    </row>
    <row r="46" spans="1:7" x14ac:dyDescent="0.25">
      <c r="A46">
        <v>45</v>
      </c>
      <c r="B46" s="17" t="s">
        <v>110</v>
      </c>
      <c r="C46" s="17" t="s">
        <v>6</v>
      </c>
      <c r="D46" s="17" t="s">
        <v>110</v>
      </c>
      <c r="E46" s="17"/>
      <c r="F46" s="17"/>
      <c r="G46" s="17"/>
    </row>
    <row r="47" spans="1:7" x14ac:dyDescent="0.25">
      <c r="A47">
        <v>46</v>
      </c>
      <c r="B47" s="17" t="s">
        <v>111</v>
      </c>
      <c r="C47" s="17" t="s">
        <v>6</v>
      </c>
      <c r="D47" s="17" t="s">
        <v>111</v>
      </c>
      <c r="E47" s="17"/>
      <c r="F47" s="17"/>
      <c r="G47" s="17"/>
    </row>
    <row r="48" spans="1:7" x14ac:dyDescent="0.25">
      <c r="A48">
        <v>47</v>
      </c>
      <c r="B48" s="17" t="s">
        <v>112</v>
      </c>
      <c r="C48" s="17" t="s">
        <v>6</v>
      </c>
      <c r="D48" s="17" t="s">
        <v>13</v>
      </c>
      <c r="E48" s="17"/>
      <c r="F48" s="17" t="s">
        <v>102</v>
      </c>
      <c r="G48" s="17"/>
    </row>
    <row r="49" spans="1:7" x14ac:dyDescent="0.25">
      <c r="A49">
        <v>48</v>
      </c>
      <c r="B49" s="17" t="s">
        <v>113</v>
      </c>
      <c r="C49" s="17" t="s">
        <v>6</v>
      </c>
      <c r="D49" s="17" t="s">
        <v>13</v>
      </c>
      <c r="E49" s="17"/>
      <c r="F49" s="17" t="s">
        <v>104</v>
      </c>
      <c r="G49" s="17"/>
    </row>
    <row r="50" spans="1:7" x14ac:dyDescent="0.25">
      <c r="A50">
        <v>49</v>
      </c>
      <c r="B50" s="17" t="s">
        <v>114</v>
      </c>
      <c r="C50" s="17" t="s">
        <v>6</v>
      </c>
      <c r="D50" s="17" t="s">
        <v>114</v>
      </c>
      <c r="E50" s="17"/>
      <c r="F50" s="17"/>
      <c r="G50" s="17"/>
    </row>
    <row r="51" spans="1:7" x14ac:dyDescent="0.25">
      <c r="A51">
        <v>50</v>
      </c>
      <c r="B51" s="17" t="s">
        <v>115</v>
      </c>
      <c r="C51" s="17" t="s">
        <v>116</v>
      </c>
      <c r="D51" s="17"/>
      <c r="E51" s="17" t="s">
        <v>115</v>
      </c>
      <c r="F51" s="17"/>
      <c r="G51" s="17"/>
    </row>
    <row r="52" spans="1:7" x14ac:dyDescent="0.25">
      <c r="A52">
        <v>51</v>
      </c>
      <c r="B52" s="17" t="s">
        <v>117</v>
      </c>
      <c r="C52" s="17" t="s">
        <v>116</v>
      </c>
      <c r="D52" s="17"/>
      <c r="E52" s="17" t="s">
        <v>117</v>
      </c>
      <c r="F52" s="17"/>
      <c r="G52" s="17"/>
    </row>
    <row r="53" spans="1:7" x14ac:dyDescent="0.25">
      <c r="A53">
        <v>52</v>
      </c>
      <c r="B53" s="17" t="s">
        <v>118</v>
      </c>
      <c r="C53" s="17" t="s">
        <v>116</v>
      </c>
      <c r="D53" s="17"/>
      <c r="E53" s="17" t="s">
        <v>118</v>
      </c>
      <c r="F53" s="17"/>
      <c r="G53" s="17"/>
    </row>
    <row r="54" spans="1:7" x14ac:dyDescent="0.25">
      <c r="A54">
        <v>53</v>
      </c>
      <c r="B54" s="17" t="s">
        <v>119</v>
      </c>
      <c r="C54" s="17" t="s">
        <v>116</v>
      </c>
      <c r="D54" s="17"/>
      <c r="E54" s="17" t="s">
        <v>119</v>
      </c>
      <c r="F54" s="17"/>
      <c r="G54" s="17"/>
    </row>
    <row r="55" spans="1:7" x14ac:dyDescent="0.25">
      <c r="A55">
        <v>54</v>
      </c>
      <c r="B55" s="17" t="s">
        <v>120</v>
      </c>
      <c r="C55" s="17" t="s">
        <v>116</v>
      </c>
      <c r="D55" s="17"/>
      <c r="E55" s="17" t="s">
        <v>120</v>
      </c>
      <c r="F55" s="17"/>
      <c r="G55" s="17"/>
    </row>
    <row r="56" spans="1:7" x14ac:dyDescent="0.25">
      <c r="A56">
        <v>55</v>
      </c>
      <c r="B56" s="17" t="s">
        <v>121</v>
      </c>
      <c r="C56" s="17" t="s">
        <v>116</v>
      </c>
      <c r="D56" s="17"/>
      <c r="E56" s="17" t="s">
        <v>121</v>
      </c>
      <c r="F56" s="17"/>
      <c r="G56" s="17"/>
    </row>
    <row r="57" spans="1:7" x14ac:dyDescent="0.25">
      <c r="A57">
        <v>56</v>
      </c>
      <c r="B57" s="17" t="s">
        <v>122</v>
      </c>
      <c r="C57" s="17" t="s">
        <v>116</v>
      </c>
      <c r="D57" s="17"/>
      <c r="E57" s="17" t="s">
        <v>122</v>
      </c>
      <c r="F57" s="17"/>
      <c r="G57" s="17"/>
    </row>
    <row r="58" spans="1:7" x14ac:dyDescent="0.25">
      <c r="A58">
        <v>57</v>
      </c>
      <c r="B58" s="17" t="s">
        <v>123</v>
      </c>
      <c r="C58" s="17" t="s">
        <v>116</v>
      </c>
      <c r="D58" s="17"/>
      <c r="E58" s="17" t="s">
        <v>123</v>
      </c>
      <c r="F58" s="17"/>
      <c r="G58" s="17"/>
    </row>
    <row r="59" spans="1:7" x14ac:dyDescent="0.25">
      <c r="A59">
        <v>58</v>
      </c>
      <c r="B59" s="17" t="s">
        <v>124</v>
      </c>
      <c r="C59" s="17" t="s">
        <v>116</v>
      </c>
      <c r="D59" s="17"/>
      <c r="E59" s="17" t="s">
        <v>124</v>
      </c>
      <c r="F59" s="17"/>
      <c r="G59" s="17"/>
    </row>
    <row r="60" spans="1:7" x14ac:dyDescent="0.25">
      <c r="A60">
        <v>59</v>
      </c>
      <c r="B60" s="17" t="s">
        <v>125</v>
      </c>
      <c r="C60" s="17" t="s">
        <v>116</v>
      </c>
      <c r="D60" s="17"/>
      <c r="E60" s="17" t="s">
        <v>125</v>
      </c>
      <c r="F60" s="17"/>
      <c r="G60" s="17"/>
    </row>
    <row r="61" spans="1:7" x14ac:dyDescent="0.25">
      <c r="A61">
        <v>60</v>
      </c>
      <c r="B61" s="17" t="s">
        <v>126</v>
      </c>
      <c r="C61" s="17" t="s">
        <v>116</v>
      </c>
      <c r="D61" s="17"/>
      <c r="E61" s="17" t="s">
        <v>126</v>
      </c>
      <c r="F61" s="17"/>
      <c r="G61" s="17"/>
    </row>
    <row r="62" spans="1:7" x14ac:dyDescent="0.25">
      <c r="A62">
        <v>61</v>
      </c>
      <c r="B62" s="17" t="s">
        <v>127</v>
      </c>
      <c r="C62" s="17" t="s">
        <v>116</v>
      </c>
      <c r="D62" s="17"/>
      <c r="E62" s="17" t="s">
        <v>127</v>
      </c>
      <c r="F62" s="17"/>
      <c r="G62" s="17"/>
    </row>
    <row r="63" spans="1:7" x14ac:dyDescent="0.25">
      <c r="A63">
        <v>62</v>
      </c>
      <c r="B63" s="17" t="s">
        <v>128</v>
      </c>
      <c r="C63" s="17" t="s">
        <v>116</v>
      </c>
      <c r="D63" s="17"/>
      <c r="E63" s="17" t="s">
        <v>128</v>
      </c>
      <c r="F63" s="17"/>
      <c r="G63" s="17"/>
    </row>
    <row r="64" spans="1:7" x14ac:dyDescent="0.25">
      <c r="A64">
        <v>63</v>
      </c>
      <c r="B64" s="17" t="s">
        <v>129</v>
      </c>
      <c r="C64" s="17" t="s">
        <v>116</v>
      </c>
      <c r="D64" s="17"/>
      <c r="E64" s="17" t="s">
        <v>129</v>
      </c>
      <c r="F64" s="17"/>
      <c r="G64" s="17"/>
    </row>
    <row r="65" spans="1:7" x14ac:dyDescent="0.25">
      <c r="A65">
        <v>64</v>
      </c>
      <c r="B65" s="17" t="s">
        <v>130</v>
      </c>
      <c r="C65" s="17" t="s">
        <v>116</v>
      </c>
      <c r="D65" s="17"/>
      <c r="E65" s="17" t="s">
        <v>130</v>
      </c>
      <c r="F65" s="17"/>
      <c r="G65" s="17"/>
    </row>
    <row r="66" spans="1:7" x14ac:dyDescent="0.25">
      <c r="A66">
        <v>65</v>
      </c>
      <c r="B66" s="17" t="s">
        <v>131</v>
      </c>
      <c r="C66" s="17" t="s">
        <v>116</v>
      </c>
      <c r="D66" s="17"/>
      <c r="E66" s="17" t="s">
        <v>131</v>
      </c>
      <c r="F66" s="17"/>
      <c r="G66" s="17"/>
    </row>
    <row r="67" spans="1:7" x14ac:dyDescent="0.25">
      <c r="A67">
        <v>66</v>
      </c>
      <c r="B67" s="17" t="s">
        <v>132</v>
      </c>
      <c r="C67" s="17" t="s">
        <v>116</v>
      </c>
      <c r="D67" s="17"/>
      <c r="E67" s="17" t="s">
        <v>132</v>
      </c>
      <c r="F67" s="17"/>
      <c r="G67" s="17"/>
    </row>
    <row r="68" spans="1:7" x14ac:dyDescent="0.25">
      <c r="A68">
        <v>67</v>
      </c>
      <c r="B68" s="17" t="s">
        <v>133</v>
      </c>
      <c r="C68" s="17" t="s">
        <v>116</v>
      </c>
      <c r="D68" s="17"/>
      <c r="E68" s="17" t="s">
        <v>133</v>
      </c>
      <c r="F68" s="17"/>
      <c r="G68" s="17"/>
    </row>
    <row r="69" spans="1:7" x14ac:dyDescent="0.25">
      <c r="A69">
        <v>68</v>
      </c>
      <c r="B69" s="17" t="s">
        <v>134</v>
      </c>
      <c r="C69" s="17" t="s">
        <v>116</v>
      </c>
      <c r="D69" s="17"/>
      <c r="E69" s="17" t="s">
        <v>134</v>
      </c>
      <c r="F69" s="17"/>
      <c r="G69" s="17"/>
    </row>
    <row r="70" spans="1:7" x14ac:dyDescent="0.25">
      <c r="A70">
        <v>69</v>
      </c>
      <c r="B70" s="17" t="s">
        <v>135</v>
      </c>
      <c r="C70" s="17" t="s">
        <v>116</v>
      </c>
      <c r="D70" s="17"/>
      <c r="E70" s="17" t="s">
        <v>135</v>
      </c>
      <c r="F70" s="17"/>
      <c r="G70" s="17"/>
    </row>
    <row r="71" spans="1:7" x14ac:dyDescent="0.25">
      <c r="A71">
        <v>70</v>
      </c>
      <c r="B71" s="17" t="s">
        <v>136</v>
      </c>
      <c r="C71" s="17" t="s">
        <v>116</v>
      </c>
      <c r="D71" s="17"/>
      <c r="E71" s="17" t="s">
        <v>136</v>
      </c>
      <c r="F71" s="17"/>
      <c r="G71" s="17"/>
    </row>
    <row r="72" spans="1:7" x14ac:dyDescent="0.25">
      <c r="A72">
        <v>71</v>
      </c>
      <c r="B72" s="17" t="s">
        <v>137</v>
      </c>
      <c r="C72" s="17" t="s">
        <v>116</v>
      </c>
      <c r="D72" s="17"/>
      <c r="E72" s="17" t="s">
        <v>137</v>
      </c>
      <c r="F72" s="17"/>
      <c r="G72" s="17"/>
    </row>
    <row r="73" spans="1:7" x14ac:dyDescent="0.25">
      <c r="A73">
        <v>72</v>
      </c>
      <c r="B73" s="17" t="s">
        <v>138</v>
      </c>
      <c r="C73" s="17" t="s">
        <v>116</v>
      </c>
      <c r="D73" s="17"/>
      <c r="E73" s="17" t="s">
        <v>138</v>
      </c>
      <c r="F73" s="17"/>
      <c r="G73" s="17"/>
    </row>
    <row r="74" spans="1:7" x14ac:dyDescent="0.25">
      <c r="A74">
        <v>73</v>
      </c>
      <c r="B74" s="17" t="s">
        <v>139</v>
      </c>
      <c r="C74" s="17" t="s">
        <v>116</v>
      </c>
      <c r="D74" s="17"/>
      <c r="E74" s="17" t="s">
        <v>139</v>
      </c>
      <c r="F74" s="17"/>
      <c r="G74" s="17"/>
    </row>
    <row r="75" spans="1:7" x14ac:dyDescent="0.25">
      <c r="A75">
        <v>74</v>
      </c>
      <c r="B75" s="17" t="s">
        <v>140</v>
      </c>
      <c r="C75" s="17" t="s">
        <v>116</v>
      </c>
      <c r="D75" s="17"/>
      <c r="E75" s="17" t="s">
        <v>140</v>
      </c>
      <c r="F75" s="17"/>
      <c r="G75" s="17"/>
    </row>
    <row r="76" spans="1:7" x14ac:dyDescent="0.25">
      <c r="A76">
        <v>75</v>
      </c>
      <c r="B76" s="17" t="s">
        <v>141</v>
      </c>
      <c r="C76" s="17" t="s">
        <v>116</v>
      </c>
      <c r="D76" s="17"/>
      <c r="E76" s="17" t="s">
        <v>141</v>
      </c>
      <c r="F76" s="17"/>
      <c r="G76" s="17"/>
    </row>
    <row r="77" spans="1:7" x14ac:dyDescent="0.25">
      <c r="A77">
        <v>76</v>
      </c>
      <c r="B77" s="17" t="s">
        <v>142</v>
      </c>
      <c r="C77" s="17" t="s">
        <v>116</v>
      </c>
      <c r="D77" s="17"/>
      <c r="E77" s="17" t="s">
        <v>142</v>
      </c>
      <c r="F77" s="17"/>
      <c r="G77" s="17"/>
    </row>
    <row r="78" spans="1:7" x14ac:dyDescent="0.25">
      <c r="A78">
        <v>77</v>
      </c>
      <c r="B78" s="17" t="s">
        <v>143</v>
      </c>
      <c r="C78" s="17" t="s">
        <v>116</v>
      </c>
      <c r="D78" s="17"/>
      <c r="E78" s="17" t="s">
        <v>143</v>
      </c>
      <c r="F78" s="17"/>
      <c r="G78" s="17"/>
    </row>
    <row r="79" spans="1:7" x14ac:dyDescent="0.25">
      <c r="A79">
        <v>78</v>
      </c>
      <c r="B79" s="17" t="s">
        <v>144</v>
      </c>
      <c r="C79" s="17" t="s">
        <v>116</v>
      </c>
      <c r="D79" s="17"/>
      <c r="E79" s="17" t="s">
        <v>144</v>
      </c>
      <c r="F79" s="17"/>
      <c r="G79" s="17"/>
    </row>
    <row r="80" spans="1:7" x14ac:dyDescent="0.25">
      <c r="A80">
        <v>79</v>
      </c>
      <c r="B80" s="17" t="s">
        <v>145</v>
      </c>
      <c r="C80" s="17" t="s">
        <v>116</v>
      </c>
      <c r="D80" s="17"/>
      <c r="E80" s="17" t="s">
        <v>145</v>
      </c>
      <c r="F80" s="17"/>
      <c r="G80" s="17"/>
    </row>
    <row r="81" spans="1:7" x14ac:dyDescent="0.25">
      <c r="A81">
        <v>80</v>
      </c>
      <c r="B81" s="17" t="s">
        <v>146</v>
      </c>
      <c r="C81" s="17" t="s">
        <v>116</v>
      </c>
      <c r="D81" s="17"/>
      <c r="E81" s="17" t="s">
        <v>146</v>
      </c>
      <c r="F81" s="17"/>
      <c r="G81" s="17"/>
    </row>
    <row r="82" spans="1:7" x14ac:dyDescent="0.25">
      <c r="A82">
        <v>81</v>
      </c>
      <c r="B82" s="17" t="s">
        <v>147</v>
      </c>
      <c r="C82" s="17" t="s">
        <v>116</v>
      </c>
      <c r="D82" s="17"/>
      <c r="E82" s="17" t="s">
        <v>147</v>
      </c>
      <c r="F82" s="17"/>
      <c r="G82" s="17"/>
    </row>
    <row r="83" spans="1:7" x14ac:dyDescent="0.25">
      <c r="A83">
        <v>82</v>
      </c>
      <c r="B83" s="17" t="s">
        <v>148</v>
      </c>
      <c r="C83" s="17" t="s">
        <v>116</v>
      </c>
      <c r="D83" s="17"/>
      <c r="E83" s="17" t="s">
        <v>148</v>
      </c>
      <c r="F83" s="17"/>
      <c r="G83" s="17"/>
    </row>
    <row r="84" spans="1:7" x14ac:dyDescent="0.25">
      <c r="A84">
        <v>83</v>
      </c>
      <c r="B84" s="17" t="s">
        <v>149</v>
      </c>
      <c r="C84" s="17" t="s">
        <v>116</v>
      </c>
      <c r="D84" s="17"/>
      <c r="E84" s="17" t="s">
        <v>149</v>
      </c>
      <c r="F84" s="17"/>
      <c r="G84" s="17"/>
    </row>
    <row r="85" spans="1:7" x14ac:dyDescent="0.25">
      <c r="A85">
        <v>84</v>
      </c>
      <c r="B85" s="17" t="s">
        <v>150</v>
      </c>
      <c r="C85" s="17" t="s">
        <v>116</v>
      </c>
      <c r="D85" s="17"/>
      <c r="E85" s="17" t="s">
        <v>150</v>
      </c>
      <c r="F85" s="17"/>
      <c r="G85" s="17"/>
    </row>
    <row r="86" spans="1:7" x14ac:dyDescent="0.25">
      <c r="A86">
        <v>85</v>
      </c>
      <c r="B86" s="17" t="s">
        <v>151</v>
      </c>
      <c r="C86" s="17" t="s">
        <v>116</v>
      </c>
      <c r="D86" s="17"/>
      <c r="E86" s="17" t="s">
        <v>151</v>
      </c>
      <c r="F86" s="17"/>
      <c r="G86" s="17"/>
    </row>
    <row r="87" spans="1:7" x14ac:dyDescent="0.25">
      <c r="A87">
        <v>86</v>
      </c>
      <c r="B87" s="17" t="s">
        <v>152</v>
      </c>
      <c r="C87" s="17" t="s">
        <v>116</v>
      </c>
      <c r="D87" s="17"/>
      <c r="E87" s="17" t="s">
        <v>152</v>
      </c>
      <c r="F87" s="17"/>
      <c r="G87" s="17"/>
    </row>
    <row r="88" spans="1:7" x14ac:dyDescent="0.25">
      <c r="A88">
        <v>87</v>
      </c>
      <c r="B88" s="17" t="s">
        <v>153</v>
      </c>
      <c r="C88" s="17" t="s">
        <v>116</v>
      </c>
      <c r="D88" s="17"/>
      <c r="E88" s="17" t="s">
        <v>153</v>
      </c>
      <c r="F88" s="17"/>
      <c r="G88" s="17"/>
    </row>
    <row r="89" spans="1:7" x14ac:dyDescent="0.25">
      <c r="A89">
        <v>88</v>
      </c>
      <c r="B89" s="17" t="s">
        <v>154</v>
      </c>
      <c r="C89" s="17" t="s">
        <v>116</v>
      </c>
      <c r="D89" s="17"/>
      <c r="E89" s="17" t="s">
        <v>154</v>
      </c>
      <c r="F89" s="17"/>
      <c r="G89" s="17"/>
    </row>
    <row r="90" spans="1:7" x14ac:dyDescent="0.25">
      <c r="A90">
        <v>89</v>
      </c>
      <c r="B90" s="17" t="s">
        <v>155</v>
      </c>
      <c r="C90" s="17" t="s">
        <v>116</v>
      </c>
      <c r="D90" s="17"/>
      <c r="E90" s="17" t="s">
        <v>155</v>
      </c>
      <c r="F90" s="17"/>
      <c r="G90" s="17"/>
    </row>
    <row r="91" spans="1:7" x14ac:dyDescent="0.25">
      <c r="A91">
        <v>90</v>
      </c>
      <c r="B91" s="17" t="s">
        <v>156</v>
      </c>
      <c r="C91" s="17" t="s">
        <v>116</v>
      </c>
      <c r="D91" s="17"/>
      <c r="E91" s="17" t="s">
        <v>156</v>
      </c>
      <c r="F91" s="17"/>
      <c r="G91" s="17"/>
    </row>
    <row r="92" spans="1:7" x14ac:dyDescent="0.25">
      <c r="A92">
        <v>91</v>
      </c>
      <c r="B92" s="17" t="s">
        <v>157</v>
      </c>
      <c r="C92" s="17" t="s">
        <v>116</v>
      </c>
      <c r="D92" s="17"/>
      <c r="E92" s="17" t="s">
        <v>157</v>
      </c>
      <c r="F92" s="17"/>
      <c r="G92" s="17"/>
    </row>
    <row r="93" spans="1:7" x14ac:dyDescent="0.25">
      <c r="A93">
        <v>92</v>
      </c>
      <c r="B93" s="17" t="s">
        <v>158</v>
      </c>
      <c r="C93" s="17" t="s">
        <v>116</v>
      </c>
      <c r="D93" s="17"/>
      <c r="E93" s="17" t="s">
        <v>158</v>
      </c>
      <c r="F93" s="17"/>
      <c r="G93" s="17"/>
    </row>
    <row r="94" spans="1:7" x14ac:dyDescent="0.25">
      <c r="A94">
        <v>93</v>
      </c>
      <c r="B94" s="17" t="s">
        <v>159</v>
      </c>
      <c r="C94" s="17" t="s">
        <v>116</v>
      </c>
      <c r="D94" s="17"/>
      <c r="E94" s="17" t="s">
        <v>159</v>
      </c>
      <c r="F94" s="17"/>
      <c r="G94" s="17"/>
    </row>
    <row r="95" spans="1:7" x14ac:dyDescent="0.25">
      <c r="A95">
        <v>94</v>
      </c>
      <c r="B95" s="17" t="s">
        <v>160</v>
      </c>
      <c r="C95" s="17" t="s">
        <v>116</v>
      </c>
      <c r="D95" s="17"/>
      <c r="E95" s="17" t="s">
        <v>160</v>
      </c>
      <c r="F95" s="17"/>
      <c r="G95" s="17"/>
    </row>
    <row r="96" spans="1:7" x14ac:dyDescent="0.25">
      <c r="A96">
        <v>95</v>
      </c>
      <c r="B96" s="17" t="s">
        <v>47</v>
      </c>
      <c r="C96" s="17" t="s">
        <v>14</v>
      </c>
      <c r="D96" s="17"/>
      <c r="E96" s="17" t="s">
        <v>161</v>
      </c>
      <c r="F96" s="17" t="s">
        <v>104</v>
      </c>
      <c r="G96" s="17" t="s">
        <v>162</v>
      </c>
    </row>
    <row r="97" spans="1:7" x14ac:dyDescent="0.25">
      <c r="A97">
        <v>96</v>
      </c>
      <c r="B97" s="17" t="s">
        <v>163</v>
      </c>
      <c r="C97" s="17" t="s">
        <v>14</v>
      </c>
      <c r="D97" s="17"/>
      <c r="E97" s="17" t="s">
        <v>164</v>
      </c>
      <c r="F97" s="17" t="s">
        <v>165</v>
      </c>
      <c r="G97" s="17"/>
    </row>
    <row r="98" spans="1:7" x14ac:dyDescent="0.25">
      <c r="A98">
        <v>97</v>
      </c>
      <c r="B98" s="17" t="s">
        <v>45</v>
      </c>
      <c r="C98" s="17" t="s">
        <v>14</v>
      </c>
      <c r="D98" s="17"/>
      <c r="E98" s="17" t="s">
        <v>45</v>
      </c>
      <c r="F98" s="17"/>
      <c r="G98" s="17"/>
    </row>
    <row r="99" spans="1:7" x14ac:dyDescent="0.25">
      <c r="A99">
        <v>98</v>
      </c>
      <c r="B99" s="17" t="s">
        <v>166</v>
      </c>
      <c r="C99" s="17" t="s">
        <v>15</v>
      </c>
      <c r="D99" s="17"/>
      <c r="E99" s="17" t="s">
        <v>166</v>
      </c>
      <c r="F99" s="17"/>
      <c r="G99" s="17"/>
    </row>
    <row r="100" spans="1:7" x14ac:dyDescent="0.25">
      <c r="A100">
        <v>99</v>
      </c>
      <c r="B100" s="17" t="s">
        <v>167</v>
      </c>
      <c r="C100" s="17" t="s">
        <v>15</v>
      </c>
      <c r="D100" s="17"/>
      <c r="E100" s="17" t="s">
        <v>167</v>
      </c>
      <c r="F100" s="17"/>
      <c r="G100" s="17"/>
    </row>
    <row r="101" spans="1:7" x14ac:dyDescent="0.25">
      <c r="A101">
        <v>100</v>
      </c>
      <c r="B101" s="17" t="s">
        <v>168</v>
      </c>
      <c r="C101" s="17" t="s">
        <v>15</v>
      </c>
      <c r="D101" s="17"/>
      <c r="E101" s="17" t="s">
        <v>168</v>
      </c>
      <c r="F101" s="17"/>
      <c r="G101" s="17"/>
    </row>
    <row r="102" spans="1:7" x14ac:dyDescent="0.25">
      <c r="A102">
        <v>101</v>
      </c>
      <c r="B102" s="17" t="s">
        <v>169</v>
      </c>
      <c r="C102" s="17" t="s">
        <v>15</v>
      </c>
      <c r="D102" s="17"/>
      <c r="E102" s="17" t="s">
        <v>169</v>
      </c>
      <c r="F102" s="17"/>
      <c r="G102" s="17"/>
    </row>
    <row r="103" spans="1:7" x14ac:dyDescent="0.25">
      <c r="A103">
        <v>102</v>
      </c>
      <c r="B103" s="17" t="s">
        <v>170</v>
      </c>
      <c r="C103" s="17" t="s">
        <v>15</v>
      </c>
      <c r="D103" s="17"/>
      <c r="E103" s="17" t="s">
        <v>170</v>
      </c>
      <c r="F103" s="17"/>
      <c r="G103" s="17"/>
    </row>
    <row r="104" spans="1:7" x14ac:dyDescent="0.25">
      <c r="A104">
        <v>103</v>
      </c>
      <c r="B104" s="17" t="s">
        <v>171</v>
      </c>
      <c r="C104" s="17" t="s">
        <v>15</v>
      </c>
      <c r="D104" s="17"/>
      <c r="E104" s="17" t="s">
        <v>171</v>
      </c>
      <c r="F104" s="17"/>
      <c r="G104" s="17"/>
    </row>
    <row r="105" spans="1:7" x14ac:dyDescent="0.25">
      <c r="A105">
        <v>104</v>
      </c>
      <c r="B105" s="17" t="s">
        <v>172</v>
      </c>
      <c r="C105" s="17" t="s">
        <v>172</v>
      </c>
      <c r="D105" s="17"/>
      <c r="E105" s="17" t="s">
        <v>172</v>
      </c>
      <c r="F105" s="17"/>
      <c r="G105" s="1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4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 s="17" t="s">
        <v>178</v>
      </c>
      <c r="B2" s="17" t="s">
        <v>47</v>
      </c>
      <c r="C2">
        <v>20</v>
      </c>
      <c r="E2">
        <v>20</v>
      </c>
      <c r="F2">
        <v>1</v>
      </c>
    </row>
    <row r="3" spans="1:8" x14ac:dyDescent="0.25">
      <c r="A3" s="17" t="s">
        <v>179</v>
      </c>
      <c r="B3" s="17" t="s">
        <v>47</v>
      </c>
      <c r="D3">
        <v>5</v>
      </c>
      <c r="E3">
        <v>15</v>
      </c>
      <c r="F3">
        <v>1</v>
      </c>
    </row>
    <row r="4" spans="1:8" x14ac:dyDescent="0.25">
      <c r="A4" s="17" t="s">
        <v>179</v>
      </c>
      <c r="B4" s="17" t="s">
        <v>163</v>
      </c>
      <c r="C4">
        <v>100</v>
      </c>
      <c r="D4">
        <v>20</v>
      </c>
      <c r="E4">
        <v>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H4"/>
  <sheetViews>
    <sheetView workbookViewId="0"/>
  </sheetViews>
  <sheetFormatPr defaultRowHeight="15" x14ac:dyDescent="0.25"/>
  <cols>
    <col min="1" max="1" width="7.85546875" bestFit="1" customWidth="1"/>
    <col min="2" max="2" width="18.855468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>
        <v>45767</v>
      </c>
      <c r="B2" s="17" t="s">
        <v>49</v>
      </c>
      <c r="C2">
        <v>20</v>
      </c>
      <c r="E2">
        <v>20</v>
      </c>
      <c r="F2">
        <v>1</v>
      </c>
    </row>
    <row r="3" spans="1:8" x14ac:dyDescent="0.25">
      <c r="A3">
        <v>45767</v>
      </c>
      <c r="B3" s="17" t="s">
        <v>62</v>
      </c>
      <c r="C3">
        <v>20</v>
      </c>
      <c r="D3">
        <v>10</v>
      </c>
      <c r="E3">
        <v>10</v>
      </c>
      <c r="F3">
        <v>1</v>
      </c>
    </row>
    <row r="4" spans="1:8" x14ac:dyDescent="0.25">
      <c r="A4">
        <v>45770</v>
      </c>
      <c r="B4" s="17" t="s">
        <v>64</v>
      </c>
      <c r="C4">
        <v>7</v>
      </c>
      <c r="D4">
        <v>7</v>
      </c>
      <c r="E4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tabSelected="1" zoomScale="64" workbookViewId="0">
      <selection activeCell="F17" sqref="F17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9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22" t="s">
        <v>27</v>
      </c>
      <c r="D1" s="22"/>
    </row>
    <row r="2" spans="2:8" x14ac:dyDescent="0.25">
      <c r="B2" s="1" t="s">
        <v>9</v>
      </c>
      <c r="C2" s="1" t="s">
        <v>10</v>
      </c>
      <c r="D2" s="18" t="s">
        <v>16</v>
      </c>
      <c r="E2" s="1" t="s">
        <v>20</v>
      </c>
      <c r="F2" s="1" t="s">
        <v>17</v>
      </c>
      <c r="G2" s="1" t="s">
        <v>21</v>
      </c>
      <c r="H2" s="1" t="s">
        <v>22</v>
      </c>
    </row>
    <row r="3" spans="2:8" x14ac:dyDescent="0.25">
      <c r="B3" s="3">
        <v>45767</v>
      </c>
      <c r="C3" s="16" t="str">
        <f>IF(IFERROR(_TBL_INVENTORY_IN[[#This Row],[INVENTORY ITEM]], "")&lt;&gt;0, IFERROR(_TBL_INVENTORY_IN[[#This Row],[INVENTORY ITEM]], ""), "")</f>
        <v>DELL REGULAR 4 / 16</v>
      </c>
      <c r="D3" s="4">
        <f>IF(IFERROR(_TBL_INVENTORY_IN[[#This Row],[IN]], "")&lt;&gt;0, IFERROR(_TBL_INVENTORY_IN[[#This Row],[IN]], ""), "")</f>
        <v>20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/>
      <c r="G3" s="8">
        <v>200000</v>
      </c>
      <c r="H3" s="8">
        <f>IFERROR(_TBL_LAPTOP_INVENTORY_ACCOUNT_IN[[#This Row],[COST TOTAL]]/_TBL_LAPTOP_INVENTORY_ACCOUNT_IN[[#This Row],[IN]], "")</f>
        <v>10000</v>
      </c>
    </row>
    <row r="4" spans="2:8" x14ac:dyDescent="0.25">
      <c r="B4" s="3">
        <f>IF(IFERROR(_TBL_INVENTORY_IN[[#This Row],[DATE]], "")&lt;&gt;0, IFERROR(_TBL_INVENTORY_IN[[#This Row],[DATE]], ""), "")</f>
        <v>45767</v>
      </c>
      <c r="C4" s="16" t="str">
        <f>IF(IFERROR(_TBL_INVENTORY_IN[[#This Row],[INVENTORY ITEM]], "")&lt;&gt;0, IFERROR(_TBL_INVENTORY_IN[[#This Row],[INVENTORY ITEM]], ""), "")</f>
        <v>DELL REGULAR 4 / 32</v>
      </c>
      <c r="D4" s="4">
        <f>IF(IFERROR(_TBL_INVENTORY_IN[[#This Row],[IN]], "")&lt;&gt;0, IFERROR(_TBL_INVENTORY_IN[[#This Row],[IN]], ""), "")</f>
        <v>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8">
        <v>70000</v>
      </c>
      <c r="H4" s="8">
        <f>IFERROR(_TBL_LAPTOP_INVENTORY_ACCOUNT_IN[[#This Row],[COST TOTAL]]/_TBL_LAPTOP_INVENTORY_ACCOUNT_IN[[#This Row],[IN]], "")</f>
        <v>3500</v>
      </c>
    </row>
    <row r="5" spans="2:8" x14ac:dyDescent="0.25">
      <c r="B5" s="3"/>
      <c r="C5" s="16"/>
      <c r="D5" s="4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8"/>
      <c r="H5" s="8" t="str">
        <f>IFERROR(_TBL_LAPTOP_INVENTORY_ACCOUNT_IN[[#This Row],[COST TOTAL]]/_TBL_LAPTOP_INVENTORY_ACCOUNT_IN[[#This Row],[IN]], "")</f>
        <v/>
      </c>
    </row>
    <row r="6" spans="2:8" x14ac:dyDescent="0.25">
      <c r="B6" s="3"/>
      <c r="C6" s="16"/>
      <c r="D6" s="4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8"/>
      <c r="H6" s="8" t="str">
        <f>IFERROR(_TBL_LAPTOP_INVENTORY_ACCOUNT_IN[[#This Row],[COST TOTAL]]/_TBL_LAPTOP_INVENTORY_ACCOUNT_IN[[#This Row],[IN]], "")</f>
        <v/>
      </c>
    </row>
    <row r="7" spans="2:8" x14ac:dyDescent="0.25">
      <c r="B7" s="3"/>
      <c r="C7" s="16"/>
      <c r="D7" s="4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8"/>
      <c r="H7" s="8" t="str">
        <f>IFERROR(_TBL_LAPTOP_INVENTORY_ACCOUNT_IN[[#This Row],[COST TOTAL]]/_TBL_LAPTOP_INVENTORY_ACCOUNT_IN[[#This Row],[IN]], "")</f>
        <v/>
      </c>
    </row>
    <row r="8" spans="2:8" x14ac:dyDescent="0.25">
      <c r="B8" s="3"/>
      <c r="C8" s="16"/>
      <c r="D8" s="4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8"/>
      <c r="H8" s="8" t="str">
        <f>IFERROR(_TBL_LAPTOP_INVENTORY_ACCOUNT_IN[[#This Row],[COST TOTAL]]/_TBL_LAPTOP_INVENTORY_ACCOUNT_IN[[#This Row],[IN]], "")</f>
        <v/>
      </c>
    </row>
    <row r="9" spans="2:8" x14ac:dyDescent="0.25">
      <c r="B9" s="3"/>
      <c r="C9" s="16"/>
      <c r="D9" s="4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8"/>
      <c r="H9" s="8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16" t="str">
        <f>IF(IFERROR(_TBL_INVENTORY_IN[[#This Row],[INVENTORY ITEM]], "")&lt;&gt;0, IFERROR(_TBL_INVENTORY_IN[[#This Row],[INVENTORY ITEM]], ""), "")</f>
        <v/>
      </c>
      <c r="D10" s="4" t="str">
        <f>IF(IFERROR(_TBL_INVENTORY_IN[[#This Row],[IN]], "")&lt;&gt;0, IFERROR(_TBL_INVENTORY_IN[[#This Row],[IN]], ""), "")</f>
        <v/>
      </c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8"/>
      <c r="H10" s="8" t="str">
        <f>IFERROR(_TBL_LAPTOP_INVENTORY_ACCOUNT_IN[[#This Row],[COST TOTAL]]/_TBL_LAPTOP_INVENTORY_ACCOUNT_IN[[#This Row],[IN]], "")</f>
        <v/>
      </c>
    </row>
    <row r="11" spans="2:8" x14ac:dyDescent="0.25">
      <c r="B11" s="3"/>
      <c r="C11" s="16" t="str">
        <f>IF(IFERROR(_TBL_INVENTORY_IN[[#This Row],[INVENTORY ITEM]], "")&lt;&gt;0, IFERROR(_TBL_INVENTORY_IN[[#This Row],[INVENTORY ITEM]], ""), "")</f>
        <v/>
      </c>
      <c r="D11" s="4" t="str">
        <f>IF(IFERROR(_TBL_INVENTORY_IN[[#This Row],[IN]], "")&lt;&gt;0, IFERROR(_TBL_INVENTORY_IN[[#This Row],[IN]], ""), "")</f>
        <v/>
      </c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8"/>
      <c r="H11" s="8" t="str">
        <f>IFERROR(_TBL_LAPTOP_INVENTORY_ACCOUNT_IN[[#This Row],[COST TOTAL]]/_TBL_LAPTOP_INVENTORY_ACCOUNT_IN[[#This Row],[IN]], "")</f>
        <v/>
      </c>
    </row>
    <row r="12" spans="2:8" x14ac:dyDescent="0.25">
      <c r="B12" s="9" t="str">
        <f>_xlfn.CONCAT("COUNT: ", SUBTOTAL(103,_TBL_LAPTOP_INVENTORY_ACCOUNT_IN[DATE]))</f>
        <v>COUNT: 2</v>
      </c>
      <c r="C12" s="5" t="s">
        <v>23</v>
      </c>
      <c r="D12" s="10">
        <f>SUBTOTAL(109,_TBL_LAPTOP_INVENTORY_ACCOUNT_IN[IN])</f>
        <v>40</v>
      </c>
      <c r="E12" s="10"/>
      <c r="F12" s="5"/>
      <c r="G12" s="14">
        <f>SUBTOTAL(109,_TBL_LAPTOP_INVENTORY_ACCOUNT_IN[COST TOTAL])</f>
        <v>270000</v>
      </c>
      <c r="H12" s="14">
        <f>IFERROR(_TBL_LAPTOP_INVENTORY_ACCOUNT_IN[[#Totals],[COST TOTAL]]/_TBL_LAPTOP_INVENTORY_ACCOUNT_IN[[#Totals],[IN]], "")</f>
        <v>6750</v>
      </c>
    </row>
    <row r="13" spans="2:8" x14ac:dyDescent="0.25">
      <c r="B13" s="12"/>
      <c r="C13" s="5" t="s">
        <v>19</v>
      </c>
      <c r="D13" s="6">
        <f>SUM(_TBL_LAPTOP_INVENTORY_ACCOUNT_IN[IN])</f>
        <v>40</v>
      </c>
      <c r="E13" s="13"/>
      <c r="F13" s="12"/>
      <c r="G13" s="15">
        <f>SUM(_TBL_LAPTOP_INVENTORY_ACCOUNT_IN[COST TOTAL])</f>
        <v>270000</v>
      </c>
      <c r="H13" s="15">
        <f>G13/D13</f>
        <v>6750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3"/>
  <sheetViews>
    <sheetView workbookViewId="0">
      <selection sqref="A1:H3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 s="17" t="s">
        <v>178</v>
      </c>
      <c r="B2" s="17" t="s">
        <v>166</v>
      </c>
      <c r="C2">
        <v>55</v>
      </c>
      <c r="E2">
        <v>55</v>
      </c>
      <c r="F2">
        <v>2</v>
      </c>
    </row>
    <row r="3" spans="1:8" x14ac:dyDescent="0.25">
      <c r="A3" s="17" t="s">
        <v>179</v>
      </c>
      <c r="B3" s="17" t="s">
        <v>167</v>
      </c>
      <c r="C3">
        <v>5</v>
      </c>
      <c r="D3">
        <v>5</v>
      </c>
      <c r="E3">
        <v>0</v>
      </c>
      <c r="F3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B2:G106"/>
  <sheetViews>
    <sheetView zoomScale="85" zoomScaleNormal="85" workbookViewId="0">
      <selection activeCell="B2" sqref="B2:G106"/>
    </sheetView>
  </sheetViews>
  <sheetFormatPr defaultRowHeight="15" x14ac:dyDescent="0.25"/>
  <cols>
    <col min="2" max="2" width="5.7109375" bestFit="1" customWidth="1"/>
    <col min="3" max="3" width="27.7109375" bestFit="1" customWidth="1"/>
    <col min="4" max="4" width="8.7109375" bestFit="1" customWidth="1"/>
    <col min="5" max="5" width="14.28515625" style="2" bestFit="1" customWidth="1"/>
    <col min="6" max="6" width="21.85546875" style="2" bestFit="1" customWidth="1"/>
    <col min="7" max="7" width="14.28515625" style="2" bestFit="1" customWidth="1"/>
    <col min="8" max="8" width="9.5703125" bestFit="1" customWidth="1"/>
    <col min="9" max="9" width="18.42578125" bestFit="1" customWidth="1"/>
    <col min="10" max="10" width="14" bestFit="1" customWidth="1"/>
    <col min="11" max="11" width="8.5703125" bestFit="1" customWidth="1"/>
  </cols>
  <sheetData>
    <row r="2" spans="2:7" x14ac:dyDescent="0.25">
      <c r="B2" t="s">
        <v>0</v>
      </c>
      <c r="C2" t="s">
        <v>1</v>
      </c>
      <c r="D2" t="s">
        <v>2</v>
      </c>
      <c r="E2" s="2" t="s">
        <v>174</v>
      </c>
      <c r="F2" s="2" t="s">
        <v>175</v>
      </c>
      <c r="G2" s="2" t="s">
        <v>59</v>
      </c>
    </row>
    <row r="3" spans="2:7" x14ac:dyDescent="0.25">
      <c r="B3">
        <v>1</v>
      </c>
      <c r="C3" s="17" t="s">
        <v>61</v>
      </c>
      <c r="D3" s="17" t="s">
        <v>6</v>
      </c>
      <c r="E3" s="21"/>
      <c r="F3" s="21"/>
      <c r="G3" s="21"/>
    </row>
    <row r="4" spans="2:7" x14ac:dyDescent="0.25">
      <c r="B4">
        <v>2</v>
      </c>
      <c r="C4" s="17" t="s">
        <v>49</v>
      </c>
      <c r="D4" s="17" t="s">
        <v>6</v>
      </c>
      <c r="E4" s="21">
        <v>20</v>
      </c>
      <c r="F4" s="21">
        <v>20</v>
      </c>
      <c r="G4" s="21">
        <v>1</v>
      </c>
    </row>
    <row r="5" spans="2:7" x14ac:dyDescent="0.25">
      <c r="B5">
        <v>3</v>
      </c>
      <c r="C5" s="17" t="s">
        <v>62</v>
      </c>
      <c r="D5" s="17" t="s">
        <v>6</v>
      </c>
      <c r="E5" s="21">
        <v>20</v>
      </c>
      <c r="F5" s="21">
        <v>20</v>
      </c>
      <c r="G5" s="21">
        <v>1</v>
      </c>
    </row>
    <row r="6" spans="2:7" x14ac:dyDescent="0.25">
      <c r="B6">
        <v>6</v>
      </c>
      <c r="C6" s="17" t="s">
        <v>64</v>
      </c>
      <c r="D6" s="17" t="s">
        <v>6</v>
      </c>
      <c r="E6" s="21">
        <v>7</v>
      </c>
      <c r="F6" s="21">
        <v>7</v>
      </c>
      <c r="G6" s="21"/>
    </row>
    <row r="7" spans="2:7" x14ac:dyDescent="0.25">
      <c r="B7">
        <v>4</v>
      </c>
      <c r="C7" s="17" t="s">
        <v>40</v>
      </c>
      <c r="D7" s="17" t="s">
        <v>6</v>
      </c>
      <c r="E7" s="21"/>
      <c r="F7" s="21"/>
      <c r="G7" s="21"/>
    </row>
    <row r="8" spans="2:7" x14ac:dyDescent="0.25">
      <c r="B8">
        <v>5</v>
      </c>
      <c r="C8" s="17" t="s">
        <v>63</v>
      </c>
      <c r="D8" s="17" t="s">
        <v>6</v>
      </c>
      <c r="E8" s="21"/>
      <c r="F8" s="21"/>
      <c r="G8" s="21"/>
    </row>
    <row r="9" spans="2:7" x14ac:dyDescent="0.25">
      <c r="B9">
        <v>7</v>
      </c>
      <c r="C9" s="17" t="s">
        <v>66</v>
      </c>
      <c r="D9" s="17" t="s">
        <v>6</v>
      </c>
      <c r="E9" s="21"/>
      <c r="F9" s="21"/>
      <c r="G9" s="21"/>
    </row>
    <row r="10" spans="2:7" x14ac:dyDescent="0.25">
      <c r="B10">
        <v>8</v>
      </c>
      <c r="C10" s="17" t="s">
        <v>67</v>
      </c>
      <c r="D10" s="17" t="s">
        <v>6</v>
      </c>
      <c r="E10" s="21"/>
      <c r="F10" s="21"/>
      <c r="G10" s="21"/>
    </row>
    <row r="11" spans="2:7" x14ac:dyDescent="0.25">
      <c r="B11">
        <v>9</v>
      </c>
      <c r="C11" s="17" t="s">
        <v>41</v>
      </c>
      <c r="D11" s="17" t="s">
        <v>6</v>
      </c>
      <c r="E11" s="21"/>
      <c r="F11" s="21"/>
      <c r="G11" s="21"/>
    </row>
    <row r="12" spans="2:7" x14ac:dyDescent="0.25">
      <c r="B12">
        <v>10</v>
      </c>
      <c r="C12" s="17" t="s">
        <v>68</v>
      </c>
      <c r="D12" s="17" t="s">
        <v>6</v>
      </c>
      <c r="E12" s="21"/>
      <c r="F12" s="21"/>
      <c r="G12" s="21"/>
    </row>
    <row r="13" spans="2:7" x14ac:dyDescent="0.25">
      <c r="B13">
        <v>11</v>
      </c>
      <c r="C13" s="17" t="s">
        <v>69</v>
      </c>
      <c r="D13" s="17" t="s">
        <v>6</v>
      </c>
      <c r="E13" s="21"/>
      <c r="F13" s="21"/>
      <c r="G13" s="21"/>
    </row>
    <row r="14" spans="2:7" x14ac:dyDescent="0.25">
      <c r="B14">
        <v>12</v>
      </c>
      <c r="C14" s="17" t="s">
        <v>70</v>
      </c>
      <c r="D14" s="17" t="s">
        <v>6</v>
      </c>
      <c r="E14" s="21"/>
      <c r="F14" s="21"/>
      <c r="G14" s="21"/>
    </row>
    <row r="15" spans="2:7" x14ac:dyDescent="0.25">
      <c r="B15">
        <v>13</v>
      </c>
      <c r="C15" s="17" t="s">
        <v>71</v>
      </c>
      <c r="D15" s="17" t="s">
        <v>6</v>
      </c>
      <c r="E15" s="21"/>
      <c r="F15" s="21"/>
      <c r="G15" s="21"/>
    </row>
    <row r="16" spans="2:7" x14ac:dyDescent="0.25">
      <c r="B16">
        <v>14</v>
      </c>
      <c r="C16" s="17" t="s">
        <v>72</v>
      </c>
      <c r="D16" s="17" t="s">
        <v>6</v>
      </c>
      <c r="E16" s="21"/>
      <c r="F16" s="21"/>
      <c r="G16" s="21"/>
    </row>
    <row r="17" spans="2:7" x14ac:dyDescent="0.25">
      <c r="B17">
        <v>15</v>
      </c>
      <c r="C17" s="17" t="s">
        <v>73</v>
      </c>
      <c r="D17" s="17" t="s">
        <v>6</v>
      </c>
      <c r="E17" s="21"/>
      <c r="F17" s="21"/>
      <c r="G17" s="21"/>
    </row>
    <row r="18" spans="2:7" x14ac:dyDescent="0.25">
      <c r="B18">
        <v>16</v>
      </c>
      <c r="C18" s="17" t="s">
        <v>74</v>
      </c>
      <c r="D18" s="17" t="s">
        <v>6</v>
      </c>
      <c r="E18" s="21"/>
      <c r="F18" s="21"/>
      <c r="G18" s="21"/>
    </row>
    <row r="19" spans="2:7" x14ac:dyDescent="0.25">
      <c r="B19">
        <v>17</v>
      </c>
      <c r="C19" s="17" t="s">
        <v>75</v>
      </c>
      <c r="D19" s="17" t="s">
        <v>6</v>
      </c>
      <c r="E19" s="21"/>
      <c r="F19" s="21"/>
      <c r="G19" s="21"/>
    </row>
    <row r="20" spans="2:7" x14ac:dyDescent="0.25">
      <c r="B20">
        <v>18</v>
      </c>
      <c r="C20" s="17" t="s">
        <v>76</v>
      </c>
      <c r="D20" s="17" t="s">
        <v>6</v>
      </c>
      <c r="E20" s="21"/>
      <c r="F20" s="21"/>
      <c r="G20" s="21"/>
    </row>
    <row r="21" spans="2:7" x14ac:dyDescent="0.25">
      <c r="B21">
        <v>19</v>
      </c>
      <c r="C21" s="17" t="s">
        <v>43</v>
      </c>
      <c r="D21" s="17" t="s">
        <v>6</v>
      </c>
      <c r="E21" s="21"/>
      <c r="F21" s="21"/>
      <c r="G21" s="21"/>
    </row>
    <row r="22" spans="2:7" x14ac:dyDescent="0.25">
      <c r="B22">
        <v>20</v>
      </c>
      <c r="C22" s="17" t="s">
        <v>77</v>
      </c>
      <c r="D22" s="17" t="s">
        <v>6</v>
      </c>
      <c r="E22" s="21"/>
      <c r="F22" s="21"/>
      <c r="G22" s="21"/>
    </row>
    <row r="23" spans="2:7" x14ac:dyDescent="0.25">
      <c r="B23">
        <v>21</v>
      </c>
      <c r="C23" s="17" t="s">
        <v>78</v>
      </c>
      <c r="D23" s="17" t="s">
        <v>6</v>
      </c>
      <c r="E23" s="21"/>
      <c r="F23" s="21"/>
      <c r="G23" s="21"/>
    </row>
    <row r="24" spans="2:7" x14ac:dyDescent="0.25">
      <c r="B24">
        <v>22</v>
      </c>
      <c r="C24" s="17" t="s">
        <v>80</v>
      </c>
      <c r="D24" s="17" t="s">
        <v>6</v>
      </c>
      <c r="E24" s="21"/>
      <c r="F24" s="21"/>
      <c r="G24" s="21"/>
    </row>
    <row r="25" spans="2:7" x14ac:dyDescent="0.25">
      <c r="B25">
        <v>23</v>
      </c>
      <c r="C25" s="17" t="s">
        <v>82</v>
      </c>
      <c r="D25" s="17" t="s">
        <v>6</v>
      </c>
      <c r="E25" s="21"/>
      <c r="F25" s="21"/>
      <c r="G25" s="21"/>
    </row>
    <row r="26" spans="2:7" x14ac:dyDescent="0.25">
      <c r="B26">
        <v>24</v>
      </c>
      <c r="C26" s="17" t="s">
        <v>83</v>
      </c>
      <c r="D26" s="17" t="s">
        <v>6</v>
      </c>
      <c r="E26" s="21"/>
      <c r="F26" s="21"/>
      <c r="G26" s="21"/>
    </row>
    <row r="27" spans="2:7" x14ac:dyDescent="0.25">
      <c r="B27">
        <v>25</v>
      </c>
      <c r="C27" s="17" t="s">
        <v>84</v>
      </c>
      <c r="D27" s="17" t="s">
        <v>6</v>
      </c>
      <c r="E27" s="21"/>
      <c r="F27" s="21"/>
      <c r="G27" s="21"/>
    </row>
    <row r="28" spans="2:7" x14ac:dyDescent="0.25">
      <c r="B28">
        <v>26</v>
      </c>
      <c r="C28" s="17" t="s">
        <v>85</v>
      </c>
      <c r="D28" s="17" t="s">
        <v>6</v>
      </c>
      <c r="E28" s="21"/>
      <c r="F28" s="21"/>
      <c r="G28" s="21"/>
    </row>
    <row r="29" spans="2:7" x14ac:dyDescent="0.25">
      <c r="B29">
        <v>27</v>
      </c>
      <c r="C29" s="17" t="s">
        <v>86</v>
      </c>
      <c r="D29" s="17" t="s">
        <v>6</v>
      </c>
      <c r="E29" s="21"/>
      <c r="F29" s="21"/>
      <c r="G29" s="21"/>
    </row>
    <row r="30" spans="2:7" x14ac:dyDescent="0.25">
      <c r="B30">
        <v>28</v>
      </c>
      <c r="C30" s="17" t="s">
        <v>88</v>
      </c>
      <c r="D30" s="17" t="s">
        <v>6</v>
      </c>
      <c r="E30" s="21"/>
      <c r="F30" s="21"/>
      <c r="G30" s="21"/>
    </row>
    <row r="31" spans="2:7" x14ac:dyDescent="0.25">
      <c r="B31">
        <v>29</v>
      </c>
      <c r="C31" s="17" t="s">
        <v>89</v>
      </c>
      <c r="D31" s="17" t="s">
        <v>6</v>
      </c>
      <c r="E31" s="21"/>
      <c r="F31" s="21"/>
      <c r="G31" s="21"/>
    </row>
    <row r="32" spans="2:7" x14ac:dyDescent="0.25">
      <c r="B32">
        <v>30</v>
      </c>
      <c r="C32" s="17" t="s">
        <v>90</v>
      </c>
      <c r="D32" s="17" t="s">
        <v>6</v>
      </c>
      <c r="E32" s="21"/>
      <c r="F32" s="21"/>
      <c r="G32" s="21"/>
    </row>
    <row r="33" spans="2:7" x14ac:dyDescent="0.25">
      <c r="B33">
        <v>31</v>
      </c>
      <c r="C33" s="17" t="s">
        <v>91</v>
      </c>
      <c r="D33" s="17" t="s">
        <v>6</v>
      </c>
      <c r="E33" s="21"/>
      <c r="F33" s="21"/>
      <c r="G33" s="21"/>
    </row>
    <row r="34" spans="2:7" x14ac:dyDescent="0.25">
      <c r="B34">
        <v>32</v>
      </c>
      <c r="C34" s="17" t="s">
        <v>92</v>
      </c>
      <c r="D34" s="17" t="s">
        <v>6</v>
      </c>
      <c r="E34" s="21"/>
      <c r="F34" s="21"/>
      <c r="G34" s="21"/>
    </row>
    <row r="35" spans="2:7" x14ac:dyDescent="0.25">
      <c r="B35">
        <v>33</v>
      </c>
      <c r="C35" s="17" t="s">
        <v>93</v>
      </c>
      <c r="D35" s="17" t="s">
        <v>6</v>
      </c>
      <c r="E35" s="21"/>
      <c r="F35" s="21"/>
      <c r="G35" s="21"/>
    </row>
    <row r="36" spans="2:7" x14ac:dyDescent="0.25">
      <c r="B36">
        <v>34</v>
      </c>
      <c r="C36" s="17" t="s">
        <v>94</v>
      </c>
      <c r="D36" s="17" t="s">
        <v>6</v>
      </c>
      <c r="E36" s="21"/>
      <c r="F36" s="21"/>
      <c r="G36" s="21"/>
    </row>
    <row r="37" spans="2:7" x14ac:dyDescent="0.25">
      <c r="B37">
        <v>35</v>
      </c>
      <c r="C37" s="17" t="s">
        <v>96</v>
      </c>
      <c r="D37" s="17" t="s">
        <v>6</v>
      </c>
      <c r="E37" s="21"/>
      <c r="F37" s="21"/>
      <c r="G37" s="21"/>
    </row>
    <row r="38" spans="2:7" x14ac:dyDescent="0.25">
      <c r="B38">
        <v>36</v>
      </c>
      <c r="C38" s="17" t="s">
        <v>97</v>
      </c>
      <c r="D38" s="17" t="s">
        <v>6</v>
      </c>
      <c r="E38" s="21"/>
      <c r="F38" s="21"/>
      <c r="G38" s="21"/>
    </row>
    <row r="39" spans="2:7" x14ac:dyDescent="0.25">
      <c r="B39">
        <v>37</v>
      </c>
      <c r="C39" s="17" t="s">
        <v>98</v>
      </c>
      <c r="D39" s="17" t="s">
        <v>6</v>
      </c>
      <c r="E39" s="21"/>
      <c r="F39" s="21"/>
      <c r="G39" s="21"/>
    </row>
    <row r="40" spans="2:7" x14ac:dyDescent="0.25">
      <c r="B40">
        <v>38</v>
      </c>
      <c r="C40" s="17" t="s">
        <v>99</v>
      </c>
      <c r="D40" s="17" t="s">
        <v>6</v>
      </c>
      <c r="E40" s="21"/>
      <c r="F40" s="21"/>
      <c r="G40" s="21"/>
    </row>
    <row r="41" spans="2:7" x14ac:dyDescent="0.25">
      <c r="B41">
        <v>39</v>
      </c>
      <c r="C41" s="17" t="s">
        <v>100</v>
      </c>
      <c r="D41" s="17" t="s">
        <v>6</v>
      </c>
      <c r="E41" s="21"/>
      <c r="F41" s="21"/>
      <c r="G41" s="21"/>
    </row>
    <row r="42" spans="2:7" x14ac:dyDescent="0.25">
      <c r="B42">
        <v>40</v>
      </c>
      <c r="C42" s="17" t="s">
        <v>103</v>
      </c>
      <c r="D42" s="17" t="s">
        <v>6</v>
      </c>
      <c r="E42" s="21"/>
      <c r="F42" s="21"/>
      <c r="G42" s="21"/>
    </row>
    <row r="43" spans="2:7" x14ac:dyDescent="0.25">
      <c r="B43">
        <v>41</v>
      </c>
      <c r="C43" s="17" t="s">
        <v>105</v>
      </c>
      <c r="D43" s="17" t="s">
        <v>6</v>
      </c>
      <c r="E43" s="21"/>
      <c r="F43" s="21"/>
      <c r="G43" s="21"/>
    </row>
    <row r="44" spans="2:7" x14ac:dyDescent="0.25">
      <c r="B44">
        <v>42</v>
      </c>
      <c r="C44" s="17" t="s">
        <v>106</v>
      </c>
      <c r="D44" s="17" t="s">
        <v>6</v>
      </c>
      <c r="E44" s="21"/>
      <c r="F44" s="21"/>
      <c r="G44" s="21"/>
    </row>
    <row r="45" spans="2:7" x14ac:dyDescent="0.25">
      <c r="B45">
        <v>43</v>
      </c>
      <c r="C45" s="17" t="s">
        <v>107</v>
      </c>
      <c r="D45" s="17" t="s">
        <v>6</v>
      </c>
      <c r="E45" s="21"/>
      <c r="F45" s="21"/>
      <c r="G45" s="21"/>
    </row>
    <row r="46" spans="2:7" x14ac:dyDescent="0.25">
      <c r="B46">
        <v>44</v>
      </c>
      <c r="C46" s="17" t="s">
        <v>108</v>
      </c>
      <c r="D46" s="17" t="s">
        <v>6</v>
      </c>
      <c r="E46" s="21"/>
      <c r="F46" s="21"/>
      <c r="G46" s="21"/>
    </row>
    <row r="47" spans="2:7" x14ac:dyDescent="0.25">
      <c r="B47">
        <v>45</v>
      </c>
      <c r="C47" s="17" t="s">
        <v>110</v>
      </c>
      <c r="D47" s="17" t="s">
        <v>6</v>
      </c>
      <c r="E47" s="21"/>
      <c r="F47" s="21"/>
      <c r="G47" s="21"/>
    </row>
    <row r="48" spans="2:7" x14ac:dyDescent="0.25">
      <c r="B48">
        <v>46</v>
      </c>
      <c r="C48" s="17" t="s">
        <v>111</v>
      </c>
      <c r="D48" s="17" t="s">
        <v>6</v>
      </c>
      <c r="E48" s="21"/>
      <c r="F48" s="21"/>
      <c r="G48" s="21"/>
    </row>
    <row r="49" spans="2:7" x14ac:dyDescent="0.25">
      <c r="B49">
        <v>47</v>
      </c>
      <c r="C49" s="17" t="s">
        <v>112</v>
      </c>
      <c r="D49" s="17" t="s">
        <v>6</v>
      </c>
      <c r="E49" s="21"/>
      <c r="F49" s="21"/>
      <c r="G49" s="21"/>
    </row>
    <row r="50" spans="2:7" x14ac:dyDescent="0.25">
      <c r="B50">
        <v>48</v>
      </c>
      <c r="C50" s="17" t="s">
        <v>113</v>
      </c>
      <c r="D50" s="17" t="s">
        <v>6</v>
      </c>
      <c r="E50" s="21"/>
      <c r="F50" s="21"/>
      <c r="G50" s="21"/>
    </row>
    <row r="51" spans="2:7" x14ac:dyDescent="0.25">
      <c r="B51">
        <v>49</v>
      </c>
      <c r="C51" s="17" t="s">
        <v>114</v>
      </c>
      <c r="D51" s="17" t="s">
        <v>6</v>
      </c>
      <c r="E51" s="21"/>
      <c r="F51" s="21"/>
      <c r="G51" s="21"/>
    </row>
    <row r="52" spans="2:7" x14ac:dyDescent="0.25">
      <c r="B52">
        <v>50</v>
      </c>
      <c r="C52" s="17" t="s">
        <v>115</v>
      </c>
      <c r="D52" s="17" t="s">
        <v>116</v>
      </c>
      <c r="E52" s="21"/>
      <c r="F52" s="21"/>
      <c r="G52" s="21"/>
    </row>
    <row r="53" spans="2:7" x14ac:dyDescent="0.25">
      <c r="B53">
        <v>51</v>
      </c>
      <c r="C53" s="17" t="s">
        <v>117</v>
      </c>
      <c r="D53" s="17" t="s">
        <v>116</v>
      </c>
      <c r="E53" s="21"/>
      <c r="F53" s="21"/>
      <c r="G53" s="21"/>
    </row>
    <row r="54" spans="2:7" x14ac:dyDescent="0.25">
      <c r="B54">
        <v>52</v>
      </c>
      <c r="C54" s="17" t="s">
        <v>118</v>
      </c>
      <c r="D54" s="17" t="s">
        <v>116</v>
      </c>
      <c r="E54" s="21"/>
      <c r="F54" s="21"/>
      <c r="G54" s="21"/>
    </row>
    <row r="55" spans="2:7" x14ac:dyDescent="0.25">
      <c r="B55">
        <v>53</v>
      </c>
      <c r="C55" s="17" t="s">
        <v>119</v>
      </c>
      <c r="D55" s="17" t="s">
        <v>116</v>
      </c>
      <c r="E55" s="21"/>
      <c r="F55" s="21"/>
      <c r="G55" s="21"/>
    </row>
    <row r="56" spans="2:7" x14ac:dyDescent="0.25">
      <c r="B56">
        <v>54</v>
      </c>
      <c r="C56" s="17" t="s">
        <v>120</v>
      </c>
      <c r="D56" s="17" t="s">
        <v>116</v>
      </c>
      <c r="E56" s="21"/>
      <c r="F56" s="21"/>
      <c r="G56" s="21"/>
    </row>
    <row r="57" spans="2:7" x14ac:dyDescent="0.25">
      <c r="B57">
        <v>55</v>
      </c>
      <c r="C57" s="17" t="s">
        <v>121</v>
      </c>
      <c r="D57" s="17" t="s">
        <v>116</v>
      </c>
      <c r="E57" s="21"/>
      <c r="F57" s="21"/>
      <c r="G57" s="21"/>
    </row>
    <row r="58" spans="2:7" x14ac:dyDescent="0.25">
      <c r="B58">
        <v>56</v>
      </c>
      <c r="C58" s="17" t="s">
        <v>122</v>
      </c>
      <c r="D58" s="17" t="s">
        <v>116</v>
      </c>
      <c r="E58" s="21"/>
      <c r="F58" s="21"/>
      <c r="G58" s="21"/>
    </row>
    <row r="59" spans="2:7" x14ac:dyDescent="0.25">
      <c r="B59">
        <v>57</v>
      </c>
      <c r="C59" s="17" t="s">
        <v>123</v>
      </c>
      <c r="D59" s="17" t="s">
        <v>116</v>
      </c>
      <c r="E59" s="21"/>
      <c r="F59" s="21"/>
      <c r="G59" s="21"/>
    </row>
    <row r="60" spans="2:7" x14ac:dyDescent="0.25">
      <c r="B60">
        <v>58</v>
      </c>
      <c r="C60" s="17" t="s">
        <v>124</v>
      </c>
      <c r="D60" s="17" t="s">
        <v>116</v>
      </c>
      <c r="E60" s="21"/>
      <c r="F60" s="21"/>
      <c r="G60" s="21"/>
    </row>
    <row r="61" spans="2:7" x14ac:dyDescent="0.25">
      <c r="B61">
        <v>59</v>
      </c>
      <c r="C61" s="17" t="s">
        <v>125</v>
      </c>
      <c r="D61" s="17" t="s">
        <v>116</v>
      </c>
      <c r="E61" s="21"/>
      <c r="F61" s="21"/>
      <c r="G61" s="21"/>
    </row>
    <row r="62" spans="2:7" x14ac:dyDescent="0.25">
      <c r="B62">
        <v>60</v>
      </c>
      <c r="C62" s="17" t="s">
        <v>126</v>
      </c>
      <c r="D62" s="17" t="s">
        <v>116</v>
      </c>
      <c r="E62" s="21"/>
      <c r="F62" s="21"/>
      <c r="G62" s="21"/>
    </row>
    <row r="63" spans="2:7" x14ac:dyDescent="0.25">
      <c r="B63">
        <v>61</v>
      </c>
      <c r="C63" s="17" t="s">
        <v>127</v>
      </c>
      <c r="D63" s="17" t="s">
        <v>116</v>
      </c>
      <c r="E63" s="21"/>
      <c r="F63" s="21"/>
      <c r="G63" s="21"/>
    </row>
    <row r="64" spans="2:7" x14ac:dyDescent="0.25">
      <c r="B64">
        <v>62</v>
      </c>
      <c r="C64" s="17" t="s">
        <v>128</v>
      </c>
      <c r="D64" s="17" t="s">
        <v>116</v>
      </c>
      <c r="E64" s="21"/>
      <c r="F64" s="21"/>
      <c r="G64" s="21"/>
    </row>
    <row r="65" spans="2:7" x14ac:dyDescent="0.25">
      <c r="B65">
        <v>63</v>
      </c>
      <c r="C65" s="17" t="s">
        <v>129</v>
      </c>
      <c r="D65" s="17" t="s">
        <v>116</v>
      </c>
      <c r="E65" s="21"/>
      <c r="F65" s="21"/>
      <c r="G65" s="21"/>
    </row>
    <row r="66" spans="2:7" x14ac:dyDescent="0.25">
      <c r="B66">
        <v>64</v>
      </c>
      <c r="C66" s="17" t="s">
        <v>130</v>
      </c>
      <c r="D66" s="17" t="s">
        <v>116</v>
      </c>
      <c r="E66" s="21"/>
      <c r="F66" s="21"/>
      <c r="G66" s="21"/>
    </row>
    <row r="67" spans="2:7" x14ac:dyDescent="0.25">
      <c r="B67">
        <v>65</v>
      </c>
      <c r="C67" s="17" t="s">
        <v>131</v>
      </c>
      <c r="D67" s="17" t="s">
        <v>116</v>
      </c>
      <c r="E67" s="21"/>
      <c r="F67" s="21"/>
      <c r="G67" s="21"/>
    </row>
    <row r="68" spans="2:7" x14ac:dyDescent="0.25">
      <c r="B68">
        <v>66</v>
      </c>
      <c r="C68" s="17" t="s">
        <v>132</v>
      </c>
      <c r="D68" s="17" t="s">
        <v>116</v>
      </c>
      <c r="E68" s="21"/>
      <c r="F68" s="21"/>
      <c r="G68" s="21"/>
    </row>
    <row r="69" spans="2:7" x14ac:dyDescent="0.25">
      <c r="B69">
        <v>67</v>
      </c>
      <c r="C69" s="17" t="s">
        <v>133</v>
      </c>
      <c r="D69" s="17" t="s">
        <v>116</v>
      </c>
      <c r="E69" s="21"/>
      <c r="F69" s="21"/>
      <c r="G69" s="21"/>
    </row>
    <row r="70" spans="2:7" x14ac:dyDescent="0.25">
      <c r="B70">
        <v>68</v>
      </c>
      <c r="C70" s="17" t="s">
        <v>134</v>
      </c>
      <c r="D70" s="17" t="s">
        <v>116</v>
      </c>
      <c r="E70" s="21"/>
      <c r="F70" s="21"/>
      <c r="G70" s="21"/>
    </row>
    <row r="71" spans="2:7" x14ac:dyDescent="0.25">
      <c r="B71">
        <v>69</v>
      </c>
      <c r="C71" s="17" t="s">
        <v>135</v>
      </c>
      <c r="D71" s="17" t="s">
        <v>116</v>
      </c>
      <c r="E71" s="21"/>
      <c r="F71" s="21"/>
      <c r="G71" s="21"/>
    </row>
    <row r="72" spans="2:7" x14ac:dyDescent="0.25">
      <c r="B72">
        <v>70</v>
      </c>
      <c r="C72" s="17" t="s">
        <v>136</v>
      </c>
      <c r="D72" s="17" t="s">
        <v>116</v>
      </c>
      <c r="E72" s="21"/>
      <c r="F72" s="21"/>
      <c r="G72" s="21"/>
    </row>
    <row r="73" spans="2:7" x14ac:dyDescent="0.25">
      <c r="B73">
        <v>71</v>
      </c>
      <c r="C73" s="17" t="s">
        <v>137</v>
      </c>
      <c r="D73" s="17" t="s">
        <v>116</v>
      </c>
      <c r="E73" s="21"/>
      <c r="F73" s="21"/>
      <c r="G73" s="21"/>
    </row>
    <row r="74" spans="2:7" x14ac:dyDescent="0.25">
      <c r="B74">
        <v>72</v>
      </c>
      <c r="C74" s="17" t="s">
        <v>138</v>
      </c>
      <c r="D74" s="17" t="s">
        <v>116</v>
      </c>
      <c r="E74" s="21"/>
      <c r="F74" s="21"/>
      <c r="G74" s="21"/>
    </row>
    <row r="75" spans="2:7" x14ac:dyDescent="0.25">
      <c r="B75">
        <v>73</v>
      </c>
      <c r="C75" s="17" t="s">
        <v>139</v>
      </c>
      <c r="D75" s="17" t="s">
        <v>116</v>
      </c>
      <c r="E75" s="21"/>
      <c r="F75" s="21"/>
      <c r="G75" s="21"/>
    </row>
    <row r="76" spans="2:7" x14ac:dyDescent="0.25">
      <c r="B76">
        <v>74</v>
      </c>
      <c r="C76" s="17" t="s">
        <v>140</v>
      </c>
      <c r="D76" s="17" t="s">
        <v>116</v>
      </c>
      <c r="E76" s="21"/>
      <c r="F76" s="21"/>
      <c r="G76" s="21"/>
    </row>
    <row r="77" spans="2:7" x14ac:dyDescent="0.25">
      <c r="B77">
        <v>75</v>
      </c>
      <c r="C77" s="17" t="s">
        <v>141</v>
      </c>
      <c r="D77" s="17" t="s">
        <v>116</v>
      </c>
      <c r="E77" s="21"/>
      <c r="F77" s="21"/>
      <c r="G77" s="21"/>
    </row>
    <row r="78" spans="2:7" x14ac:dyDescent="0.25">
      <c r="B78">
        <v>76</v>
      </c>
      <c r="C78" s="17" t="s">
        <v>142</v>
      </c>
      <c r="D78" s="17" t="s">
        <v>116</v>
      </c>
      <c r="E78" s="21"/>
      <c r="F78" s="21"/>
      <c r="G78" s="21"/>
    </row>
    <row r="79" spans="2:7" x14ac:dyDescent="0.25">
      <c r="B79">
        <v>77</v>
      </c>
      <c r="C79" s="17" t="s">
        <v>143</v>
      </c>
      <c r="D79" s="17" t="s">
        <v>116</v>
      </c>
      <c r="E79" s="21"/>
      <c r="F79" s="21"/>
      <c r="G79" s="21"/>
    </row>
    <row r="80" spans="2:7" x14ac:dyDescent="0.25">
      <c r="B80">
        <v>78</v>
      </c>
      <c r="C80" s="17" t="s">
        <v>144</v>
      </c>
      <c r="D80" s="17" t="s">
        <v>116</v>
      </c>
      <c r="E80" s="21"/>
      <c r="F80" s="21"/>
      <c r="G80" s="21"/>
    </row>
    <row r="81" spans="2:7" x14ac:dyDescent="0.25">
      <c r="B81">
        <v>79</v>
      </c>
      <c r="C81" s="17" t="s">
        <v>145</v>
      </c>
      <c r="D81" s="17" t="s">
        <v>116</v>
      </c>
      <c r="E81" s="21"/>
      <c r="F81" s="21"/>
      <c r="G81" s="21"/>
    </row>
    <row r="82" spans="2:7" x14ac:dyDescent="0.25">
      <c r="B82">
        <v>80</v>
      </c>
      <c r="C82" s="17" t="s">
        <v>146</v>
      </c>
      <c r="D82" s="17" t="s">
        <v>116</v>
      </c>
      <c r="E82" s="21"/>
      <c r="F82" s="21"/>
      <c r="G82" s="21"/>
    </row>
    <row r="83" spans="2:7" x14ac:dyDescent="0.25">
      <c r="B83">
        <v>81</v>
      </c>
      <c r="C83" s="17" t="s">
        <v>147</v>
      </c>
      <c r="D83" s="17" t="s">
        <v>116</v>
      </c>
      <c r="E83" s="21"/>
      <c r="F83" s="21"/>
      <c r="G83" s="21"/>
    </row>
    <row r="84" spans="2:7" x14ac:dyDescent="0.25">
      <c r="B84">
        <v>82</v>
      </c>
      <c r="C84" s="17" t="s">
        <v>148</v>
      </c>
      <c r="D84" s="17" t="s">
        <v>116</v>
      </c>
      <c r="E84" s="21"/>
      <c r="F84" s="21"/>
      <c r="G84" s="21"/>
    </row>
    <row r="85" spans="2:7" x14ac:dyDescent="0.25">
      <c r="B85">
        <v>83</v>
      </c>
      <c r="C85" s="17" t="s">
        <v>149</v>
      </c>
      <c r="D85" s="17" t="s">
        <v>116</v>
      </c>
      <c r="E85" s="21"/>
      <c r="F85" s="21"/>
      <c r="G85" s="21"/>
    </row>
    <row r="86" spans="2:7" x14ac:dyDescent="0.25">
      <c r="B86">
        <v>84</v>
      </c>
      <c r="C86" s="17" t="s">
        <v>150</v>
      </c>
      <c r="D86" s="17" t="s">
        <v>116</v>
      </c>
      <c r="E86" s="21"/>
      <c r="F86" s="21"/>
      <c r="G86" s="21"/>
    </row>
    <row r="87" spans="2:7" x14ac:dyDescent="0.25">
      <c r="B87">
        <v>85</v>
      </c>
      <c r="C87" s="17" t="s">
        <v>151</v>
      </c>
      <c r="D87" s="17" t="s">
        <v>116</v>
      </c>
      <c r="E87" s="21"/>
      <c r="F87" s="21"/>
      <c r="G87" s="21"/>
    </row>
    <row r="88" spans="2:7" x14ac:dyDescent="0.25">
      <c r="B88">
        <v>86</v>
      </c>
      <c r="C88" s="17" t="s">
        <v>152</v>
      </c>
      <c r="D88" s="17" t="s">
        <v>116</v>
      </c>
      <c r="E88" s="21"/>
      <c r="F88" s="21"/>
      <c r="G88" s="21"/>
    </row>
    <row r="89" spans="2:7" x14ac:dyDescent="0.25">
      <c r="B89">
        <v>87</v>
      </c>
      <c r="C89" s="17" t="s">
        <v>153</v>
      </c>
      <c r="D89" s="17" t="s">
        <v>116</v>
      </c>
      <c r="E89" s="21"/>
      <c r="F89" s="21"/>
      <c r="G89" s="21"/>
    </row>
    <row r="90" spans="2:7" x14ac:dyDescent="0.25">
      <c r="B90">
        <v>88</v>
      </c>
      <c r="C90" s="17" t="s">
        <v>154</v>
      </c>
      <c r="D90" s="17" t="s">
        <v>116</v>
      </c>
      <c r="E90" s="21"/>
      <c r="F90" s="21"/>
      <c r="G90" s="21"/>
    </row>
    <row r="91" spans="2:7" x14ac:dyDescent="0.25">
      <c r="B91">
        <v>89</v>
      </c>
      <c r="C91" s="17" t="s">
        <v>155</v>
      </c>
      <c r="D91" s="17" t="s">
        <v>116</v>
      </c>
      <c r="E91" s="21"/>
      <c r="F91" s="21"/>
      <c r="G91" s="21"/>
    </row>
    <row r="92" spans="2:7" x14ac:dyDescent="0.25">
      <c r="B92">
        <v>90</v>
      </c>
      <c r="C92" s="17" t="s">
        <v>156</v>
      </c>
      <c r="D92" s="17" t="s">
        <v>116</v>
      </c>
      <c r="E92" s="21"/>
      <c r="F92" s="21"/>
      <c r="G92" s="21"/>
    </row>
    <row r="93" spans="2:7" x14ac:dyDescent="0.25">
      <c r="B93">
        <v>91</v>
      </c>
      <c r="C93" s="17" t="s">
        <v>157</v>
      </c>
      <c r="D93" s="17" t="s">
        <v>116</v>
      </c>
      <c r="E93" s="21"/>
      <c r="F93" s="21"/>
      <c r="G93" s="21"/>
    </row>
    <row r="94" spans="2:7" x14ac:dyDescent="0.25">
      <c r="B94">
        <v>92</v>
      </c>
      <c r="C94" s="17" t="s">
        <v>158</v>
      </c>
      <c r="D94" s="17" t="s">
        <v>116</v>
      </c>
      <c r="E94" s="21"/>
      <c r="F94" s="21"/>
      <c r="G94" s="21"/>
    </row>
    <row r="95" spans="2:7" x14ac:dyDescent="0.25">
      <c r="B95">
        <v>93</v>
      </c>
      <c r="C95" s="17" t="s">
        <v>159</v>
      </c>
      <c r="D95" s="17" t="s">
        <v>116</v>
      </c>
      <c r="E95" s="21"/>
      <c r="F95" s="21"/>
      <c r="G95" s="21"/>
    </row>
    <row r="96" spans="2:7" x14ac:dyDescent="0.25">
      <c r="B96">
        <v>94</v>
      </c>
      <c r="C96" s="17" t="s">
        <v>160</v>
      </c>
      <c r="D96" s="17" t="s">
        <v>116</v>
      </c>
      <c r="E96" s="21"/>
      <c r="F96" s="21"/>
      <c r="G96" s="21"/>
    </row>
    <row r="97" spans="2:7" x14ac:dyDescent="0.25">
      <c r="B97">
        <v>95</v>
      </c>
      <c r="C97" s="17" t="s">
        <v>47</v>
      </c>
      <c r="D97" s="17" t="s">
        <v>14</v>
      </c>
      <c r="E97" s="21">
        <v>20</v>
      </c>
      <c r="F97" s="21">
        <v>20</v>
      </c>
      <c r="G97" s="21">
        <v>2</v>
      </c>
    </row>
    <row r="98" spans="2:7" x14ac:dyDescent="0.25">
      <c r="B98">
        <v>96</v>
      </c>
      <c r="C98" s="17" t="s">
        <v>163</v>
      </c>
      <c r="D98" s="17" t="s">
        <v>14</v>
      </c>
      <c r="E98" s="21">
        <v>100</v>
      </c>
      <c r="F98" s="21">
        <v>100</v>
      </c>
      <c r="G98" s="21"/>
    </row>
    <row r="99" spans="2:7" x14ac:dyDescent="0.25">
      <c r="B99">
        <v>97</v>
      </c>
      <c r="C99" s="17" t="s">
        <v>45</v>
      </c>
      <c r="D99" s="17" t="s">
        <v>14</v>
      </c>
      <c r="E99" s="21"/>
      <c r="F99" s="21"/>
      <c r="G99" s="21"/>
    </row>
    <row r="100" spans="2:7" x14ac:dyDescent="0.25">
      <c r="B100">
        <v>98</v>
      </c>
      <c r="C100" s="17" t="s">
        <v>166</v>
      </c>
      <c r="D100" s="17" t="s">
        <v>15</v>
      </c>
      <c r="E100" s="21">
        <v>55</v>
      </c>
      <c r="F100" s="21">
        <v>55</v>
      </c>
      <c r="G100" s="21">
        <v>2</v>
      </c>
    </row>
    <row r="101" spans="2:7" x14ac:dyDescent="0.25">
      <c r="B101">
        <v>99</v>
      </c>
      <c r="C101" s="17" t="s">
        <v>167</v>
      </c>
      <c r="D101" s="17" t="s">
        <v>15</v>
      </c>
      <c r="E101" s="21">
        <v>5</v>
      </c>
      <c r="F101" s="21">
        <v>5</v>
      </c>
      <c r="G101" s="21">
        <v>5</v>
      </c>
    </row>
    <row r="102" spans="2:7" x14ac:dyDescent="0.25">
      <c r="B102">
        <v>100</v>
      </c>
      <c r="C102" s="17" t="s">
        <v>168</v>
      </c>
      <c r="D102" s="17" t="s">
        <v>15</v>
      </c>
      <c r="E102" s="21"/>
      <c r="F102" s="21"/>
      <c r="G102" s="21"/>
    </row>
    <row r="103" spans="2:7" x14ac:dyDescent="0.25">
      <c r="B103">
        <v>101</v>
      </c>
      <c r="C103" s="17" t="s">
        <v>169</v>
      </c>
      <c r="D103" s="17" t="s">
        <v>15</v>
      </c>
      <c r="E103" s="21"/>
      <c r="F103" s="21"/>
      <c r="G103" s="21"/>
    </row>
    <row r="104" spans="2:7" x14ac:dyDescent="0.25">
      <c r="B104">
        <v>102</v>
      </c>
      <c r="C104" s="17" t="s">
        <v>170</v>
      </c>
      <c r="D104" s="17" t="s">
        <v>15</v>
      </c>
      <c r="E104" s="21"/>
      <c r="F104" s="21"/>
      <c r="G104" s="21"/>
    </row>
    <row r="105" spans="2:7" x14ac:dyDescent="0.25">
      <c r="B105">
        <v>103</v>
      </c>
      <c r="C105" s="17" t="s">
        <v>171</v>
      </c>
      <c r="D105" s="17" t="s">
        <v>15</v>
      </c>
      <c r="E105" s="21"/>
      <c r="F105" s="21"/>
      <c r="G105" s="21"/>
    </row>
    <row r="106" spans="2:7" x14ac:dyDescent="0.25">
      <c r="B106">
        <v>104</v>
      </c>
      <c r="C106" s="17" t="s">
        <v>172</v>
      </c>
      <c r="D106" s="17" t="s">
        <v>172</v>
      </c>
      <c r="E106" s="21"/>
      <c r="F106" s="21"/>
      <c r="G106" s="2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1AB2B-1ABF-49CD-B9A0-606D3E3E21B7}">
  <sheetPr codeName="Sheet10"/>
  <dimension ref="B1:G116"/>
  <sheetViews>
    <sheetView zoomScale="81" zoomScaleNormal="40" workbookViewId="0">
      <selection activeCell="D4" sqref="D4"/>
    </sheetView>
  </sheetViews>
  <sheetFormatPr defaultRowHeight="15" x14ac:dyDescent="0.25"/>
  <cols>
    <col min="2" max="2" width="14" customWidth="1"/>
    <col min="3" max="3" width="30.85546875" style="12" customWidth="1"/>
    <col min="4" max="4" width="12.5703125" customWidth="1"/>
    <col min="5" max="5" width="16.140625" style="2" customWidth="1"/>
    <col min="6" max="6" width="21.85546875" style="2" customWidth="1"/>
    <col min="7" max="7" width="26.28515625" style="2" customWidth="1"/>
    <col min="12" max="12" width="20.85546875" customWidth="1"/>
  </cols>
  <sheetData>
    <row r="1" spans="2:7" x14ac:dyDescent="0.25">
      <c r="C1" s="22" t="s">
        <v>58</v>
      </c>
      <c r="D1" s="22"/>
      <c r="E1" s="22"/>
    </row>
    <row r="2" spans="2:7" s="2" customFormat="1" x14ac:dyDescent="0.25">
      <c r="B2" s="2" t="s">
        <v>0</v>
      </c>
      <c r="C2" s="20" t="s">
        <v>56</v>
      </c>
      <c r="D2" s="2" t="s">
        <v>2</v>
      </c>
      <c r="E2" s="2" t="s">
        <v>174</v>
      </c>
      <c r="F2" s="2" t="s">
        <v>175</v>
      </c>
      <c r="G2" s="2" t="s">
        <v>59</v>
      </c>
    </row>
    <row r="3" spans="2:7" x14ac:dyDescent="0.25">
      <c r="C3" s="12" t="s">
        <v>61</v>
      </c>
      <c r="D3" t="str">
        <f>IF(INVENTORY_STOCKS[[#This Row],[INVENTORY NAME]] = "", "",VLOOKUP(INVENTORY_STOCKS[[#This Row],[INVENTORY NAME]],_TBL_INVENTORY[[NAME]:[TYPE]], 2,FALSE))</f>
        <v>Laptop</v>
      </c>
      <c r="E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" spans="2:7" x14ac:dyDescent="0.25">
      <c r="C4" s="12" t="s">
        <v>49</v>
      </c>
      <c r="D4" t="str">
        <f>IF(INVENTORY_STOCKS[[#This Row],[INVENTORY NAME]] = "", "",VLOOKUP(INVENTORY_STOCKS[[#This Row],[INVENTORY NAME]],_TBL_INVENTORY[[NAME]:[TYPE]], 2,FALSE))</f>
        <v>Laptop</v>
      </c>
      <c r="E4" s="2">
        <f>IF(INVENTORY_STOCKS[[#This Row],[INVENTORY NAME]]="", "", IFERROR(SUMIFS(_TBL_LAPTOP_INVENTORY_ACCOUNT_IN[IN], _TBL_LAPTOP_INVENTORY_ACCOUNT_IN[INVENTORY ITEM],INVENTORY_STOCKS[[#This Row],[INVENTORY NAME]]), ""))</f>
        <v>20</v>
      </c>
      <c r="F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20</v>
      </c>
      <c r="G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1</v>
      </c>
    </row>
    <row r="5" spans="2:7" x14ac:dyDescent="0.25">
      <c r="C5" s="12" t="s">
        <v>62</v>
      </c>
      <c r="D5" t="str">
        <f>IF(INVENTORY_STOCKS[[#This Row],[INVENTORY NAME]] = "", "",VLOOKUP(INVENTORY_STOCKS[[#This Row],[INVENTORY NAME]],_TBL_INVENTORY[[NAME]:[TYPE]], 2,FALSE))</f>
        <v>Laptop</v>
      </c>
      <c r="E5" s="2">
        <f>IF(INVENTORY_STOCKS[[#This Row],[INVENTORY NAME]]="", "", IFERROR(SUMIFS(_TBL_LAPTOP_INVENTORY_ACCOUNT_IN[IN], _TBL_LAPTOP_INVENTORY_ACCOUNT_IN[INVENTORY ITEM],INVENTORY_STOCKS[[#This Row],[INVENTORY NAME]]), ""))</f>
        <v>20</v>
      </c>
      <c r="F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10</v>
      </c>
      <c r="G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1</v>
      </c>
    </row>
    <row r="6" spans="2:7" x14ac:dyDescent="0.25">
      <c r="C6" s="12" t="s">
        <v>40</v>
      </c>
      <c r="D6" t="str">
        <f>IF(INVENTORY_STOCKS[[#This Row],[INVENTORY NAME]] = "", "",VLOOKUP(INVENTORY_STOCKS[[#This Row],[INVENTORY NAME]],_TBL_INVENTORY[[NAME]:[TYPE]], 2,FALSE))</f>
        <v>Laptop</v>
      </c>
      <c r="E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" spans="2:7" x14ac:dyDescent="0.25">
      <c r="C7" s="12" t="s">
        <v>63</v>
      </c>
      <c r="D7" t="str">
        <f>IF(INVENTORY_STOCKS[[#This Row],[INVENTORY NAME]] = "", "",VLOOKUP(INVENTORY_STOCKS[[#This Row],[INVENTORY NAME]],_TBL_INVENTORY[[NAME]:[TYPE]], 2,FALSE))</f>
        <v>Laptop</v>
      </c>
      <c r="E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" spans="2:7" x14ac:dyDescent="0.25">
      <c r="C8" s="12" t="s">
        <v>64</v>
      </c>
      <c r="D8" t="str">
        <f>IF(INVENTORY_STOCKS[[#This Row],[INVENTORY NAME]] = "", "",VLOOKUP(INVENTORY_STOCKS[[#This Row],[INVENTORY NAME]],_TBL_INVENTORY[[NAME]:[TYPE]], 2,FALSE))</f>
        <v>Laptop</v>
      </c>
      <c r="E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" spans="2:7" x14ac:dyDescent="0.25">
      <c r="C9" s="12" t="s">
        <v>66</v>
      </c>
      <c r="D9" t="str">
        <f>IF(INVENTORY_STOCKS[[#This Row],[INVENTORY NAME]] = "", "",VLOOKUP(INVENTORY_STOCKS[[#This Row],[INVENTORY NAME]],_TBL_INVENTORY[[NAME]:[TYPE]], 2,FALSE))</f>
        <v>Laptop</v>
      </c>
      <c r="E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" spans="2:7" x14ac:dyDescent="0.25">
      <c r="C10" s="12" t="s">
        <v>67</v>
      </c>
      <c r="D10" t="str">
        <f>IF(INVENTORY_STOCKS[[#This Row],[INVENTORY NAME]] = "", "",VLOOKUP(INVENTORY_STOCKS[[#This Row],[INVENTORY NAME]],_TBL_INVENTORY[[NAME]:[TYPE]], 2,FALSE))</f>
        <v>Laptop</v>
      </c>
      <c r="E1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1" spans="2:7" x14ac:dyDescent="0.25">
      <c r="C11" s="12" t="s">
        <v>41</v>
      </c>
      <c r="D11" t="str">
        <f>IF(INVENTORY_STOCKS[[#This Row],[INVENTORY NAME]] = "", "",VLOOKUP(INVENTORY_STOCKS[[#This Row],[INVENTORY NAME]],_TBL_INVENTORY[[NAME]:[TYPE]], 2,FALSE))</f>
        <v>Laptop</v>
      </c>
      <c r="E1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2" spans="2:7" x14ac:dyDescent="0.25">
      <c r="C12" s="12" t="s">
        <v>68</v>
      </c>
      <c r="D12" t="str">
        <f>IF(INVENTORY_STOCKS[[#This Row],[INVENTORY NAME]] = "", "",VLOOKUP(INVENTORY_STOCKS[[#This Row],[INVENTORY NAME]],_TBL_INVENTORY[[NAME]:[TYPE]], 2,FALSE))</f>
        <v>Laptop</v>
      </c>
      <c r="E1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3" spans="2:7" x14ac:dyDescent="0.25">
      <c r="C13" s="12" t="s">
        <v>69</v>
      </c>
      <c r="D13" t="str">
        <f>IF(INVENTORY_STOCKS[[#This Row],[INVENTORY NAME]] = "", "",VLOOKUP(INVENTORY_STOCKS[[#This Row],[INVENTORY NAME]],_TBL_INVENTORY[[NAME]:[TYPE]], 2,FALSE))</f>
        <v>Laptop</v>
      </c>
      <c r="E1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4" spans="2:7" x14ac:dyDescent="0.25">
      <c r="C14" s="12" t="s">
        <v>70</v>
      </c>
      <c r="D14" t="str">
        <f>IF(INVENTORY_STOCKS[[#This Row],[INVENTORY NAME]] = "", "",VLOOKUP(INVENTORY_STOCKS[[#This Row],[INVENTORY NAME]],_TBL_INVENTORY[[NAME]:[TYPE]], 2,FALSE))</f>
        <v>Laptop</v>
      </c>
      <c r="E1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5" spans="2:7" x14ac:dyDescent="0.25">
      <c r="C15" s="12" t="s">
        <v>71</v>
      </c>
      <c r="D15" t="str">
        <f>IF(INVENTORY_STOCKS[[#This Row],[INVENTORY NAME]] = "", "",VLOOKUP(INVENTORY_STOCKS[[#This Row],[INVENTORY NAME]],_TBL_INVENTORY[[NAME]:[TYPE]], 2,FALSE))</f>
        <v>Laptop</v>
      </c>
      <c r="E1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6" spans="2:7" x14ac:dyDescent="0.25">
      <c r="C16" s="12" t="s">
        <v>72</v>
      </c>
      <c r="D16" t="str">
        <f>IF(INVENTORY_STOCKS[[#This Row],[INVENTORY NAME]] = "", "",VLOOKUP(INVENTORY_STOCKS[[#This Row],[INVENTORY NAME]],_TBL_INVENTORY[[NAME]:[TYPE]], 2,FALSE))</f>
        <v>Laptop</v>
      </c>
      <c r="E1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7" spans="3:7" x14ac:dyDescent="0.25">
      <c r="C17" s="12" t="s">
        <v>73</v>
      </c>
      <c r="D17" t="str">
        <f>IF(INVENTORY_STOCKS[[#This Row],[INVENTORY NAME]] = "", "",VLOOKUP(INVENTORY_STOCKS[[#This Row],[INVENTORY NAME]],_TBL_INVENTORY[[NAME]:[TYPE]], 2,FALSE))</f>
        <v>Laptop</v>
      </c>
      <c r="E1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8" spans="3:7" x14ac:dyDescent="0.25">
      <c r="C18" s="12" t="s">
        <v>74</v>
      </c>
      <c r="D18" t="str">
        <f>IF(INVENTORY_STOCKS[[#This Row],[INVENTORY NAME]] = "", "",VLOOKUP(INVENTORY_STOCKS[[#This Row],[INVENTORY NAME]],_TBL_INVENTORY[[NAME]:[TYPE]], 2,FALSE))</f>
        <v>Laptop</v>
      </c>
      <c r="E1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9" spans="3:7" x14ac:dyDescent="0.25">
      <c r="C19" s="12" t="s">
        <v>75</v>
      </c>
      <c r="D19" t="str">
        <f>IF(INVENTORY_STOCKS[[#This Row],[INVENTORY NAME]] = "", "",VLOOKUP(INVENTORY_STOCKS[[#This Row],[INVENTORY NAME]],_TBL_INVENTORY[[NAME]:[TYPE]], 2,FALSE))</f>
        <v>Laptop</v>
      </c>
      <c r="E1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0" spans="3:7" x14ac:dyDescent="0.25">
      <c r="C20" s="12" t="s">
        <v>76</v>
      </c>
      <c r="D20" t="str">
        <f>IF(INVENTORY_STOCKS[[#This Row],[INVENTORY NAME]] = "", "",VLOOKUP(INVENTORY_STOCKS[[#This Row],[INVENTORY NAME]],_TBL_INVENTORY[[NAME]:[TYPE]], 2,FALSE))</f>
        <v>Laptop</v>
      </c>
      <c r="E2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1" spans="3:7" x14ac:dyDescent="0.25">
      <c r="C21" s="12" t="s">
        <v>43</v>
      </c>
      <c r="D21" t="str">
        <f>IF(INVENTORY_STOCKS[[#This Row],[INVENTORY NAME]] = "", "",VLOOKUP(INVENTORY_STOCKS[[#This Row],[INVENTORY NAME]],_TBL_INVENTORY[[NAME]:[TYPE]], 2,FALSE))</f>
        <v>Laptop</v>
      </c>
      <c r="E2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2" spans="3:7" x14ac:dyDescent="0.25">
      <c r="C22" s="12" t="s">
        <v>77</v>
      </c>
      <c r="D22" t="str">
        <f>IF(INVENTORY_STOCKS[[#This Row],[INVENTORY NAME]] = "", "",VLOOKUP(INVENTORY_STOCKS[[#This Row],[INVENTORY NAME]],_TBL_INVENTORY[[NAME]:[TYPE]], 2,FALSE))</f>
        <v>Laptop</v>
      </c>
      <c r="E2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3" spans="3:7" x14ac:dyDescent="0.25">
      <c r="C23" s="12" t="s">
        <v>78</v>
      </c>
      <c r="D23" t="str">
        <f>IF(INVENTORY_STOCKS[[#This Row],[INVENTORY NAME]] = "", "",VLOOKUP(INVENTORY_STOCKS[[#This Row],[INVENTORY NAME]],_TBL_INVENTORY[[NAME]:[TYPE]], 2,FALSE))</f>
        <v>Laptop</v>
      </c>
      <c r="E2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4" spans="3:7" x14ac:dyDescent="0.25">
      <c r="C24" s="12" t="s">
        <v>80</v>
      </c>
      <c r="D24" t="str">
        <f>IF(INVENTORY_STOCKS[[#This Row],[INVENTORY NAME]] = "", "",VLOOKUP(INVENTORY_STOCKS[[#This Row],[INVENTORY NAME]],_TBL_INVENTORY[[NAME]:[TYPE]], 2,FALSE))</f>
        <v>Laptop</v>
      </c>
      <c r="E2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5" spans="3:7" x14ac:dyDescent="0.25">
      <c r="C25" s="12" t="s">
        <v>82</v>
      </c>
      <c r="D25" t="str">
        <f>IF(INVENTORY_STOCKS[[#This Row],[INVENTORY NAME]] = "", "",VLOOKUP(INVENTORY_STOCKS[[#This Row],[INVENTORY NAME]],_TBL_INVENTORY[[NAME]:[TYPE]], 2,FALSE))</f>
        <v>Laptop</v>
      </c>
      <c r="E2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6" spans="3:7" x14ac:dyDescent="0.25">
      <c r="C26" s="12" t="s">
        <v>83</v>
      </c>
      <c r="D26" t="str">
        <f>IF(INVENTORY_STOCKS[[#This Row],[INVENTORY NAME]] = "", "",VLOOKUP(INVENTORY_STOCKS[[#This Row],[INVENTORY NAME]],_TBL_INVENTORY[[NAME]:[TYPE]], 2,FALSE))</f>
        <v>Laptop</v>
      </c>
      <c r="E2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7" spans="3:7" x14ac:dyDescent="0.25">
      <c r="C27" s="12" t="s">
        <v>84</v>
      </c>
      <c r="D27" t="str">
        <f>IF(INVENTORY_STOCKS[[#This Row],[INVENTORY NAME]] = "", "",VLOOKUP(INVENTORY_STOCKS[[#This Row],[INVENTORY NAME]],_TBL_INVENTORY[[NAME]:[TYPE]], 2,FALSE))</f>
        <v>Laptop</v>
      </c>
      <c r="E2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8" spans="3:7" x14ac:dyDescent="0.25">
      <c r="C28" s="12" t="s">
        <v>85</v>
      </c>
      <c r="D28" t="str">
        <f>IF(INVENTORY_STOCKS[[#This Row],[INVENTORY NAME]] = "", "",VLOOKUP(INVENTORY_STOCKS[[#This Row],[INVENTORY NAME]],_TBL_INVENTORY[[NAME]:[TYPE]], 2,FALSE))</f>
        <v>Laptop</v>
      </c>
      <c r="E2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9" spans="3:7" x14ac:dyDescent="0.25">
      <c r="C29" s="12" t="s">
        <v>86</v>
      </c>
      <c r="D29" t="str">
        <f>IF(INVENTORY_STOCKS[[#This Row],[INVENTORY NAME]] = "", "",VLOOKUP(INVENTORY_STOCKS[[#This Row],[INVENTORY NAME]],_TBL_INVENTORY[[NAME]:[TYPE]], 2,FALSE))</f>
        <v>Laptop</v>
      </c>
      <c r="E2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0" spans="3:7" x14ac:dyDescent="0.25">
      <c r="C30" s="12" t="s">
        <v>88</v>
      </c>
      <c r="D30" t="str">
        <f>IF(INVENTORY_STOCKS[[#This Row],[INVENTORY NAME]] = "", "",VLOOKUP(INVENTORY_STOCKS[[#This Row],[INVENTORY NAME]],_TBL_INVENTORY[[NAME]:[TYPE]], 2,FALSE))</f>
        <v>Laptop</v>
      </c>
      <c r="E3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1" spans="3:7" x14ac:dyDescent="0.25">
      <c r="C31" s="12" t="s">
        <v>89</v>
      </c>
      <c r="D31" t="str">
        <f>IF(INVENTORY_STOCKS[[#This Row],[INVENTORY NAME]] = "", "",VLOOKUP(INVENTORY_STOCKS[[#This Row],[INVENTORY NAME]],_TBL_INVENTORY[[NAME]:[TYPE]], 2,FALSE))</f>
        <v>Laptop</v>
      </c>
      <c r="E3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2" spans="3:7" x14ac:dyDescent="0.25">
      <c r="C32" s="12" t="s">
        <v>90</v>
      </c>
      <c r="D32" t="str">
        <f>IF(INVENTORY_STOCKS[[#This Row],[INVENTORY NAME]] = "", "",VLOOKUP(INVENTORY_STOCKS[[#This Row],[INVENTORY NAME]],_TBL_INVENTORY[[NAME]:[TYPE]], 2,FALSE))</f>
        <v>Laptop</v>
      </c>
      <c r="E3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3" spans="3:7" x14ac:dyDescent="0.25">
      <c r="C33" s="12" t="s">
        <v>91</v>
      </c>
      <c r="D33" t="str">
        <f>IF(INVENTORY_STOCKS[[#This Row],[INVENTORY NAME]] = "", "",VLOOKUP(INVENTORY_STOCKS[[#This Row],[INVENTORY NAME]],_TBL_INVENTORY[[NAME]:[TYPE]], 2,FALSE))</f>
        <v>Laptop</v>
      </c>
      <c r="E3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4" spans="3:7" x14ac:dyDescent="0.25">
      <c r="C34" s="12" t="s">
        <v>92</v>
      </c>
      <c r="D34" t="str">
        <f>IF(INVENTORY_STOCKS[[#This Row],[INVENTORY NAME]] = "", "",VLOOKUP(INVENTORY_STOCKS[[#This Row],[INVENTORY NAME]],_TBL_INVENTORY[[NAME]:[TYPE]], 2,FALSE))</f>
        <v>Laptop</v>
      </c>
      <c r="E3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5" spans="3:7" x14ac:dyDescent="0.25">
      <c r="C35" s="12" t="s">
        <v>93</v>
      </c>
      <c r="D35" t="str">
        <f>IF(INVENTORY_STOCKS[[#This Row],[INVENTORY NAME]] = "", "",VLOOKUP(INVENTORY_STOCKS[[#This Row],[INVENTORY NAME]],_TBL_INVENTORY[[NAME]:[TYPE]], 2,FALSE))</f>
        <v>Laptop</v>
      </c>
      <c r="E3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6" spans="3:7" x14ac:dyDescent="0.25">
      <c r="C36" s="12" t="s">
        <v>94</v>
      </c>
      <c r="D36" t="str">
        <f>IF(INVENTORY_STOCKS[[#This Row],[INVENTORY NAME]] = "", "",VLOOKUP(INVENTORY_STOCKS[[#This Row],[INVENTORY NAME]],_TBL_INVENTORY[[NAME]:[TYPE]], 2,FALSE))</f>
        <v>Laptop</v>
      </c>
      <c r="E3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7" spans="3:7" x14ac:dyDescent="0.25">
      <c r="C37" s="12" t="s">
        <v>96</v>
      </c>
      <c r="D37" t="str">
        <f>IF(INVENTORY_STOCKS[[#This Row],[INVENTORY NAME]] = "", "",VLOOKUP(INVENTORY_STOCKS[[#This Row],[INVENTORY NAME]],_TBL_INVENTORY[[NAME]:[TYPE]], 2,FALSE))</f>
        <v>Laptop</v>
      </c>
      <c r="E3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8" spans="3:7" x14ac:dyDescent="0.25">
      <c r="C38" s="12" t="s">
        <v>97</v>
      </c>
      <c r="D38" t="str">
        <f>IF(INVENTORY_STOCKS[[#This Row],[INVENTORY NAME]] = "", "",VLOOKUP(INVENTORY_STOCKS[[#This Row],[INVENTORY NAME]],_TBL_INVENTORY[[NAME]:[TYPE]], 2,FALSE))</f>
        <v>Laptop</v>
      </c>
      <c r="E3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9" spans="3:7" x14ac:dyDescent="0.25">
      <c r="C39" s="12" t="s">
        <v>98</v>
      </c>
      <c r="D39" t="str">
        <f>IF(INVENTORY_STOCKS[[#This Row],[INVENTORY NAME]] = "", "",VLOOKUP(INVENTORY_STOCKS[[#This Row],[INVENTORY NAME]],_TBL_INVENTORY[[NAME]:[TYPE]], 2,FALSE))</f>
        <v>Laptop</v>
      </c>
      <c r="E3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0" spans="3:7" x14ac:dyDescent="0.25">
      <c r="C40" s="12" t="s">
        <v>99</v>
      </c>
      <c r="D40" t="str">
        <f>IF(INVENTORY_STOCKS[[#This Row],[INVENTORY NAME]] = "", "",VLOOKUP(INVENTORY_STOCKS[[#This Row],[INVENTORY NAME]],_TBL_INVENTORY[[NAME]:[TYPE]], 2,FALSE))</f>
        <v>Laptop</v>
      </c>
      <c r="E4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1" spans="3:7" x14ac:dyDescent="0.25">
      <c r="C41" s="12" t="s">
        <v>100</v>
      </c>
      <c r="D41" t="str">
        <f>IF(INVENTORY_STOCKS[[#This Row],[INVENTORY NAME]] = "", "",VLOOKUP(INVENTORY_STOCKS[[#This Row],[INVENTORY NAME]],_TBL_INVENTORY[[NAME]:[TYPE]], 2,FALSE))</f>
        <v>Laptop</v>
      </c>
      <c r="E4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2" spans="3:7" x14ac:dyDescent="0.25">
      <c r="C42" s="12" t="s">
        <v>103</v>
      </c>
      <c r="D42" t="str">
        <f>IF(INVENTORY_STOCKS[[#This Row],[INVENTORY NAME]] = "", "",VLOOKUP(INVENTORY_STOCKS[[#This Row],[INVENTORY NAME]],_TBL_INVENTORY[[NAME]:[TYPE]], 2,FALSE))</f>
        <v>Laptop</v>
      </c>
      <c r="E4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3" spans="3:7" x14ac:dyDescent="0.25">
      <c r="C43" s="12" t="s">
        <v>105</v>
      </c>
      <c r="D43" t="str">
        <f>IF(INVENTORY_STOCKS[[#This Row],[INVENTORY NAME]] = "", "",VLOOKUP(INVENTORY_STOCKS[[#This Row],[INVENTORY NAME]],_TBL_INVENTORY[[NAME]:[TYPE]], 2,FALSE))</f>
        <v>Laptop</v>
      </c>
      <c r="E4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4" spans="3:7" x14ac:dyDescent="0.25">
      <c r="C44" s="12" t="s">
        <v>106</v>
      </c>
      <c r="D44" t="str">
        <f>IF(INVENTORY_STOCKS[[#This Row],[INVENTORY NAME]] = "", "",VLOOKUP(INVENTORY_STOCKS[[#This Row],[INVENTORY NAME]],_TBL_INVENTORY[[NAME]:[TYPE]], 2,FALSE))</f>
        <v>Laptop</v>
      </c>
      <c r="E4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5" spans="3:7" x14ac:dyDescent="0.25">
      <c r="C45" s="12" t="s">
        <v>107</v>
      </c>
      <c r="D45" t="str">
        <f>IF(INVENTORY_STOCKS[[#This Row],[INVENTORY NAME]] = "", "",VLOOKUP(INVENTORY_STOCKS[[#This Row],[INVENTORY NAME]],_TBL_INVENTORY[[NAME]:[TYPE]], 2,FALSE))</f>
        <v>Laptop</v>
      </c>
      <c r="E4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6" spans="3:7" x14ac:dyDescent="0.25">
      <c r="C46" s="12" t="s">
        <v>108</v>
      </c>
      <c r="D46" t="str">
        <f>IF(INVENTORY_STOCKS[[#This Row],[INVENTORY NAME]] = "", "",VLOOKUP(INVENTORY_STOCKS[[#This Row],[INVENTORY NAME]],_TBL_INVENTORY[[NAME]:[TYPE]], 2,FALSE))</f>
        <v>Laptop</v>
      </c>
      <c r="E4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7" spans="3:7" x14ac:dyDescent="0.25">
      <c r="C47" s="12" t="s">
        <v>110</v>
      </c>
      <c r="D47" t="str">
        <f>IF(INVENTORY_STOCKS[[#This Row],[INVENTORY NAME]] = "", "",VLOOKUP(INVENTORY_STOCKS[[#This Row],[INVENTORY NAME]],_TBL_INVENTORY[[NAME]:[TYPE]], 2,FALSE))</f>
        <v>Laptop</v>
      </c>
      <c r="E4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8" spans="3:7" x14ac:dyDescent="0.25">
      <c r="C48" s="12" t="s">
        <v>111</v>
      </c>
      <c r="D48" t="str">
        <f>IF(INVENTORY_STOCKS[[#This Row],[INVENTORY NAME]] = "", "",VLOOKUP(INVENTORY_STOCKS[[#This Row],[INVENTORY NAME]],_TBL_INVENTORY[[NAME]:[TYPE]], 2,FALSE))</f>
        <v>Laptop</v>
      </c>
      <c r="E4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9" spans="3:7" x14ac:dyDescent="0.25">
      <c r="C49" s="12" t="s">
        <v>112</v>
      </c>
      <c r="D49" t="str">
        <f>IF(INVENTORY_STOCKS[[#This Row],[INVENTORY NAME]] = "", "",VLOOKUP(INVENTORY_STOCKS[[#This Row],[INVENTORY NAME]],_TBL_INVENTORY[[NAME]:[TYPE]], 2,FALSE))</f>
        <v>Laptop</v>
      </c>
      <c r="E4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0" spans="3:7" x14ac:dyDescent="0.25">
      <c r="C50" s="12" t="s">
        <v>113</v>
      </c>
      <c r="D50" t="str">
        <f>IF(INVENTORY_STOCKS[[#This Row],[INVENTORY NAME]] = "", "",VLOOKUP(INVENTORY_STOCKS[[#This Row],[INVENTORY NAME]],_TBL_INVENTORY[[NAME]:[TYPE]], 2,FALSE))</f>
        <v>Laptop</v>
      </c>
      <c r="E5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1" spans="3:7" x14ac:dyDescent="0.25">
      <c r="C51" s="12" t="s">
        <v>114</v>
      </c>
      <c r="D51" t="str">
        <f>IF(INVENTORY_STOCKS[[#This Row],[INVENTORY NAME]] = "", "",VLOOKUP(INVENTORY_STOCKS[[#This Row],[INVENTORY NAME]],_TBL_INVENTORY[[NAME]:[TYPE]], 2,FALSE))</f>
        <v>Laptop</v>
      </c>
      <c r="E5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2" spans="3:7" x14ac:dyDescent="0.25">
      <c r="C52" s="12" t="s">
        <v>115</v>
      </c>
      <c r="D52" t="str">
        <f>IF(INVENTORY_STOCKS[[#This Row],[INVENTORY NAME]] = "", "",VLOOKUP(INVENTORY_STOCKS[[#This Row],[INVENTORY NAME]],_TBL_INVENTORY[[NAME]:[TYPE]], 2,FALSE))</f>
        <v>Add Ons</v>
      </c>
      <c r="E5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3" spans="3:7" x14ac:dyDescent="0.25">
      <c r="C53" s="12" t="s">
        <v>117</v>
      </c>
      <c r="D53" t="str">
        <f>IF(INVENTORY_STOCKS[[#This Row],[INVENTORY NAME]] = "", "",VLOOKUP(INVENTORY_STOCKS[[#This Row],[INVENTORY NAME]],_TBL_INVENTORY[[NAME]:[TYPE]], 2,FALSE))</f>
        <v>Add Ons</v>
      </c>
      <c r="E5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4" spans="3:7" x14ac:dyDescent="0.25">
      <c r="C54" s="12" t="s">
        <v>118</v>
      </c>
      <c r="D54" t="str">
        <f>IF(INVENTORY_STOCKS[[#This Row],[INVENTORY NAME]] = "", "",VLOOKUP(INVENTORY_STOCKS[[#This Row],[INVENTORY NAME]],_TBL_INVENTORY[[NAME]:[TYPE]], 2,FALSE))</f>
        <v>Add Ons</v>
      </c>
      <c r="E5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5" spans="3:7" x14ac:dyDescent="0.25">
      <c r="C55" s="12" t="s">
        <v>119</v>
      </c>
      <c r="D55" t="str">
        <f>IF(INVENTORY_STOCKS[[#This Row],[INVENTORY NAME]] = "", "",VLOOKUP(INVENTORY_STOCKS[[#This Row],[INVENTORY NAME]],_TBL_INVENTORY[[NAME]:[TYPE]], 2,FALSE))</f>
        <v>Add Ons</v>
      </c>
      <c r="E5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6" spans="3:7" x14ac:dyDescent="0.25">
      <c r="C56" s="12" t="s">
        <v>120</v>
      </c>
      <c r="D56" t="str">
        <f>IF(INVENTORY_STOCKS[[#This Row],[INVENTORY NAME]] = "", "",VLOOKUP(INVENTORY_STOCKS[[#This Row],[INVENTORY NAME]],_TBL_INVENTORY[[NAME]:[TYPE]], 2,FALSE))</f>
        <v>Add Ons</v>
      </c>
      <c r="E5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7" spans="3:7" x14ac:dyDescent="0.25">
      <c r="C57" s="12" t="s">
        <v>121</v>
      </c>
      <c r="D57" t="str">
        <f>IF(INVENTORY_STOCKS[[#This Row],[INVENTORY NAME]] = "", "",VLOOKUP(INVENTORY_STOCKS[[#This Row],[INVENTORY NAME]],_TBL_INVENTORY[[NAME]:[TYPE]], 2,FALSE))</f>
        <v>Add Ons</v>
      </c>
      <c r="E5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8" spans="3:7" x14ac:dyDescent="0.25">
      <c r="C58" s="12" t="s">
        <v>122</v>
      </c>
      <c r="D58" t="str">
        <f>IF(INVENTORY_STOCKS[[#This Row],[INVENTORY NAME]] = "", "",VLOOKUP(INVENTORY_STOCKS[[#This Row],[INVENTORY NAME]],_TBL_INVENTORY[[NAME]:[TYPE]], 2,FALSE))</f>
        <v>Add Ons</v>
      </c>
      <c r="E5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9" spans="3:7" x14ac:dyDescent="0.25">
      <c r="C59" s="12" t="s">
        <v>123</v>
      </c>
      <c r="D59" t="str">
        <f>IF(INVENTORY_STOCKS[[#This Row],[INVENTORY NAME]] = "", "",VLOOKUP(INVENTORY_STOCKS[[#This Row],[INVENTORY NAME]],_TBL_INVENTORY[[NAME]:[TYPE]], 2,FALSE))</f>
        <v>Add Ons</v>
      </c>
      <c r="E5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0" spans="3:7" x14ac:dyDescent="0.25">
      <c r="C60" s="12" t="s">
        <v>124</v>
      </c>
      <c r="D60" t="str">
        <f>IF(INVENTORY_STOCKS[[#This Row],[INVENTORY NAME]] = "", "",VLOOKUP(INVENTORY_STOCKS[[#This Row],[INVENTORY NAME]],_TBL_INVENTORY[[NAME]:[TYPE]], 2,FALSE))</f>
        <v>Add Ons</v>
      </c>
      <c r="E6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1" spans="3:7" x14ac:dyDescent="0.25">
      <c r="C61" s="12" t="s">
        <v>125</v>
      </c>
      <c r="D61" t="str">
        <f>IF(INVENTORY_STOCKS[[#This Row],[INVENTORY NAME]] = "", "",VLOOKUP(INVENTORY_STOCKS[[#This Row],[INVENTORY NAME]],_TBL_INVENTORY[[NAME]:[TYPE]], 2,FALSE))</f>
        <v>Add Ons</v>
      </c>
      <c r="E6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2" spans="3:7" x14ac:dyDescent="0.25">
      <c r="C62" s="12" t="s">
        <v>126</v>
      </c>
      <c r="D62" t="str">
        <f>IF(INVENTORY_STOCKS[[#This Row],[INVENTORY NAME]] = "", "",VLOOKUP(INVENTORY_STOCKS[[#This Row],[INVENTORY NAME]],_TBL_INVENTORY[[NAME]:[TYPE]], 2,FALSE))</f>
        <v>Add Ons</v>
      </c>
      <c r="E6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3" spans="3:7" x14ac:dyDescent="0.25">
      <c r="C63" s="12" t="s">
        <v>127</v>
      </c>
      <c r="D63" t="str">
        <f>IF(INVENTORY_STOCKS[[#This Row],[INVENTORY NAME]] = "", "",VLOOKUP(INVENTORY_STOCKS[[#This Row],[INVENTORY NAME]],_TBL_INVENTORY[[NAME]:[TYPE]], 2,FALSE))</f>
        <v>Add Ons</v>
      </c>
      <c r="E6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4" spans="3:7" x14ac:dyDescent="0.25">
      <c r="C64" s="12" t="s">
        <v>128</v>
      </c>
      <c r="D64" t="str">
        <f>IF(INVENTORY_STOCKS[[#This Row],[INVENTORY NAME]] = "", "",VLOOKUP(INVENTORY_STOCKS[[#This Row],[INVENTORY NAME]],_TBL_INVENTORY[[NAME]:[TYPE]], 2,FALSE))</f>
        <v>Add Ons</v>
      </c>
      <c r="E6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5" spans="3:7" x14ac:dyDescent="0.25">
      <c r="C65" s="12" t="s">
        <v>129</v>
      </c>
      <c r="D65" t="str">
        <f>IF(INVENTORY_STOCKS[[#This Row],[INVENTORY NAME]] = "", "",VLOOKUP(INVENTORY_STOCKS[[#This Row],[INVENTORY NAME]],_TBL_INVENTORY[[NAME]:[TYPE]], 2,FALSE))</f>
        <v>Add Ons</v>
      </c>
      <c r="E6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6" spans="3:7" x14ac:dyDescent="0.25">
      <c r="C66" s="12" t="s">
        <v>130</v>
      </c>
      <c r="D66" t="str">
        <f>IF(INVENTORY_STOCKS[[#This Row],[INVENTORY NAME]] = "", "",VLOOKUP(INVENTORY_STOCKS[[#This Row],[INVENTORY NAME]],_TBL_INVENTORY[[NAME]:[TYPE]], 2,FALSE))</f>
        <v>Add Ons</v>
      </c>
      <c r="E6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7" spans="3:7" x14ac:dyDescent="0.25">
      <c r="C67" s="12" t="s">
        <v>131</v>
      </c>
      <c r="D67" t="str">
        <f>IF(INVENTORY_STOCKS[[#This Row],[INVENTORY NAME]] = "", "",VLOOKUP(INVENTORY_STOCKS[[#This Row],[INVENTORY NAME]],_TBL_INVENTORY[[NAME]:[TYPE]], 2,FALSE))</f>
        <v>Add Ons</v>
      </c>
      <c r="E6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8" spans="3:7" x14ac:dyDescent="0.25">
      <c r="C68" s="12" t="s">
        <v>132</v>
      </c>
      <c r="D68" t="str">
        <f>IF(INVENTORY_STOCKS[[#This Row],[INVENTORY NAME]] = "", "",VLOOKUP(INVENTORY_STOCKS[[#This Row],[INVENTORY NAME]],_TBL_INVENTORY[[NAME]:[TYPE]], 2,FALSE))</f>
        <v>Add Ons</v>
      </c>
      <c r="E6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9" spans="3:7" x14ac:dyDescent="0.25">
      <c r="C69" s="12" t="s">
        <v>133</v>
      </c>
      <c r="D69" t="str">
        <f>IF(INVENTORY_STOCKS[[#This Row],[INVENTORY NAME]] = "", "",VLOOKUP(INVENTORY_STOCKS[[#This Row],[INVENTORY NAME]],_TBL_INVENTORY[[NAME]:[TYPE]], 2,FALSE))</f>
        <v>Add Ons</v>
      </c>
      <c r="E6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0" spans="3:7" x14ac:dyDescent="0.25">
      <c r="C70" s="12" t="s">
        <v>134</v>
      </c>
      <c r="D70" t="str">
        <f>IF(INVENTORY_STOCKS[[#This Row],[INVENTORY NAME]] = "", "",VLOOKUP(INVENTORY_STOCKS[[#This Row],[INVENTORY NAME]],_TBL_INVENTORY[[NAME]:[TYPE]], 2,FALSE))</f>
        <v>Add Ons</v>
      </c>
      <c r="E7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1" spans="3:7" x14ac:dyDescent="0.25">
      <c r="C71" s="12" t="s">
        <v>135</v>
      </c>
      <c r="D71" t="str">
        <f>IF(INVENTORY_STOCKS[[#This Row],[INVENTORY NAME]] = "", "",VLOOKUP(INVENTORY_STOCKS[[#This Row],[INVENTORY NAME]],_TBL_INVENTORY[[NAME]:[TYPE]], 2,FALSE))</f>
        <v>Add Ons</v>
      </c>
      <c r="E7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2" spans="3:7" x14ac:dyDescent="0.25">
      <c r="C72" s="12" t="s">
        <v>136</v>
      </c>
      <c r="D72" t="str">
        <f>IF(INVENTORY_STOCKS[[#This Row],[INVENTORY NAME]] = "", "",VLOOKUP(INVENTORY_STOCKS[[#This Row],[INVENTORY NAME]],_TBL_INVENTORY[[NAME]:[TYPE]], 2,FALSE))</f>
        <v>Add Ons</v>
      </c>
      <c r="E7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3" spans="3:7" x14ac:dyDescent="0.25">
      <c r="C73" s="12" t="s">
        <v>137</v>
      </c>
      <c r="D73" t="str">
        <f>IF(INVENTORY_STOCKS[[#This Row],[INVENTORY NAME]] = "", "",VLOOKUP(INVENTORY_STOCKS[[#This Row],[INVENTORY NAME]],_TBL_INVENTORY[[NAME]:[TYPE]], 2,FALSE))</f>
        <v>Add Ons</v>
      </c>
      <c r="E7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4" spans="3:7" x14ac:dyDescent="0.25">
      <c r="C74" s="12" t="s">
        <v>138</v>
      </c>
      <c r="D74" t="str">
        <f>IF(INVENTORY_STOCKS[[#This Row],[INVENTORY NAME]] = "", "",VLOOKUP(INVENTORY_STOCKS[[#This Row],[INVENTORY NAME]],_TBL_INVENTORY[[NAME]:[TYPE]], 2,FALSE))</f>
        <v>Add Ons</v>
      </c>
      <c r="E7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5" spans="3:7" x14ac:dyDescent="0.25">
      <c r="C75" s="12" t="s">
        <v>139</v>
      </c>
      <c r="D75" t="str">
        <f>IF(INVENTORY_STOCKS[[#This Row],[INVENTORY NAME]] = "", "",VLOOKUP(INVENTORY_STOCKS[[#This Row],[INVENTORY NAME]],_TBL_INVENTORY[[NAME]:[TYPE]], 2,FALSE))</f>
        <v>Add Ons</v>
      </c>
      <c r="E7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6" spans="3:7" x14ac:dyDescent="0.25">
      <c r="C76" s="12" t="s">
        <v>140</v>
      </c>
      <c r="D76" t="str">
        <f>IF(INVENTORY_STOCKS[[#This Row],[INVENTORY NAME]] = "", "",VLOOKUP(INVENTORY_STOCKS[[#This Row],[INVENTORY NAME]],_TBL_INVENTORY[[NAME]:[TYPE]], 2,FALSE))</f>
        <v>Add Ons</v>
      </c>
      <c r="E7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7" spans="3:7" x14ac:dyDescent="0.25">
      <c r="C77" s="12" t="s">
        <v>141</v>
      </c>
      <c r="D77" t="str">
        <f>IF(INVENTORY_STOCKS[[#This Row],[INVENTORY NAME]] = "", "",VLOOKUP(INVENTORY_STOCKS[[#This Row],[INVENTORY NAME]],_TBL_INVENTORY[[NAME]:[TYPE]], 2,FALSE))</f>
        <v>Add Ons</v>
      </c>
      <c r="E7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8" spans="3:7" x14ac:dyDescent="0.25">
      <c r="C78" s="12" t="s">
        <v>142</v>
      </c>
      <c r="D78" t="str">
        <f>IF(INVENTORY_STOCKS[[#This Row],[INVENTORY NAME]] = "", "",VLOOKUP(INVENTORY_STOCKS[[#This Row],[INVENTORY NAME]],_TBL_INVENTORY[[NAME]:[TYPE]], 2,FALSE))</f>
        <v>Add Ons</v>
      </c>
      <c r="E7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9" spans="3:7" x14ac:dyDescent="0.25">
      <c r="C79" s="12" t="s">
        <v>143</v>
      </c>
      <c r="D79" t="str">
        <f>IF(INVENTORY_STOCKS[[#This Row],[INVENTORY NAME]] = "", "",VLOOKUP(INVENTORY_STOCKS[[#This Row],[INVENTORY NAME]],_TBL_INVENTORY[[NAME]:[TYPE]], 2,FALSE))</f>
        <v>Add Ons</v>
      </c>
      <c r="E7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0" spans="3:7" x14ac:dyDescent="0.25">
      <c r="C80" s="12" t="s">
        <v>144</v>
      </c>
      <c r="D80" t="str">
        <f>IF(INVENTORY_STOCKS[[#This Row],[INVENTORY NAME]] = "", "",VLOOKUP(INVENTORY_STOCKS[[#This Row],[INVENTORY NAME]],_TBL_INVENTORY[[NAME]:[TYPE]], 2,FALSE))</f>
        <v>Add Ons</v>
      </c>
      <c r="E8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1" spans="3:7" x14ac:dyDescent="0.25">
      <c r="C81" s="12" t="s">
        <v>145</v>
      </c>
      <c r="D81" t="str">
        <f>IF(INVENTORY_STOCKS[[#This Row],[INVENTORY NAME]] = "", "",VLOOKUP(INVENTORY_STOCKS[[#This Row],[INVENTORY NAME]],_TBL_INVENTORY[[NAME]:[TYPE]], 2,FALSE))</f>
        <v>Add Ons</v>
      </c>
      <c r="E8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2" spans="3:7" x14ac:dyDescent="0.25">
      <c r="C82" s="12" t="s">
        <v>146</v>
      </c>
      <c r="D82" t="str">
        <f>IF(INVENTORY_STOCKS[[#This Row],[INVENTORY NAME]] = "", "",VLOOKUP(INVENTORY_STOCKS[[#This Row],[INVENTORY NAME]],_TBL_INVENTORY[[NAME]:[TYPE]], 2,FALSE))</f>
        <v>Add Ons</v>
      </c>
      <c r="E8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3" spans="3:7" x14ac:dyDescent="0.25">
      <c r="C83" s="12" t="s">
        <v>147</v>
      </c>
      <c r="D83" t="str">
        <f>IF(INVENTORY_STOCKS[[#This Row],[INVENTORY NAME]] = "", "",VLOOKUP(INVENTORY_STOCKS[[#This Row],[INVENTORY NAME]],_TBL_INVENTORY[[NAME]:[TYPE]], 2,FALSE))</f>
        <v>Add Ons</v>
      </c>
      <c r="E8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4" spans="3:7" x14ac:dyDescent="0.25">
      <c r="C84" s="12" t="s">
        <v>148</v>
      </c>
      <c r="D84" t="str">
        <f>IF(INVENTORY_STOCKS[[#This Row],[INVENTORY NAME]] = "", "",VLOOKUP(INVENTORY_STOCKS[[#This Row],[INVENTORY NAME]],_TBL_INVENTORY[[NAME]:[TYPE]], 2,FALSE))</f>
        <v>Add Ons</v>
      </c>
      <c r="E8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5" spans="3:7" x14ac:dyDescent="0.25">
      <c r="C85" s="12" t="s">
        <v>149</v>
      </c>
      <c r="D85" t="str">
        <f>IF(INVENTORY_STOCKS[[#This Row],[INVENTORY NAME]] = "", "",VLOOKUP(INVENTORY_STOCKS[[#This Row],[INVENTORY NAME]],_TBL_INVENTORY[[NAME]:[TYPE]], 2,FALSE))</f>
        <v>Add Ons</v>
      </c>
      <c r="E8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6" spans="3:7" x14ac:dyDescent="0.25">
      <c r="C86" s="12" t="s">
        <v>150</v>
      </c>
      <c r="D86" t="str">
        <f>IF(INVENTORY_STOCKS[[#This Row],[INVENTORY NAME]] = "", "",VLOOKUP(INVENTORY_STOCKS[[#This Row],[INVENTORY NAME]],_TBL_INVENTORY[[NAME]:[TYPE]], 2,FALSE))</f>
        <v>Add Ons</v>
      </c>
      <c r="E8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7" spans="3:7" x14ac:dyDescent="0.25">
      <c r="C87" s="12" t="s">
        <v>151</v>
      </c>
      <c r="D87" t="str">
        <f>IF(INVENTORY_STOCKS[[#This Row],[INVENTORY NAME]] = "", "",VLOOKUP(INVENTORY_STOCKS[[#This Row],[INVENTORY NAME]],_TBL_INVENTORY[[NAME]:[TYPE]], 2,FALSE))</f>
        <v>Add Ons</v>
      </c>
      <c r="E8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8" spans="3:7" x14ac:dyDescent="0.25">
      <c r="C88" s="12" t="s">
        <v>152</v>
      </c>
      <c r="D88" t="str">
        <f>IF(INVENTORY_STOCKS[[#This Row],[INVENTORY NAME]] = "", "",VLOOKUP(INVENTORY_STOCKS[[#This Row],[INVENTORY NAME]],_TBL_INVENTORY[[NAME]:[TYPE]], 2,FALSE))</f>
        <v>Add Ons</v>
      </c>
      <c r="E8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9" spans="3:7" x14ac:dyDescent="0.25">
      <c r="C89" s="12" t="s">
        <v>153</v>
      </c>
      <c r="D89" t="str">
        <f>IF(INVENTORY_STOCKS[[#This Row],[INVENTORY NAME]] = "", "",VLOOKUP(INVENTORY_STOCKS[[#This Row],[INVENTORY NAME]],_TBL_INVENTORY[[NAME]:[TYPE]], 2,FALSE))</f>
        <v>Add Ons</v>
      </c>
      <c r="E8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0" spans="3:7" x14ac:dyDescent="0.25">
      <c r="C90" s="12" t="s">
        <v>154</v>
      </c>
      <c r="D90" t="str">
        <f>IF(INVENTORY_STOCKS[[#This Row],[INVENTORY NAME]] = "", "",VLOOKUP(INVENTORY_STOCKS[[#This Row],[INVENTORY NAME]],_TBL_INVENTORY[[NAME]:[TYPE]], 2,FALSE))</f>
        <v>Add Ons</v>
      </c>
      <c r="E9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1" spans="3:7" x14ac:dyDescent="0.25">
      <c r="C91" s="12" t="s">
        <v>155</v>
      </c>
      <c r="D91" t="str">
        <f>IF(INVENTORY_STOCKS[[#This Row],[INVENTORY NAME]] = "", "",VLOOKUP(INVENTORY_STOCKS[[#This Row],[INVENTORY NAME]],_TBL_INVENTORY[[NAME]:[TYPE]], 2,FALSE))</f>
        <v>Add Ons</v>
      </c>
      <c r="E9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2" spans="3:7" x14ac:dyDescent="0.25">
      <c r="C92" s="12" t="s">
        <v>156</v>
      </c>
      <c r="D92" t="str">
        <f>IF(INVENTORY_STOCKS[[#This Row],[INVENTORY NAME]] = "", "",VLOOKUP(INVENTORY_STOCKS[[#This Row],[INVENTORY NAME]],_TBL_INVENTORY[[NAME]:[TYPE]], 2,FALSE))</f>
        <v>Add Ons</v>
      </c>
      <c r="E9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3" spans="3:7" x14ac:dyDescent="0.25">
      <c r="C93" s="12" t="s">
        <v>157</v>
      </c>
      <c r="D93" t="str">
        <f>IF(INVENTORY_STOCKS[[#This Row],[INVENTORY NAME]] = "", "",VLOOKUP(INVENTORY_STOCKS[[#This Row],[INVENTORY NAME]],_TBL_INVENTORY[[NAME]:[TYPE]], 2,FALSE))</f>
        <v>Add Ons</v>
      </c>
      <c r="E9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4" spans="3:7" x14ac:dyDescent="0.25">
      <c r="C94" s="12" t="s">
        <v>158</v>
      </c>
      <c r="D94" t="str">
        <f>IF(INVENTORY_STOCKS[[#This Row],[INVENTORY NAME]] = "", "",VLOOKUP(INVENTORY_STOCKS[[#This Row],[INVENTORY NAME]],_TBL_INVENTORY[[NAME]:[TYPE]], 2,FALSE))</f>
        <v>Add Ons</v>
      </c>
      <c r="E9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5" spans="3:7" x14ac:dyDescent="0.25">
      <c r="C95" s="12" t="s">
        <v>159</v>
      </c>
      <c r="D95" t="str">
        <f>IF(INVENTORY_STOCKS[[#This Row],[INVENTORY NAME]] = "", "",VLOOKUP(INVENTORY_STOCKS[[#This Row],[INVENTORY NAME]],_TBL_INVENTORY[[NAME]:[TYPE]], 2,FALSE))</f>
        <v>Add Ons</v>
      </c>
      <c r="E9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6" spans="3:7" x14ac:dyDescent="0.25">
      <c r="C96" s="12" t="s">
        <v>160</v>
      </c>
      <c r="D96" t="str">
        <f>IF(INVENTORY_STOCKS[[#This Row],[INVENTORY NAME]] = "", "",VLOOKUP(INVENTORY_STOCKS[[#This Row],[INVENTORY NAME]],_TBL_INVENTORY[[NAME]:[TYPE]], 2,FALSE))</f>
        <v>Add Ons</v>
      </c>
      <c r="E9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7" spans="3:7" x14ac:dyDescent="0.25">
      <c r="C97" s="12" t="s">
        <v>47</v>
      </c>
      <c r="D97" t="str">
        <f>IF(INVENTORY_STOCKS[[#This Row],[INVENTORY NAME]] = "", "",VLOOKUP(INVENTORY_STOCKS[[#This Row],[INVENTORY NAME]],_TBL_INVENTORY[[NAME]:[TYPE]], 2,FALSE))</f>
        <v>PC Parts</v>
      </c>
      <c r="E9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15</v>
      </c>
      <c r="G9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2</v>
      </c>
    </row>
    <row r="98" spans="3:7" x14ac:dyDescent="0.25">
      <c r="C98" s="12" t="s">
        <v>163</v>
      </c>
      <c r="D98" t="str">
        <f>IF(INVENTORY_STOCKS[[#This Row],[INVENTORY NAME]] = "", "",VLOOKUP(INVENTORY_STOCKS[[#This Row],[INVENTORY NAME]],_TBL_INVENTORY[[NAME]:[TYPE]], 2,FALSE))</f>
        <v>PC Parts</v>
      </c>
      <c r="E9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80</v>
      </c>
      <c r="G9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9" spans="3:7" x14ac:dyDescent="0.25">
      <c r="C99" s="12" t="s">
        <v>45</v>
      </c>
      <c r="D99" t="str">
        <f>IF(INVENTORY_STOCKS[[#This Row],[INVENTORY NAME]] = "", "",VLOOKUP(INVENTORY_STOCKS[[#This Row],[INVENTORY NAME]],_TBL_INVENTORY[[NAME]:[TYPE]], 2,FALSE))</f>
        <v>PC Parts</v>
      </c>
      <c r="E9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0" spans="3:7" x14ac:dyDescent="0.25">
      <c r="C100" s="12" t="s">
        <v>166</v>
      </c>
      <c r="D100" t="str">
        <f>IF(INVENTORY_STOCKS[[#This Row],[INVENTORY NAME]] = "", "",VLOOKUP(INVENTORY_STOCKS[[#This Row],[INVENTORY NAME]],_TBL_INVENTORY[[NAME]:[TYPE]], 2,FALSE))</f>
        <v>Printers</v>
      </c>
      <c r="E10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55</v>
      </c>
      <c r="G10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2</v>
      </c>
    </row>
    <row r="101" spans="3:7" x14ac:dyDescent="0.25">
      <c r="C101" s="12" t="s">
        <v>167</v>
      </c>
      <c r="D101" t="str">
        <f>IF(INVENTORY_STOCKS[[#This Row],[INVENTORY NAME]] = "", "",VLOOKUP(INVENTORY_STOCKS[[#This Row],[INVENTORY NAME]],_TBL_INVENTORY[[NAME]:[TYPE]], 2,FALSE))</f>
        <v>Printers</v>
      </c>
      <c r="E10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5</v>
      </c>
    </row>
    <row r="102" spans="3:7" x14ac:dyDescent="0.25">
      <c r="C102" s="12" t="s">
        <v>168</v>
      </c>
      <c r="D102" t="str">
        <f>IF(INVENTORY_STOCKS[[#This Row],[INVENTORY NAME]] = "", "",VLOOKUP(INVENTORY_STOCKS[[#This Row],[INVENTORY NAME]],_TBL_INVENTORY[[NAME]:[TYPE]], 2,FALSE))</f>
        <v>Printers</v>
      </c>
      <c r="E10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3" spans="3:7" x14ac:dyDescent="0.25">
      <c r="C103" s="12" t="s">
        <v>169</v>
      </c>
      <c r="D103" t="str">
        <f>IF(INVENTORY_STOCKS[[#This Row],[INVENTORY NAME]] = "", "",VLOOKUP(INVENTORY_STOCKS[[#This Row],[INVENTORY NAME]],_TBL_INVENTORY[[NAME]:[TYPE]], 2,FALSE))</f>
        <v>Printers</v>
      </c>
      <c r="E10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4" spans="3:7" x14ac:dyDescent="0.25">
      <c r="C104" s="12" t="s">
        <v>170</v>
      </c>
      <c r="D104" t="str">
        <f>IF(INVENTORY_STOCKS[[#This Row],[INVENTORY NAME]] = "", "",VLOOKUP(INVENTORY_STOCKS[[#This Row],[INVENTORY NAME]],_TBL_INVENTORY[[NAME]:[TYPE]], 2,FALSE))</f>
        <v>Printers</v>
      </c>
      <c r="E10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5" spans="3:7" x14ac:dyDescent="0.25">
      <c r="C105" s="12" t="s">
        <v>171</v>
      </c>
      <c r="D105" t="str">
        <f>IF(INVENTORY_STOCKS[[#This Row],[INVENTORY NAME]] = "", "",VLOOKUP(INVENTORY_STOCKS[[#This Row],[INVENTORY NAME]],_TBL_INVENTORY[[NAME]:[TYPE]], 2,FALSE))</f>
        <v>Printers</v>
      </c>
      <c r="E10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6" spans="3:7" x14ac:dyDescent="0.25">
      <c r="C106" s="12" t="s">
        <v>172</v>
      </c>
      <c r="D106" t="str">
        <f>IF(INVENTORY_STOCKS[[#This Row],[INVENTORY NAME]] = "", "",VLOOKUP(INVENTORY_STOCKS[[#This Row],[INVENTORY NAME]],_TBL_INVENTORY[[NAME]:[TYPE]], 2,FALSE))</f>
        <v>Charger</v>
      </c>
      <c r="E10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7" spans="3:7" x14ac:dyDescent="0.25">
      <c r="D107" t="str">
        <f>IF(INVENTORY_STOCKS[[#This Row],[INVENTORY NAME]] = "", "",VLOOKUP(INVENTORY_STOCKS[[#This Row],[INVENTORY NAME]],_TBL_INVENTORY[[NAME]:[TYPE]], 2,FALSE))</f>
        <v/>
      </c>
      <c r="E107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7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7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08" spans="3:7" x14ac:dyDescent="0.25">
      <c r="D108" t="str">
        <f>IF(INVENTORY_STOCKS[[#This Row],[INVENTORY NAME]] = "", "",VLOOKUP(INVENTORY_STOCKS[[#This Row],[INVENTORY NAME]],_TBL_INVENTORY[[NAME]:[TYPE]], 2,FALSE))</f>
        <v/>
      </c>
      <c r="E108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8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8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09" spans="3:7" x14ac:dyDescent="0.25">
      <c r="D109" t="str">
        <f>IF(INVENTORY_STOCKS[[#This Row],[INVENTORY NAME]] = "", "",VLOOKUP(INVENTORY_STOCKS[[#This Row],[INVENTORY NAME]],_TBL_INVENTORY[[NAME]:[TYPE]], 2,FALSE))</f>
        <v/>
      </c>
      <c r="E109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9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9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0" spans="3:7" x14ac:dyDescent="0.25">
      <c r="D110" t="str">
        <f>IF(INVENTORY_STOCKS[[#This Row],[INVENTORY NAME]] = "", "",VLOOKUP(INVENTORY_STOCKS[[#This Row],[INVENTORY NAME]],_TBL_INVENTORY[[NAME]:[TYPE]], 2,FALSE))</f>
        <v/>
      </c>
      <c r="E110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0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0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1" spans="3:7" x14ac:dyDescent="0.25">
      <c r="D111" t="str">
        <f>IF(INVENTORY_STOCKS[[#This Row],[INVENTORY NAME]] = "", "",VLOOKUP(INVENTORY_STOCKS[[#This Row],[INVENTORY NAME]],_TBL_INVENTORY[[NAME]:[TYPE]], 2,FALSE))</f>
        <v/>
      </c>
      <c r="E111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1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1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2" spans="3:7" x14ac:dyDescent="0.25">
      <c r="D112" t="str">
        <f>IF(INVENTORY_STOCKS[[#This Row],[INVENTORY NAME]] = "", "",VLOOKUP(INVENTORY_STOCKS[[#This Row],[INVENTORY NAME]],_TBL_INVENTORY[[NAME]:[TYPE]], 2,FALSE))</f>
        <v/>
      </c>
      <c r="E112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2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2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3" spans="4:7" x14ac:dyDescent="0.25">
      <c r="D113" t="str">
        <f>IF(INVENTORY_STOCKS[[#This Row],[INVENTORY NAME]] = "", "",VLOOKUP(INVENTORY_STOCKS[[#This Row],[INVENTORY NAME]],_TBL_INVENTORY[[NAME]:[TYPE]], 2,FALSE))</f>
        <v/>
      </c>
      <c r="E113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3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3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4" spans="4:7" x14ac:dyDescent="0.25">
      <c r="D114" t="str">
        <f>IF(INVENTORY_STOCKS[[#This Row],[INVENTORY NAME]] = "", "",VLOOKUP(INVENTORY_STOCKS[[#This Row],[INVENTORY NAME]],_TBL_INVENTORY[[NAME]:[TYPE]], 2,FALSE))</f>
        <v/>
      </c>
      <c r="E114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4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4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5" spans="4:7" x14ac:dyDescent="0.25">
      <c r="D115" t="str">
        <f>IF(INVENTORY_STOCKS[[#This Row],[INVENTORY NAME]] = "", "",VLOOKUP(INVENTORY_STOCKS[[#This Row],[INVENTORY NAME]],_TBL_INVENTORY[[NAME]:[TYPE]], 2,FALSE))</f>
        <v/>
      </c>
      <c r="E115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5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5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6" spans="4:7" x14ac:dyDescent="0.25">
      <c r="D116" t="str">
        <f>IF(INVENTORY_STOCKS[[#This Row],[INVENTORY NAME]] = "", "",VLOOKUP(INVENTORY_STOCKS[[#This Row],[INVENTORY NAME]],_TBL_INVENTORY[[NAME]:[TYPE]], 2,FALSE))</f>
        <v/>
      </c>
      <c r="E116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6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6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</sheetData>
  <mergeCells count="1">
    <mergeCell ref="C1:E1"/>
  </mergeCells>
  <phoneticPr fontId="2" type="noConversion"/>
  <dataValidations count="1">
    <dataValidation type="list" allowBlank="1" showInputMessage="1" showErrorMessage="1" sqref="C111" xr:uid="{C1F98301-68E5-4C34-88E1-BC61A73C85F5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887E-92AF-4B90-8D92-9DB2BA402E59}">
  <sheetPr codeName="Sheet11"/>
  <dimension ref="B1:G15"/>
  <sheetViews>
    <sheetView zoomScale="108" workbookViewId="0">
      <selection activeCell="C3" sqref="C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46.5703125" customWidth="1"/>
    <col min="6" max="6" width="19.7109375" customWidth="1"/>
    <col min="7" max="7" width="17.28515625" customWidth="1"/>
  </cols>
  <sheetData>
    <row r="1" spans="2:7" x14ac:dyDescent="0.25">
      <c r="C1" s="22" t="s">
        <v>33</v>
      </c>
      <c r="D1" s="22"/>
    </row>
    <row r="2" spans="2:7" x14ac:dyDescent="0.25">
      <c r="B2" s="1" t="s">
        <v>9</v>
      </c>
      <c r="C2" s="1" t="s">
        <v>28</v>
      </c>
      <c r="D2" s="1" t="s">
        <v>32</v>
      </c>
      <c r="E2" s="1" t="s">
        <v>46</v>
      </c>
      <c r="F2" s="1" t="s">
        <v>24</v>
      </c>
      <c r="G2" s="1" t="s">
        <v>25</v>
      </c>
    </row>
    <row r="3" spans="2:7" x14ac:dyDescent="0.25">
      <c r="B3" s="3" t="str">
        <f>IF(IFERROR(#REF!, "")&lt;&gt; 0, IFERROR(#REF!, ""), "")</f>
        <v/>
      </c>
      <c r="C3" s="3" t="str">
        <f>IF(IFERROR(#REF!, "")&lt;&gt; 0, IFERROR(#REF!, ""), "")</f>
        <v/>
      </c>
      <c r="D3" s="4" t="str">
        <f>IF(IFERROR(#REF!, "")&lt;&gt; 0, IFERROR(#REF!, ""), "")</f>
        <v/>
      </c>
      <c r="E3" s="4" t="str">
        <f>IF(IFERROR(#REF!, "")&lt;&gt; 0, IFERROR(#REF!, ""), "")</f>
        <v/>
      </c>
      <c r="F3" s="8" t="str">
        <f>IF(IFERROR(#REF!, "")&lt;&gt; 0, IFERROR(#REF!, ""), "")</f>
        <v/>
      </c>
      <c r="G3" s="8" t="str">
        <f>IFERROR(_TBL_SALES_REPORT[[#This Row],[PRICE PER PIECE]]*_TBL_SALES_REPORT[[#This Row],[COUNT]], "")</f>
        <v/>
      </c>
    </row>
    <row r="4" spans="2:7" x14ac:dyDescent="0.25">
      <c r="B4" s="3" t="str">
        <f>IF(IFERROR(#REF!, "")&lt;&gt; 0, IFERROR(#REF!, ""), "")</f>
        <v/>
      </c>
      <c r="C4" s="3" t="str">
        <f>IF(IFERROR(#REF!, "")&lt;&gt; 0, IFERROR(#REF!, ""), "")</f>
        <v/>
      </c>
      <c r="D4" s="4" t="str">
        <f>IF(IFERROR(#REF!, "")&lt;&gt; 0, IFERROR(#REF!, ""), "")</f>
        <v/>
      </c>
      <c r="E4" s="4" t="str">
        <f>IF(IFERROR(#REF!, "")&lt;&gt; 0, IFERROR(#REF!, ""), "")</f>
        <v/>
      </c>
      <c r="F4" s="8" t="str">
        <f>IF(IFERROR(#REF!, "")&lt;&gt; 0, IFERROR(#REF!, ""), "")</f>
        <v/>
      </c>
      <c r="G4" s="8" t="str">
        <f>IFERROR(_TBL_SALES_REPORT[[#This Row],[PRICE PER PIECE]]*_TBL_SALES_REPORT[[#This Row],[COUNT]], "")</f>
        <v/>
      </c>
    </row>
    <row r="5" spans="2:7" x14ac:dyDescent="0.25">
      <c r="B5" s="3" t="str">
        <f>IF(IFERROR(#REF!, "")&lt;&gt; 0, IFERROR(#REF!, ""), "")</f>
        <v/>
      </c>
      <c r="C5" s="3" t="str">
        <f>IF(IFERROR(#REF!, "")&lt;&gt; 0, IFERROR(#REF!, ""), "")</f>
        <v/>
      </c>
      <c r="D5" s="4" t="str">
        <f>IF(IFERROR(#REF!, "")&lt;&gt; 0, IFERROR(#REF!, ""), "")</f>
        <v/>
      </c>
      <c r="E5" s="4" t="str">
        <f>IF(IFERROR(#REF!, "")&lt;&gt; 0, IFERROR(#REF!, ""), "")</f>
        <v/>
      </c>
      <c r="F5" s="8" t="str">
        <f>IF(IFERROR(#REF!, "")&lt;&gt; 0, IFERROR(#REF!, ""), "")</f>
        <v/>
      </c>
      <c r="G5" s="8" t="str">
        <f>IFERROR(_TBL_SALES_REPORT[[#This Row],[PRICE PER PIECE]]*_TBL_SALES_REPORT[[#This Row],[COUNT]], "")</f>
        <v/>
      </c>
    </row>
    <row r="6" spans="2:7" x14ac:dyDescent="0.25">
      <c r="B6" s="3" t="str">
        <f>IF(IFERROR(#REF!, "")&lt;&gt; 0, IFERROR(#REF!, ""), "")</f>
        <v/>
      </c>
      <c r="C6" s="3" t="str">
        <f>IF(IFERROR(#REF!, "")&lt;&gt; 0, IFERROR(#REF!, ""), "")</f>
        <v/>
      </c>
      <c r="D6" s="4" t="str">
        <f>IF(IFERROR(#REF!, "")&lt;&gt; 0, IFERROR(#REF!, ""), "")</f>
        <v/>
      </c>
      <c r="E6" s="4" t="str">
        <f>IF(IFERROR(#REF!, "")&lt;&gt; 0, IFERROR(#REF!, ""), "")</f>
        <v/>
      </c>
      <c r="F6" s="8" t="str">
        <f>IF(IFERROR(#REF!, "")&lt;&gt; 0, IFERROR(#REF!, ""), "")</f>
        <v/>
      </c>
      <c r="G6" s="8" t="str">
        <f>IFERROR(_TBL_SALES_REPORT[[#This Row],[PRICE PER PIECE]]*_TBL_SALES_REPORT[[#This Row],[COUNT]], "")</f>
        <v/>
      </c>
    </row>
    <row r="7" spans="2:7" x14ac:dyDescent="0.25">
      <c r="B7" s="3" t="str">
        <f>IF(IFERROR(#REF!, "")&lt;&gt; 0, IFERROR(#REF!, ""), "")</f>
        <v/>
      </c>
      <c r="C7" s="3" t="str">
        <f>IF(IFERROR(#REF!, "")&lt;&gt; 0, IFERROR(#REF!, ""), "")</f>
        <v/>
      </c>
      <c r="D7" s="4" t="str">
        <f>IF(IFERROR(#REF!, "")&lt;&gt; 0, IFERROR(#REF!, ""), "")</f>
        <v/>
      </c>
      <c r="E7" s="4" t="str">
        <f>IF(IFERROR(#REF!, "")&lt;&gt; 0, IFERROR(#REF!, ""), "")</f>
        <v/>
      </c>
      <c r="F7" s="8" t="str">
        <f>IF(IFERROR(#REF!, "")&lt;&gt; 0, IFERROR(#REF!, ""), "")</f>
        <v/>
      </c>
      <c r="G7" s="8" t="str">
        <f>IFERROR(_TBL_SALES_REPORT[[#This Row],[PRICE PER PIECE]]*_TBL_SALES_REPORT[[#This Row],[COUNT]], "")</f>
        <v/>
      </c>
    </row>
    <row r="8" spans="2:7" x14ac:dyDescent="0.25">
      <c r="B8" s="3" t="str">
        <f>IF(IFERROR(#REF!, "")&lt;&gt; 0, IFERROR(#REF!, ""), "")</f>
        <v/>
      </c>
      <c r="C8" s="3" t="str">
        <f>IF(IFERROR(#REF!, "")&lt;&gt; 0, IFERROR(#REF!, ""), "")</f>
        <v/>
      </c>
      <c r="D8" s="4" t="str">
        <f>IF(IFERROR(#REF!, "")&lt;&gt; 0, IFERROR(#REF!, ""), "")</f>
        <v/>
      </c>
      <c r="E8" s="4" t="str">
        <f>IF(IFERROR(#REF!, "")&lt;&gt; 0, IFERROR(#REF!, ""), "")</f>
        <v/>
      </c>
      <c r="F8" s="8" t="str">
        <f>IF(IFERROR(#REF!, "")&lt;&gt; 0, IFERROR(#REF!, ""), "")</f>
        <v/>
      </c>
      <c r="G8" s="8" t="str">
        <f>IFERROR(_TBL_SALES_REPORT[[#This Row],[PRICE PER PIECE]]*_TBL_SALES_REPORT[[#This Row],[COUNT]], "")</f>
        <v/>
      </c>
    </row>
    <row r="9" spans="2:7" x14ac:dyDescent="0.25">
      <c r="B9" s="3" t="str">
        <f>IF(IFERROR(#REF!, "")&lt;&gt; 0, IFERROR(#REF!, ""), "")</f>
        <v/>
      </c>
      <c r="C9" s="3" t="str">
        <f>IF(IFERROR(#REF!, "")&lt;&gt; 0, IFERROR(#REF!, ""), "")</f>
        <v/>
      </c>
      <c r="D9" s="4" t="str">
        <f>IF(IFERROR(#REF!, "")&lt;&gt; 0, IFERROR(#REF!, ""), "")</f>
        <v/>
      </c>
      <c r="E9" s="4" t="str">
        <f>IF(IFERROR(#REF!, "")&lt;&gt; 0, IFERROR(#REF!, ""), "")</f>
        <v/>
      </c>
      <c r="F9" s="8" t="str">
        <f>IF(IFERROR(#REF!, "")&lt;&gt; 0, IFERROR(#REF!, ""), "")</f>
        <v/>
      </c>
      <c r="G9" s="8" t="str">
        <f>IFERROR(_TBL_SALES_REPORT[[#This Row],[PRICE PER PIECE]]*_TBL_SALES_REPORT[[#This Row],[COUNT]], "")</f>
        <v/>
      </c>
    </row>
    <row r="10" spans="2:7" x14ac:dyDescent="0.25">
      <c r="B10" s="3" t="str">
        <f>IF(IFERROR(#REF!, "")&lt;&gt; 0, IFERROR(#REF!, ""), "")</f>
        <v/>
      </c>
      <c r="C10" s="3" t="str">
        <f>IF(IFERROR(#REF!, "")&lt;&gt; 0, IFERROR(#REF!, ""), "")</f>
        <v/>
      </c>
      <c r="D10" s="4" t="str">
        <f>IF(IFERROR(#REF!, "")&lt;&gt; 0, IFERROR(#REF!, ""), "")</f>
        <v/>
      </c>
      <c r="E10" s="4" t="str">
        <f>IF(IFERROR(#REF!, "")&lt;&gt; 0, IFERROR(#REF!, ""), "")</f>
        <v/>
      </c>
      <c r="F10" s="8" t="str">
        <f>IF(IFERROR(#REF!, "")&lt;&gt; 0, IFERROR(#REF!, ""), "")</f>
        <v/>
      </c>
      <c r="G10" s="8" t="str">
        <f>IFERROR(_TBL_SALES_REPORT[[#This Row],[PRICE PER PIECE]]*_TBL_SALES_REPORT[[#This Row],[COUNT]], "")</f>
        <v/>
      </c>
    </row>
    <row r="11" spans="2:7" x14ac:dyDescent="0.25">
      <c r="B11" s="3" t="str">
        <f>IF(IFERROR(#REF!, "")&lt;&gt; 0, IFERROR(#REF!, ""), "")</f>
        <v/>
      </c>
      <c r="C11" s="3" t="str">
        <f>IF(IFERROR(#REF!, "")&lt;&gt; 0, IFERROR(#REF!, ""), "")</f>
        <v/>
      </c>
      <c r="D11" s="4" t="str">
        <f>IF(IFERROR(#REF!, "")&lt;&gt; 0, IFERROR(#REF!, ""), "")</f>
        <v/>
      </c>
      <c r="E11" s="4" t="str">
        <f>IF(IFERROR(#REF!, "")&lt;&gt; 0, IFERROR(#REF!, ""), "")</f>
        <v/>
      </c>
      <c r="F11" s="8" t="str">
        <f>IF(IFERROR(#REF!, "")&lt;&gt; 0, IFERROR(#REF!, ""), "")</f>
        <v/>
      </c>
      <c r="G11" s="8" t="str">
        <f>IFERROR(_TBL_SALES_REPORT[[#This Row],[PRICE PER PIECE]]*_TBL_SALES_REPORT[[#This Row],[COUNT]], "")</f>
        <v/>
      </c>
    </row>
    <row r="12" spans="2:7" x14ac:dyDescent="0.25">
      <c r="B12" s="3" t="str">
        <f>IF(IFERROR(#REF!, "")&lt;&gt; 0, IFERROR(#REF!, ""), "")</f>
        <v/>
      </c>
      <c r="C12" s="3" t="str">
        <f>IF(IFERROR(#REF!, "")&lt;&gt; 0, IFERROR(#REF!, ""), "")</f>
        <v/>
      </c>
      <c r="D12" s="4" t="str">
        <f>IF(IFERROR(#REF!, "")&lt;&gt; 0, IFERROR(#REF!, ""), "")</f>
        <v/>
      </c>
      <c r="E12" s="4" t="str">
        <f>IF(IFERROR(#REF!, "")&lt;&gt; 0, IFERROR(#REF!, ""), "")</f>
        <v/>
      </c>
      <c r="F12" s="8" t="str">
        <f>IF(IFERROR(#REF!, "")&lt;&gt; 0, IFERROR(#REF!, ""), "")</f>
        <v/>
      </c>
      <c r="G12" s="8" t="str">
        <f>IFERROR(_TBL_SALES_REPORT[[#This Row],[PRICE PER PIECE]]*_TBL_SALES_REPORT[[#This Row],[COUNT]], "")</f>
        <v/>
      </c>
    </row>
    <row r="13" spans="2:7" x14ac:dyDescent="0.25">
      <c r="B13" s="3" t="str">
        <f>IF(IFERROR(#REF!, "")&lt;&gt; 0, IFERROR(#REF!, ""), "")</f>
        <v/>
      </c>
      <c r="C13" s="3" t="str">
        <f>IF(IFERROR(#REF!, "")&lt;&gt; 0, IFERROR(#REF!, ""), "")</f>
        <v/>
      </c>
      <c r="D13" s="4" t="str">
        <f>IF(IFERROR(#REF!, "")&lt;&gt; 0, IFERROR(#REF!, ""), "")</f>
        <v/>
      </c>
      <c r="E13" s="4" t="str">
        <f>IF(IFERROR(#REF!, "")&lt;&gt; 0, IFERROR(#REF!, ""), "")</f>
        <v/>
      </c>
      <c r="F13" s="8" t="str">
        <f>IF(IFERROR(#REF!, "")&lt;&gt; 0, IFERROR(#REF!, ""), "")</f>
        <v/>
      </c>
      <c r="G13" s="8" t="str">
        <f>IFERROR(_TBL_SALES_REPORT[[#This Row],[PRICE PER PIECE]]*_TBL_SALES_REPORT[[#This Row],[COUNT]], "")</f>
        <v/>
      </c>
    </row>
    <row r="14" spans="2:7" x14ac:dyDescent="0.25">
      <c r="B14" s="9" t="str">
        <f>_xlfn.CONCAT("COUNT: ", SUBTOTAL(103,_TBL_SALES_REPORT[DATE]))</f>
        <v>COUNT: 11</v>
      </c>
      <c r="C14" s="5" t="s">
        <v>18</v>
      </c>
      <c r="D14" s="10">
        <f>SUBTOTAL(109,_TBL_SALES_REPORT[COUNT])</f>
        <v>0</v>
      </c>
      <c r="E14" s="10"/>
      <c r="F14" s="11"/>
      <c r="G14" s="14">
        <f>SUBTOTAL(109, _TBL_SALES_REPORT[TOTAL PRICE])</f>
        <v>0</v>
      </c>
    </row>
    <row r="15" spans="2:7" x14ac:dyDescent="0.25">
      <c r="B15" s="12"/>
      <c r="C15" s="5" t="s">
        <v>19</v>
      </c>
      <c r="D15" s="6">
        <f>SUM(_TBL_SALES_REPORT[COUNT])</f>
        <v>0</v>
      </c>
      <c r="E15" s="6"/>
      <c r="F15" s="13"/>
      <c r="G15" s="13">
        <f>SUM(_TBL_SALES_REPORT[TOTAL PRICE])</f>
        <v>0</v>
      </c>
    </row>
  </sheetData>
  <mergeCells count="1">
    <mergeCell ref="C1:D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6ED4-06A9-4C70-B984-23CD24E1EA94}">
  <sheetPr codeName="Sheet12"/>
  <dimension ref="B1:I2"/>
  <sheetViews>
    <sheetView workbookViewId="0">
      <selection activeCell="C3" sqref="C3"/>
    </sheetView>
  </sheetViews>
  <sheetFormatPr defaultRowHeight="15" x14ac:dyDescent="0.25"/>
  <cols>
    <col min="2" max="2" width="14" customWidth="1"/>
    <col min="3" max="3" width="23.42578125" customWidth="1"/>
    <col min="4" max="4" width="20.42578125" customWidth="1"/>
    <col min="5" max="5" width="16.5703125" customWidth="1"/>
    <col min="6" max="6" width="19.7109375" customWidth="1"/>
    <col min="7" max="7" width="19.85546875" customWidth="1"/>
    <col min="8" max="8" width="16.85546875" customWidth="1"/>
    <col min="9" max="9" width="11" customWidth="1"/>
  </cols>
  <sheetData>
    <row r="1" spans="2:9" x14ac:dyDescent="0.25">
      <c r="C1" s="22" t="s">
        <v>57</v>
      </c>
      <c r="D1" s="22"/>
      <c r="E1" s="22"/>
    </row>
    <row r="2" spans="2:9" x14ac:dyDescent="0.25">
      <c r="B2" t="s">
        <v>0</v>
      </c>
      <c r="C2" t="s">
        <v>30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</row>
  </sheetData>
  <mergeCells count="1">
    <mergeCell ref="C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_TBL_INVENTORY_IN</vt:lpstr>
      <vt:lpstr>_TBL_PRODUCT_CATALOG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STOCKS OFFICE 2</vt:lpstr>
      <vt:lpstr>STOCKS OFFICE 2-OLD</vt:lpstr>
      <vt:lpstr>SALES REPORT</vt:lpstr>
      <vt:lpstr>STOCKS OFFICE 1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2025-04-26T06:57:22Z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