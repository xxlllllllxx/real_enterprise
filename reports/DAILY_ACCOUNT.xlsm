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reports\"/>
    </mc:Choice>
  </mc:AlternateContent>
  <xr:revisionPtr revIDLastSave="0" documentId="13_ncr:80001_{82712368-2306-44CB-8B35-C7D2580B1824}" xr6:coauthVersionLast="36" xr6:coauthVersionMax="47" xr10:uidLastSave="{00000000-0000-0000-0000-000000000000}"/>
  <bookViews>
    <workbookView xWindow="-120" yWindow="-120" windowWidth="29040" windowHeight="15720" tabRatio="811" firstSheet="7" activeTab="9" xr2:uid="{00000000-000D-0000-FFFF-FFFF00000000}"/>
  </bookViews>
  <sheets>
    <sheet name="_TBL_INVENTORY_IN" sheetId="19" state="hidden" r:id="rId1"/>
    <sheet name="_TBL_PRODUCT" sheetId="28" state="hidden" r:id="rId2"/>
    <sheet name="_TBL_INVENTORY" sheetId="27" state="hidden" r:id="rId3"/>
    <sheet name="PC_INVENTORY" sheetId="31" state="hidden" r:id="rId4"/>
    <sheet name="LAPTOP_INVENTORY" sheetId="30" state="hidden" r:id="rId5"/>
    <sheet name="INVENTORY IN LOGS" sheetId="2" state="hidden" r:id="rId6"/>
    <sheet name="PRINTER_INVENTORY" sheetId="32" state="hidden" r:id="rId7"/>
    <sheet name="LAPTOP_PRODUCTION" sheetId="35" r:id="rId8"/>
    <sheet name="INVENTORY" sheetId="33" r:id="rId9"/>
    <sheet name="SALES_REPORT" sheetId="34" r:id="rId10"/>
    <sheet name="DAILY REVENUE" sheetId="37" r:id="rId11"/>
    <sheet name="WEEKLY REVENUE" sheetId="38" r:id="rId12"/>
    <sheet name="MONTHLY REVENUE" sheetId="36" r:id="rId13"/>
  </sheets>
  <definedNames>
    <definedName name="ExternalData_1" localSheetId="2" hidden="1">'_TBL_INVENTORY'!$A$1:$G$109</definedName>
    <definedName name="ExternalData_1" localSheetId="0" hidden="1">'_TBL_INVENTORY_IN'!$A$2:$F$62</definedName>
    <definedName name="ExternalData_1" localSheetId="8" hidden="1">INVENTORY!$A$1:$G$57</definedName>
    <definedName name="ExternalData_1" localSheetId="4" hidden="1">LAPTOP_INVENTORY!$A$1:$C$53</definedName>
    <definedName name="ExternalData_1" localSheetId="6" hidden="1">PRINTER_INVENTORY!$A$1:$H$7</definedName>
    <definedName name="ExternalData_2" localSheetId="1" hidden="1">'_TBL_PRODUCT'!$A$1:$K$206</definedName>
    <definedName name="ExternalData_2" localSheetId="7" hidden="1">LAPTOP_PRODUCTION!$A$1:$J$53</definedName>
    <definedName name="ExternalData_2" localSheetId="3" hidden="1">PC_INVENTORY!$A$1:$H$4</definedName>
    <definedName name="ExternalData_2" localSheetId="9" hidden="1">SALES_REPORT!$A$1:$T$4</definedName>
    <definedName name="NAMES_INVENTORY">_TBL_INVENTORY[NAME]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9" i="33" l="1"/>
  <c r="D59" i="33"/>
  <c r="E59" i="33"/>
  <c r="F59" i="33"/>
  <c r="H59" i="33"/>
  <c r="J59" i="33"/>
  <c r="J58" i="33"/>
  <c r="H58" i="33" l="1"/>
  <c r="G58" i="33"/>
  <c r="F58" i="33"/>
  <c r="E58" i="33"/>
  <c r="D58" i="33"/>
  <c r="B58" i="33"/>
  <c r="B54" i="35"/>
  <c r="J2" i="33"/>
  <c r="J3" i="33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17" i="33"/>
  <c r="J18" i="33"/>
  <c r="J19" i="33"/>
  <c r="J20" i="33"/>
  <c r="J21" i="33"/>
  <c r="J22" i="33"/>
  <c r="J23" i="33"/>
  <c r="J24" i="33"/>
  <c r="J25" i="33"/>
  <c r="J26" i="33"/>
  <c r="J27" i="33"/>
  <c r="J28" i="33"/>
  <c r="J29" i="33"/>
  <c r="J30" i="33"/>
  <c r="J31" i="33"/>
  <c r="J32" i="33"/>
  <c r="J33" i="33"/>
  <c r="J34" i="33"/>
  <c r="J35" i="33"/>
  <c r="J36" i="33"/>
  <c r="J37" i="33"/>
  <c r="J38" i="33"/>
  <c r="J39" i="33"/>
  <c r="J40" i="33"/>
  <c r="J41" i="33"/>
  <c r="J42" i="33"/>
  <c r="J43" i="33"/>
  <c r="J44" i="33"/>
  <c r="J45" i="33"/>
  <c r="J46" i="33"/>
  <c r="J47" i="33"/>
  <c r="J48" i="33"/>
  <c r="J49" i="33"/>
  <c r="J50" i="33"/>
  <c r="J51" i="33"/>
  <c r="J52" i="33"/>
  <c r="J53" i="33"/>
  <c r="J54" i="33"/>
  <c r="J55" i="33"/>
  <c r="J56" i="33"/>
  <c r="J57" i="33"/>
  <c r="K2" i="33"/>
  <c r="K3" i="33"/>
  <c r="K4" i="33"/>
  <c r="K5" i="33"/>
  <c r="K6" i="33"/>
  <c r="K7" i="33"/>
  <c r="K8" i="33"/>
  <c r="K9" i="33"/>
  <c r="K10" i="33"/>
  <c r="K11" i="33"/>
  <c r="K12" i="33"/>
  <c r="K13" i="33"/>
  <c r="K14" i="33"/>
  <c r="K15" i="33"/>
  <c r="K16" i="33"/>
  <c r="K17" i="33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39" i="33"/>
  <c r="K40" i="33"/>
  <c r="K41" i="33"/>
  <c r="K42" i="33"/>
  <c r="K43" i="33"/>
  <c r="K44" i="33"/>
  <c r="K45" i="33"/>
  <c r="K46" i="33"/>
  <c r="K47" i="33"/>
  <c r="K48" i="33"/>
  <c r="K49" i="33"/>
  <c r="K50" i="33"/>
  <c r="K51" i="33"/>
  <c r="K52" i="33"/>
  <c r="K53" i="33"/>
  <c r="K54" i="33"/>
  <c r="K55" i="33"/>
  <c r="K56" i="33"/>
  <c r="K57" i="33"/>
  <c r="I3" i="33"/>
  <c r="I4" i="33"/>
  <c r="I5" i="33"/>
  <c r="I6" i="33"/>
  <c r="I7" i="33"/>
  <c r="I8" i="33"/>
  <c r="I9" i="33"/>
  <c r="I10" i="33"/>
  <c r="I11" i="33"/>
  <c r="I12" i="33"/>
  <c r="I13" i="33"/>
  <c r="I14" i="33"/>
  <c r="I15" i="33"/>
  <c r="I16" i="33"/>
  <c r="I17" i="33"/>
  <c r="I18" i="33"/>
  <c r="I19" i="33"/>
  <c r="I20" i="33"/>
  <c r="I21" i="33"/>
  <c r="I22" i="33"/>
  <c r="I23" i="33"/>
  <c r="I24" i="33"/>
  <c r="I25" i="33"/>
  <c r="I26" i="33"/>
  <c r="I27" i="33"/>
  <c r="I28" i="33"/>
  <c r="I29" i="33"/>
  <c r="I30" i="33"/>
  <c r="I31" i="33"/>
  <c r="I32" i="33"/>
  <c r="I33" i="33"/>
  <c r="I34" i="33"/>
  <c r="I35" i="33"/>
  <c r="I36" i="33"/>
  <c r="I37" i="33"/>
  <c r="I38" i="33"/>
  <c r="I39" i="33"/>
  <c r="I40" i="33"/>
  <c r="I41" i="33"/>
  <c r="I42" i="33"/>
  <c r="I43" i="33"/>
  <c r="I44" i="33"/>
  <c r="I45" i="33"/>
  <c r="I46" i="33"/>
  <c r="I47" i="33"/>
  <c r="I48" i="33"/>
  <c r="I49" i="33"/>
  <c r="I50" i="33"/>
  <c r="I51" i="33"/>
  <c r="I52" i="33"/>
  <c r="I53" i="33"/>
  <c r="I54" i="33"/>
  <c r="I55" i="33"/>
  <c r="I56" i="33"/>
  <c r="I57" i="33"/>
  <c r="I2" i="33"/>
  <c r="J54" i="35"/>
  <c r="I54" i="35"/>
  <c r="H54" i="35"/>
  <c r="G54" i="35"/>
  <c r="F54" i="35"/>
  <c r="E54" i="35"/>
  <c r="D54" i="35"/>
  <c r="Q54" i="35"/>
  <c r="O54" i="35"/>
  <c r="L54" i="35"/>
  <c r="I59" i="33" l="1"/>
  <c r="K59" i="33"/>
  <c r="I58" i="33"/>
  <c r="K58" i="33"/>
  <c r="S2" i="35"/>
  <c r="S3" i="35"/>
  <c r="S4" i="35"/>
  <c r="S5" i="35"/>
  <c r="S6" i="35"/>
  <c r="S7" i="35"/>
  <c r="S8" i="35"/>
  <c r="S9" i="35"/>
  <c r="S10" i="35"/>
  <c r="S11" i="35"/>
  <c r="S12" i="35"/>
  <c r="S13" i="35"/>
  <c r="S14" i="35"/>
  <c r="S15" i="35"/>
  <c r="S16" i="35"/>
  <c r="S17" i="35"/>
  <c r="S18" i="35"/>
  <c r="S19" i="35"/>
  <c r="S20" i="35"/>
  <c r="S21" i="35"/>
  <c r="S22" i="35"/>
  <c r="S23" i="35"/>
  <c r="S24" i="35"/>
  <c r="S25" i="35"/>
  <c r="S26" i="35"/>
  <c r="S27" i="35"/>
  <c r="S28" i="35"/>
  <c r="S29" i="35"/>
  <c r="S30" i="35"/>
  <c r="S31" i="35"/>
  <c r="S32" i="35"/>
  <c r="S33" i="35"/>
  <c r="S34" i="35"/>
  <c r="S35" i="35"/>
  <c r="S36" i="35"/>
  <c r="S37" i="35"/>
  <c r="S38" i="35"/>
  <c r="S39" i="35"/>
  <c r="S40" i="35"/>
  <c r="S41" i="35"/>
  <c r="S42" i="35"/>
  <c r="S43" i="35"/>
  <c r="S44" i="35"/>
  <c r="S45" i="35"/>
  <c r="S46" i="35"/>
  <c r="S47" i="35"/>
  <c r="S48" i="35"/>
  <c r="S49" i="35"/>
  <c r="S50" i="35"/>
  <c r="S51" i="35"/>
  <c r="S52" i="35"/>
  <c r="S53" i="35"/>
  <c r="R2" i="35"/>
  <c r="R3" i="35"/>
  <c r="R4" i="35"/>
  <c r="R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P2" i="35"/>
  <c r="P3" i="35"/>
  <c r="P4" i="35"/>
  <c r="P5" i="35"/>
  <c r="P6" i="35"/>
  <c r="P7" i="35"/>
  <c r="P8" i="35"/>
  <c r="P9" i="35"/>
  <c r="P10" i="35"/>
  <c r="P11" i="35"/>
  <c r="P12" i="35"/>
  <c r="P13" i="35"/>
  <c r="P14" i="35"/>
  <c r="P15" i="35"/>
  <c r="P16" i="35"/>
  <c r="P17" i="35"/>
  <c r="P18" i="35"/>
  <c r="P19" i="35"/>
  <c r="P20" i="35"/>
  <c r="P21" i="35"/>
  <c r="P22" i="35"/>
  <c r="P23" i="35"/>
  <c r="P24" i="35"/>
  <c r="P25" i="35"/>
  <c r="P26" i="35"/>
  <c r="P27" i="35"/>
  <c r="P28" i="35"/>
  <c r="P29" i="35"/>
  <c r="P30" i="35"/>
  <c r="P31" i="35"/>
  <c r="P32" i="35"/>
  <c r="P33" i="35"/>
  <c r="P34" i="35"/>
  <c r="P35" i="35"/>
  <c r="P36" i="35"/>
  <c r="P37" i="35"/>
  <c r="P38" i="35"/>
  <c r="P39" i="35"/>
  <c r="P40" i="35"/>
  <c r="P41" i="35"/>
  <c r="P42" i="35"/>
  <c r="P43" i="35"/>
  <c r="P44" i="35"/>
  <c r="P45" i="35"/>
  <c r="P46" i="35"/>
  <c r="P47" i="35"/>
  <c r="P48" i="35"/>
  <c r="P49" i="35"/>
  <c r="P50" i="35"/>
  <c r="P51" i="35"/>
  <c r="P52" i="35"/>
  <c r="P53" i="35"/>
  <c r="N2" i="35"/>
  <c r="N3" i="35"/>
  <c r="N4" i="35"/>
  <c r="N5" i="35"/>
  <c r="N6" i="35"/>
  <c r="N7" i="35"/>
  <c r="N8" i="35"/>
  <c r="N9" i="35"/>
  <c r="N10" i="35"/>
  <c r="N11" i="35"/>
  <c r="N12" i="35"/>
  <c r="N13" i="35"/>
  <c r="N14" i="35"/>
  <c r="N15" i="35"/>
  <c r="N16" i="35"/>
  <c r="N17" i="35"/>
  <c r="N18" i="35"/>
  <c r="N19" i="35"/>
  <c r="N20" i="35"/>
  <c r="N21" i="35"/>
  <c r="N22" i="35"/>
  <c r="N23" i="35"/>
  <c r="N24" i="35"/>
  <c r="N25" i="35"/>
  <c r="N26" i="35"/>
  <c r="N27" i="35"/>
  <c r="N28" i="35"/>
  <c r="N29" i="35"/>
  <c r="N30" i="35"/>
  <c r="N31" i="35"/>
  <c r="N32" i="35"/>
  <c r="N33" i="35"/>
  <c r="N34" i="35"/>
  <c r="N35" i="35"/>
  <c r="N36" i="35"/>
  <c r="N37" i="35"/>
  <c r="N38" i="35"/>
  <c r="N39" i="35"/>
  <c r="N40" i="35"/>
  <c r="N41" i="35"/>
  <c r="N42" i="35"/>
  <c r="N43" i="35"/>
  <c r="N44" i="35"/>
  <c r="N45" i="35"/>
  <c r="N46" i="35"/>
  <c r="N47" i="35"/>
  <c r="N48" i="35"/>
  <c r="N49" i="35"/>
  <c r="N50" i="35"/>
  <c r="N51" i="35"/>
  <c r="N52" i="35"/>
  <c r="N53" i="35"/>
  <c r="M2" i="35"/>
  <c r="M3" i="35"/>
  <c r="M4" i="35"/>
  <c r="M5" i="35"/>
  <c r="M6" i="35"/>
  <c r="M7" i="35"/>
  <c r="M8" i="35"/>
  <c r="M9" i="35"/>
  <c r="M10" i="35"/>
  <c r="M11" i="35"/>
  <c r="M12" i="35"/>
  <c r="M13" i="35"/>
  <c r="M14" i="35"/>
  <c r="M15" i="35"/>
  <c r="M16" i="35"/>
  <c r="M17" i="35"/>
  <c r="M18" i="35"/>
  <c r="M19" i="35"/>
  <c r="M20" i="35"/>
  <c r="M21" i="35"/>
  <c r="M22" i="35"/>
  <c r="M23" i="35"/>
  <c r="M24" i="35"/>
  <c r="M25" i="35"/>
  <c r="M26" i="35"/>
  <c r="M27" i="35"/>
  <c r="M28" i="35"/>
  <c r="M29" i="35"/>
  <c r="M30" i="35"/>
  <c r="M31" i="35"/>
  <c r="M32" i="35"/>
  <c r="M33" i="35"/>
  <c r="M34" i="35"/>
  <c r="M35" i="35"/>
  <c r="M36" i="35"/>
  <c r="M37" i="35"/>
  <c r="M38" i="35"/>
  <c r="M39" i="35"/>
  <c r="M40" i="35"/>
  <c r="M41" i="35"/>
  <c r="M42" i="35"/>
  <c r="M43" i="35"/>
  <c r="M44" i="35"/>
  <c r="M45" i="35"/>
  <c r="M46" i="35"/>
  <c r="M47" i="35"/>
  <c r="M48" i="35"/>
  <c r="M49" i="35"/>
  <c r="M50" i="35"/>
  <c r="M51" i="35"/>
  <c r="M52" i="35"/>
  <c r="M53" i="35"/>
  <c r="R54" i="35" l="1"/>
  <c r="P54" i="35"/>
  <c r="S54" i="35"/>
  <c r="N54" i="35"/>
  <c r="M54" i="35"/>
  <c r="K2" i="35"/>
  <c r="K3" i="35"/>
  <c r="K4" i="35"/>
  <c r="K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43" i="35"/>
  <c r="K44" i="35"/>
  <c r="K45" i="35"/>
  <c r="K46" i="35"/>
  <c r="K47" i="35"/>
  <c r="K48" i="35"/>
  <c r="K49" i="35"/>
  <c r="K50" i="35"/>
  <c r="K51" i="35"/>
  <c r="K52" i="35"/>
  <c r="K53" i="35"/>
  <c r="E8" i="2" l="1"/>
  <c r="F8" i="2" l="1"/>
  <c r="F9" i="2"/>
  <c r="F10" i="2"/>
  <c r="F11" i="2"/>
  <c r="E11" i="2" l="1"/>
  <c r="F5" i="2" l="1"/>
  <c r="F6" i="2"/>
  <c r="F7" i="2"/>
  <c r="E9" i="2"/>
  <c r="E10" i="2"/>
  <c r="E7" i="2" l="1"/>
  <c r="E6" i="2"/>
  <c r="E5" i="2"/>
  <c r="G13" i="2" l="1"/>
  <c r="G12" i="2" l="1"/>
  <c r="H5" i="2"/>
  <c r="H6" i="2"/>
  <c r="H7" i="2"/>
  <c r="H8" i="2"/>
  <c r="H9" i="2"/>
  <c r="H10" i="2"/>
  <c r="H11" i="2"/>
  <c r="D13" i="2" l="1"/>
  <c r="H13" i="2" s="1"/>
  <c r="D12" i="2" l="1"/>
  <c r="H12" i="2" s="1"/>
  <c r="B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2AE9E2-86E5-47E5-95AF-AD28CFFE3862}" keepAlive="1" name="Query - _TBL_INVENTORY" description="Connection to the '_TBL_INVENTORY' query in the workbook." type="5" refreshedVersion="6" background="1" refreshOnLoad="1">
    <dbPr connection="Provider=Microsoft.Mashup.OleDb.1;Data Source=$Workbook$;Location=_TBL_INVENTORY;Extended Properties=&quot;&quot;" command="SELECT * FROM [_TBL_INVENTORY]"/>
  </connection>
  <connection id="2" xr16:uid="{94EA6E8F-22EA-406B-8D98-629B42D5493F}" keepAlive="1" name="Query - _TBL_INVENTORY_IN" description="Connection to the '_TBL_INVENTORY_IN' query in the workbook." type="5" refreshedVersion="6" background="1" refreshOnLoad="1">
    <dbPr connection="Provider=Microsoft.Mashup.OleDb.1;Data Source=$Workbook$;Location=_TBL_INVENTORY_IN;Extended Properties=&quot;&quot;" command="SELECT * FROM [_TBL_INVENTORY_IN]"/>
  </connection>
  <connection id="3" xr16:uid="{71077B45-6645-4B2A-B566-97906E4FBAAD}" keepAlive="1" name="Query - _TBL_PRODUCT" description="Connection to the '_TBL_PRODUCT' query in the workbook." type="5" refreshedVersion="6" background="1" refreshOnLoad="1">
    <dbPr connection="Provider=Microsoft.Mashup.OleDb.1;Data Source=$Workbook$;Location=_TBL_PRODUCT;Extended Properties=&quot;&quot;" command="SELECT * FROM [_TBL_PRODUCT]"/>
  </connection>
  <connection id="4" xr16:uid="{4DFBC01F-9BBC-427A-996C-A7DD92C03697}" keepAlive="1" name="Query - LAPTOP_INVENTORY" description="Connection to the 'LAPTOP_INVENTORY' query in the workbook." type="5" refreshedVersion="6" background="1" refreshOnLoad="1">
    <dbPr connection="Provider=Microsoft.Mashup.OleDb.1;Data Source=$Workbook$;Location=LAPTOP_INVENTORY;Extended Properties=&quot;&quot;" command="SELECT * FROM [LAPTOP_INVENTORY]"/>
  </connection>
  <connection id="5" xr16:uid="{CA383302-C487-4FCB-A288-E426E719A26B}" keepAlive="1" name="Query - LAPTOP_PRODUCTION" description="Connection to the 'LAPTOP_PRODUCTION' query in the workbook." type="5" refreshedVersion="6" background="1" saveData="1">
    <dbPr connection="Provider=Microsoft.Mashup.OleDb.1;Data Source=$Workbook$;Location=LAPTOP_PRODUCTION;Extended Properties=&quot;&quot;" command="SELECT * FROM [LAPTOP_PRODUCTION]"/>
  </connection>
  <connection id="6" xr16:uid="{9474C3DD-6F50-449A-90CA-71A5FA6A2F69}" keepAlive="1" name="Query - PC_INVENTORY" description="Connection to the 'PC_INVENTORY' query in the workbook." type="5" refreshedVersion="6" background="1" refreshOnLoad="1">
    <dbPr connection="Provider=Microsoft.Mashup.OleDb.1;Data Source=$Workbook$;Location=PC_INVENTORY;Extended Properties=&quot;&quot;" command="SELECT * FROM [PC_INVENTORY]"/>
  </connection>
  <connection id="7" xr16:uid="{EE00C2A9-6801-493A-94D0-411FAC44AD7A}" keepAlive="1" name="Query - PRINTER_INVENTORY" description="Connection to the 'PRINTER_INVENTORY' query in the workbook." type="5" refreshedVersion="6" background="1" refreshOnLoad="1">
    <dbPr connection="Provider=Microsoft.Mashup.OleDb.1;Data Source=$Workbook$;Location=PRINTER_INVENTORY;Extended Properties=&quot;&quot;" command="SELECT * FROM [PRINTER_INVENTORY]"/>
  </connection>
  <connection id="8" xr16:uid="{278071D3-CD54-45E5-BDD2-56D6FC4FEC3A}" keepAlive="1" name="Query - SALES_REPORT" description="Connection to the 'SALES_REPORT' query in the workbook." type="5" refreshedVersion="6" background="1" refreshOnLoad="1">
    <dbPr connection="Provider=Microsoft.Mashup.OleDb.1;Data Source=$Workbook$;Location=SALES_REPORT;Extended Properties=&quot;&quot;" command="SELECT * FROM [SALES_REPORT]"/>
  </connection>
  <connection id="9" xr16:uid="{25BCE4E8-1C38-429D-947B-9A212A1C5A87}" keepAlive="1" name="Query - STOCKS_OFFICE_2" description="Connection to the 'STOCKS_OFFICE_2' query in the workbook." type="5" refreshedVersion="6" background="1" refreshOnLoad="1">
    <dbPr connection="Provider=Microsoft.Mashup.OleDb.1;Data Source=$Workbook$;Location=STOCKS_OFFICE_2;Extended Properties=&quot;&quot;" command="SELECT * FROM [STOCKS_OFFICE_2]"/>
  </connection>
</connections>
</file>

<file path=xl/sharedStrings.xml><?xml version="1.0" encoding="utf-8"?>
<sst xmlns="http://schemas.openxmlformats.org/spreadsheetml/2006/main" count="642" uniqueCount="121">
  <si>
    <t>DATE</t>
  </si>
  <si>
    <t>INVENTORY ITEM</t>
  </si>
  <si>
    <t>IN</t>
  </si>
  <si>
    <t>REMARKS</t>
  </si>
  <si>
    <t>ABSOLUTE TOTAL:</t>
  </si>
  <si>
    <t>INVENTORY</t>
  </si>
  <si>
    <t>COST TOTAL</t>
  </si>
  <si>
    <t>COST PER PIECE</t>
  </si>
  <si>
    <t>TOTAL:</t>
  </si>
  <si>
    <t>INVENTORY IN</t>
  </si>
  <si>
    <t>ID</t>
  </si>
  <si>
    <t>DELL REGULAR 2 / 16</t>
  </si>
  <si>
    <t>DELL REGULAR 4 / 16</t>
  </si>
  <si>
    <t>DELL REGULAR 4 / 32</t>
  </si>
  <si>
    <t>HP REGULAR 4 / 16</t>
  </si>
  <si>
    <t>HP REGULAR 4 / 32</t>
  </si>
  <si>
    <t>CTL REGULAR 4 / 16</t>
  </si>
  <si>
    <t>LENOVO REGULAR 4 / 16</t>
  </si>
  <si>
    <t>LENOVO REGULAR 4 / 32</t>
  </si>
  <si>
    <t>HP TOUCHSCREEN 4 / 16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</si>
  <si>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</si>
  <si>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</si>
  <si>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</si>
  <si>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</si>
  <si>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</si>
  <si>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</si>
  <si>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</si>
  <si>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</si>
  <si>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</si>
  <si>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16</t>
  </si>
  <si>
    <t>HP 14' 4 / 32</t>
  </si>
  <si>
    <t>HP 14' 4 / 64</t>
  </si>
  <si>
    <t>HP 14' 8 / 32</t>
  </si>
  <si>
    <t>ACER 14' 2 / 16</t>
  </si>
  <si>
    <t>ACER 14' 4 / 16</t>
  </si>
  <si>
    <t>ASUS 14' 2 / 16</t>
  </si>
  <si>
    <t>LENOVO 14' 4 / 16</t>
  </si>
  <si>
    <t>DELL TOUCH &amp; FLIP 4 / 16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</si>
  <si>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</si>
  <si>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</si>
  <si>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</si>
  <si>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</si>
  <si>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</si>
  <si>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</si>
  <si>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</si>
  <si>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</si>
  <si>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</si>
  <si>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</si>
  <si>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</si>
  <si>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</si>
  <si>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 Intel i5</t>
  </si>
  <si>
    <t>Fujitsu</t>
  </si>
  <si>
    <t>DELL Intel i3</t>
  </si>
  <si>
    <t>DELL Intel i5</t>
  </si>
  <si>
    <t>DELL Intel i7</t>
  </si>
  <si>
    <t>Avgo</t>
  </si>
  <si>
    <t>Toshiba</t>
  </si>
  <si>
    <t>LENOVO Intel i3</t>
  </si>
  <si>
    <t>LENOVO Intel i5</t>
  </si>
  <si>
    <t>Nec</t>
  </si>
  <si>
    <t>NAME</t>
  </si>
  <si>
    <t>TYPE</t>
  </si>
  <si>
    <t>Laptop</t>
  </si>
  <si>
    <t>ACER REGULAR 4 / 16</t>
  </si>
  <si>
    <t>ASUS REGULAR 4 / 16</t>
  </si>
  <si>
    <t>ASUS REGULAR 4 / 32</t>
  </si>
  <si>
    <t>BACKJOB</t>
  </si>
  <si>
    <t>TOTAL IN</t>
  </si>
  <si>
    <t>CURRENT STOCKS</t>
  </si>
  <si>
    <t>CHROME OS</t>
  </si>
  <si>
    <t>WINDOWS</t>
  </si>
  <si>
    <t>ON PROCESS</t>
  </si>
  <si>
    <t>TOTAL OUT</t>
  </si>
  <si>
    <t>IS VALID</t>
  </si>
  <si>
    <t>Column7</t>
  </si>
  <si>
    <t>PC</t>
  </si>
  <si>
    <t>TOTAL IN COST</t>
  </si>
  <si>
    <t>CURRENT STOCK COST</t>
  </si>
  <si>
    <t>COST /PCS</t>
  </si>
  <si>
    <t>CHROMEOS PRICE /PCS</t>
  </si>
  <si>
    <t>WINDOWS PRICE /PCS</t>
  </si>
  <si>
    <t>TOTAL CHROMEOS PRICE</t>
  </si>
  <si>
    <t>TOTAL WINDOWS PRICE</t>
  </si>
  <si>
    <t>BACKJOP COST</t>
  </si>
  <si>
    <t>BACKJOB COST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</si>
  <si>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</si>
  <si>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</si>
  <si>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</si>
  <si>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</si>
  <si>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</si>
  <si>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</si>
  <si>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</si>
  <si>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</si>
  <si>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</si>
  <si>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</si>
  <si>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</si>
  <si>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</si>
  <si>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</t>
  </si>
  <si>
    <t>YEAR</t>
  </si>
  <si>
    <t>TOTAL BOUGHT</t>
  </si>
  <si>
    <t>LAPTOP</t>
  </si>
  <si>
    <t>FREEBIES</t>
  </si>
  <si>
    <t>ADD ONS</t>
  </si>
  <si>
    <t>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</si>
  <si>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</si>
  <si>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</si>
  <si>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</si>
  <si>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</si>
  <si>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</si>
  <si>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</si>
  <si>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</si>
  <si>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</si>
  <si>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</si>
  <si>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</si>
  <si>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</si>
  <si>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</si>
  <si>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</si>
  <si>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Month</t>
  </si>
  <si>
    <t>Start Date</t>
  </si>
  <si>
    <t>End Date</t>
  </si>
  <si>
    <t>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</si>
</sst>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₱&quot;* #,##0.00_-;\-&quot;₱&quot;* #,##0.00_-;_-&quot;₱&quot;* &quot;-&quot;??_-;_-@_-"/>
    <numFmt numFmtId="165" formatCode="_-[$₱-3409]* #,##0.00_-;\-[$₱-3409]* #,##0.00_-;_-[$₱-3409]* &quot;-&quot;??_-;_-@_-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3F3F3F"/>
      <name val="Arial"/>
      <family val="2"/>
    </font>
    <font>
      <sz val="11"/>
      <color rgb="FF006100"/>
      <name val="Arial"/>
      <family val="2"/>
    </font>
    <font>
      <sz val="11"/>
      <color rgb="FF9C5700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2" tint="-0.49998474074526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10" applyNumberFormat="0" applyAlignment="0" applyProtection="0"/>
    <xf numFmtId="0" fontId="3" fillId="5" borderId="0" applyNumberFormat="0" applyBorder="0" applyAlignment="0" applyProtection="0"/>
  </cellStyleXfs>
  <cellXfs count="6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right"/>
    </xf>
    <xf numFmtId="1" fontId="1" fillId="0" borderId="0" xfId="0" applyNumberFormat="1" applyFont="1"/>
    <xf numFmtId="14" fontId="0" fillId="0" borderId="0" xfId="0" applyNumberFormat="1"/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right"/>
    </xf>
    <xf numFmtId="0" fontId="1" fillId="0" borderId="0" xfId="0" applyFont="1"/>
    <xf numFmtId="165" fontId="1" fillId="0" borderId="0" xfId="0" applyNumberFormat="1" applyFont="1"/>
    <xf numFmtId="164" fontId="1" fillId="0" borderId="0" xfId="0" applyNumberFormat="1" applyFont="1" applyAlignment="1">
      <alignment horizontal="center"/>
    </xf>
    <xf numFmtId="164" fontId="1" fillId="0" borderId="0" xfId="0" applyNumberFormat="1" applyFont="1"/>
    <xf numFmtId="0" fontId="0" fillId="0" borderId="0" xfId="0" applyNumberFormat="1"/>
    <xf numFmtId="1" fontId="0" fillId="0" borderId="0" xfId="0" applyNumberFormat="1" applyAlignment="1">
      <alignment horizontal="left"/>
    </xf>
    <xf numFmtId="1" fontId="0" fillId="0" borderId="0" xfId="0" applyNumberFormat="1"/>
    <xf numFmtId="14" fontId="1" fillId="0" borderId="1" xfId="0" applyNumberFormat="1" applyFon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4" fontId="1" fillId="0" borderId="3" xfId="0" applyNumberFormat="1" applyFon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4" fontId="1" fillId="0" borderId="5" xfId="0" applyNumberFormat="1" applyFon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164" fontId="7" fillId="0" borderId="0" xfId="0" applyNumberFormat="1" applyFont="1"/>
    <xf numFmtId="164" fontId="8" fillId="0" borderId="0" xfId="0" applyNumberFormat="1" applyFont="1"/>
    <xf numFmtId="0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164" fontId="10" fillId="2" borderId="0" xfId="1" applyNumberFormat="1" applyFont="1" applyAlignment="1">
      <alignment vertical="center"/>
    </xf>
    <xf numFmtId="164" fontId="7" fillId="0" borderId="0" xfId="0" applyNumberFormat="1" applyFont="1" applyAlignment="1">
      <alignment vertical="center"/>
    </xf>
    <xf numFmtId="164" fontId="8" fillId="0" borderId="0" xfId="0" applyNumberFormat="1" applyFont="1" applyAlignment="1">
      <alignment vertical="center"/>
    </xf>
    <xf numFmtId="164" fontId="11" fillId="3" borderId="0" xfId="2" applyNumberFormat="1" applyFont="1" applyAlignment="1">
      <alignment vertical="center"/>
    </xf>
    <xf numFmtId="164" fontId="7" fillId="5" borderId="0" xfId="4" applyNumberFormat="1" applyFont="1" applyAlignment="1">
      <alignment vertical="center"/>
    </xf>
    <xf numFmtId="0" fontId="7" fillId="0" borderId="0" xfId="0" applyNumberFormat="1" applyFont="1" applyAlignment="1">
      <alignment horizontal="center" vertical="center"/>
    </xf>
    <xf numFmtId="0" fontId="9" fillId="4" borderId="10" xfId="3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12" fillId="6" borderId="0" xfId="0" applyFont="1" applyFill="1" applyAlignment="1">
      <alignment vertical="center"/>
    </xf>
    <xf numFmtId="0" fontId="12" fillId="6" borderId="0" xfId="0" applyFont="1" applyFill="1" applyAlignment="1">
      <alignment horizontal="left" vertical="center"/>
    </xf>
    <xf numFmtId="0" fontId="13" fillId="6" borderId="0" xfId="0" applyFont="1" applyFill="1" applyAlignment="1">
      <alignment vertical="center"/>
    </xf>
    <xf numFmtId="0" fontId="7" fillId="0" borderId="0" xfId="0" applyNumberFormat="1" applyFont="1"/>
    <xf numFmtId="0" fontId="12" fillId="6" borderId="0" xfId="0" applyFont="1" applyFill="1"/>
    <xf numFmtId="0" fontId="12" fillId="6" borderId="0" xfId="0" applyFont="1" applyFill="1" applyAlignment="1">
      <alignment horizontal="center"/>
    </xf>
    <xf numFmtId="14" fontId="7" fillId="0" borderId="0" xfId="0" applyNumberFormat="1" applyFont="1"/>
    <xf numFmtId="14" fontId="12" fillId="6" borderId="0" xfId="0" applyNumberFormat="1" applyFont="1" applyFill="1"/>
    <xf numFmtId="164" fontId="12" fillId="6" borderId="0" xfId="0" applyNumberFormat="1" applyFont="1" applyFill="1"/>
    <xf numFmtId="164" fontId="10" fillId="2" borderId="0" xfId="1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</cellXfs>
  <cellStyles count="5">
    <cellStyle name="40% - Accent1" xfId="4" builtinId="31"/>
    <cellStyle name="Good" xfId="1" builtinId="26"/>
    <cellStyle name="Neutral" xfId="2" builtinId="28"/>
    <cellStyle name="Normal" xfId="0" builtinId="0"/>
    <cellStyle name="Output" xfId="3" builtinId="21"/>
  </cellStyles>
  <dxfs count="1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_-&quot;₱&quot;* #,##0.00_-;\-&quot;₱&quot;* #,##0.00_-;_-&quot;₱&quot;* &quot;-&quot;??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_-&quot;₱&quot;* #,##0.00_-;\-&quot;₱&quot;* #,##0.00_-;_-&quot;₱&quot;* &quot;-&quot;??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_-&quot;₱&quot;* #,##0.00_-;\-&quot;₱&quot;* #,##0.00_-;_-&quot;₱&quot;* &quot;-&quot;??_-;_-@_-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_-&quot;₱&quot;* #,##0.00_-;\-&quot;₱&quot;* #,##0.00_-;_-&quot;₱&quot;* &quot;-&quot;??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_-&quot;₱&quot;* #,##0.00_-;\-&quot;₱&quot;* #,##0.00_-;_-&quot;₱&quot;* &quot;-&quot;??_-;_-@_-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_-&quot;₱&quot;* #,##0.00_-;\-&quot;₱&quot;* #,##0.00_-;_-&quot;₱&quot;* &quot;-&quot;??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_-&quot;₱&quot;* #,##0.00_-;\-&quot;₱&quot;* #,##0.00_-;_-&quot;₱&quot;* &quot;-&quot;??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_-&quot;₱&quot;* #,##0.00_-;\-&quot;₱&quot;* #,##0.00_-;_-&quot;₱&quot;* &quot;-&quot;??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_-&quot;₱&quot;* #,##0.00_-;\-&quot;₱&quot;* #,##0.00_-;_-&quot;₱&quot;* &quot;-&quot;??_-;_-@_-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_-&quot;₱&quot;* #,##0.00_-;\-&quot;₱&quot;* #,##0.00_-;_-&quot;₱&quot;* &quot;-&quot;??_-;_-@_-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_-&quot;₱&quot;* #,##0.00_-;\-&quot;₱&quot;* #,##0.00_-;_-&quot;₱&quot;* &quot;-&quot;??_-;_-@_-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_-&quot;₱&quot;* #,##0.00_-;\-&quot;₱&quot;* #,##0.00_-;_-&quot;₱&quot;* &quot;-&quot;??_-;_-@_-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_-&quot;₱&quot;* #,##0.00_-;\-&quot;₱&quot;* #,##0.00_-;_-&quot;₱&quot;* &quot;-&quot;??_-;_-@_-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_-&quot;₱&quot;* #,##0.00_-;\-&quot;₱&quot;* #,##0.00_-;_-&quot;₱&quot;* &quot;-&quot;??_-;_-@_-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_-&quot;₱&quot;* #,##0.00_-;\-&quot;₱&quot;* #,##0.00_-;_-&quot;₱&quot;* &quot;-&quot;??_-;_-@_-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_-&quot;₱&quot;* #,##0.00_-;\-&quot;₱&quot;* #,##0.00_-;_-&quot;₱&quot;* &quot;-&quot;??_-;_-@_-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solid">
          <fgColor indexed="64"/>
          <bgColor theme="2" tint="-0.499984740745262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4" formatCode="_-&quot;₱&quot;* #,##0.00_-;\-&quot;₱&quot;* #,##0.00_-;_-&quot;₱&quot;* &quot;-&quot;??_-;_-@_-"/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4" formatCode="_-&quot;₱&quot;* #,##0.00_-;\-&quot;₱&quot;* #,##0.00_-;_-&quot;₱&quot;* &quot;-&quot;??_-;_-@_-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4" formatCode="_-&quot;₱&quot;* #,##0.00_-;\-&quot;₱&quot;* #,##0.00_-;_-&quot;₱&quot;* &quot;-&quot;??_-;_-@_-"/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4" formatCode="_-&quot;₱&quot;* #,##0.00_-;\-&quot;₱&quot;* #,##0.00_-;_-&quot;₱&quot;* &quot;-&quot;??_-;_-@_-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4" formatCode="_-&quot;₱&quot;* #,##0.00_-;\-&quot;₱&quot;* #,##0.00_-;_-&quot;₱&quot;* &quot;-&quot;??_-;_-@_-"/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4" formatCode="_-&quot;₱&quot;* #,##0.00_-;\-&quot;₱&quot;* #,##0.00_-;_-&quot;₱&quot;* &quot;-&quot;??_-;_-@_-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4" formatCode="_-&quot;₱&quot;* #,##0.00_-;\-&quot;₱&quot;* #,##0.00_-;_-&quot;₱&quot;* &quot;-&quot;??_-;_-@_-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4" formatCode="_-&quot;₱&quot;* #,##0.00_-;\-&quot;₱&quot;* #,##0.00_-;_-&quot;₱&quot;* &quot;-&quot;??_-;_-@_-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font>
        <b/>
      </font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Light18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2" xr16:uid="{50A4F75F-7963-4432-A8F0-F5654D73FD5A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INVENTORY ITEM" tableColumnId="2"/>
      <queryTableField id="3" name="TYPE" tableColumnId="3"/>
      <queryTableField id="4" name="IN" tableColumnId="4"/>
      <queryTableField id="5" name="REMARKS" tableColumnId="5"/>
      <queryTableField id="6" name="BOX ID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removeDataOnSave="1" connectionId="3" xr16:uid="{B44CC440-E367-450D-955A-8596FCCF2B7F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1" xr16:uid="{81D89F73-7293-419F-A83E-61869DECCA6E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removeDataOnSave="1" connectionId="6" xr16:uid="{CB0F453E-FD02-464E-9606-1713EAD1287E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INVENTORY ITEM" tableColumnId="2"/>
      <queryTableField id="3" name="IN" tableColumnId="3"/>
      <queryTableField id="4" name="OUT" tableColumnId="4"/>
      <queryTableField id="5" name="TOTAL" tableColumnId="5"/>
      <queryTableField id="6" name="BACKJOB" tableColumnId="6"/>
      <queryTableField id="7" name="REMARKS" tableColumnId="7"/>
      <queryTableField id="8" name="BOX ID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4" xr16:uid="{79839DF1-724C-4744-BCDD-D36113ACCB94}" autoFormatId="16" applyNumberFormats="0" applyBorderFormats="0" applyFontFormats="0" applyPatternFormats="0" applyAlignmentFormats="0" applyWidthHeightFormats="0">
  <queryTableRefresh nextId="11">
    <queryTableFields count="3">
      <queryTableField id="2" name="INVENTORY ITEM" tableColumnId="2"/>
      <queryTableField id="9" name="TOTAL IN" tableColumnId="1"/>
      <queryTableField id="10" name="TOTAL OUT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7" xr16:uid="{E6FF17AF-6D44-43CC-9A71-90DFEC5F0148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INVENTORY ITEM" tableColumnId="2"/>
      <queryTableField id="3" name="IN" tableColumnId="3"/>
      <queryTableField id="4" name="OUT" tableColumnId="4"/>
      <queryTableField id="5" name="TOTAL" tableColumnId="5"/>
      <queryTableField id="6" name="BACKJOB" tableColumnId="6"/>
      <queryTableField id="7" name="REMARKS" tableColumnId="7"/>
      <queryTableField id="8" name="BOX ID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F3B86B99-0DA1-47E7-908F-801EFF71A698}" autoFormatId="16" applyNumberFormats="0" applyBorderFormats="0" applyFontFormats="0" applyPatternFormats="0" applyAlignmentFormats="0" applyWidthHeightFormats="0">
  <queryTableRefresh nextId="25" unboundColumnsRight="9">
    <queryTableFields count="19">
      <queryTableField id="1" name="ID" tableColumnId="1"/>
      <queryTableField id="2" name="NAME" tableColumnId="2"/>
      <queryTableField id="11" name="TYPE" tableColumnId="10"/>
      <queryTableField id="4" name="TOTAL IN" tableColumnId="4"/>
      <queryTableField id="14" name="TOTAL OUT" tableColumnId="12"/>
      <queryTableField id="5" name="CURRENT STOCKS" tableColumnId="5"/>
      <queryTableField id="9" name="ON PROCESS" tableColumnId="9"/>
      <queryTableField id="6" name="CHROME OS" tableColumnId="6"/>
      <queryTableField id="7" name="WINDOWS" tableColumnId="7"/>
      <queryTableField id="12" name="BACKJOB" tableColumnId="11"/>
      <queryTableField id="16" dataBound="0" tableColumnId="13"/>
      <queryTableField id="17" dataBound="0" tableColumnId="3"/>
      <queryTableField id="18" dataBound="0" tableColumnId="8"/>
      <queryTableField id="19" dataBound="0" tableColumnId="14"/>
      <queryTableField id="20" dataBound="0" tableColumnId="15"/>
      <queryTableField id="22" dataBound="0" tableColumnId="18"/>
      <queryTableField id="21" dataBound="0" tableColumnId="16"/>
      <queryTableField id="23" dataBound="0" tableColumnId="19"/>
      <queryTableField id="24" dataBound="0" tableColumnId="2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9" xr16:uid="{ADC6B4A3-CA8E-427B-A485-466E14937F77}" autoFormatId="16" applyNumberFormats="0" applyBorderFormats="0" applyFontFormats="0" applyPatternFormats="0" applyAlignmentFormats="0" applyWidthHeightFormats="0">
  <queryTableRefresh nextId="17" unboundColumnsRight="4">
    <queryTableFields count="11">
      <queryTableField id="1" name="ID" tableColumnId="1"/>
      <queryTableField id="2" name="NAME" tableColumnId="2"/>
      <queryTableField id="3" name="TYPE" tableColumnId="3"/>
      <queryTableField id="8" name="TOTAL IN" tableColumnId="8"/>
      <queryTableField id="11" name="TOTAL OUT" tableColumnId="4"/>
      <queryTableField id="9" name="CURRENT STOCKS" tableColumnId="9"/>
      <queryTableField id="10" name="BACKJOB" tableColumnId="10"/>
      <queryTableField id="13" dataBound="0" tableColumnId="5"/>
      <queryTableField id="14" dataBound="0" tableColumnId="6"/>
      <queryTableField id="15" dataBound="0" tableColumnId="7"/>
      <queryTableField id="16" dataBound="0" tableColumnId="1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removeDataOnSave="1" connectionId="8" xr16:uid="{69EE26E0-41F4-4E74-958E-18451A2161B8}" autoFormatId="16" applyNumberFormats="0" applyBorderFormats="0" applyFontFormats="0" applyPatternFormats="0" applyAlignmentFormats="0" applyWidthHeightFormats="0">
  <queryTableRefresh nextId="33">
    <queryTableFields count="20">
      <queryTableField id="1" name="DATE" tableColumnId="1"/>
      <queryTableField id="2" name="MAIN PRODUCT" tableColumnId="2"/>
      <queryTableField id="3" name="SOURCE" tableColumnId="3"/>
      <queryTableField id="4" name="PRICE DEFAULT" tableColumnId="4"/>
      <queryTableField id="19" name="Add Ons Cost" tableColumnId="19"/>
      <queryTableField id="6" name="TOTAL PAYMEMT" tableColumnId="6"/>
      <queryTableField id="31" name="Add Ons SET" tableColumnId="20"/>
      <queryTableField id="7" name="CASH" tableColumnId="7"/>
      <queryTableField id="8" name="GCASH/BANK" tableColumnId="8"/>
      <queryTableField id="9" name="DOWNPAYMENT" tableColumnId="9"/>
      <queryTableField id="10" name="BALANCE" tableColumnId="10"/>
      <queryTableField id="11" name="SHIPPING FEE" tableColumnId="11"/>
      <queryTableField id="12" name="Delivered" tableColumnId="12"/>
      <queryTableField id="13" name="Claimed" tableColumnId="13"/>
      <queryTableField id="14" name="Deposited" tableColumnId="14"/>
      <queryTableField id="15" name="RECEIVABLE" tableColumnId="15"/>
      <queryTableField id="5" name="Add Ons 1" tableColumnId="5"/>
      <queryTableField id="16" name="Add Ons 2" tableColumnId="16"/>
      <queryTableField id="17" name="Add Ons 3" tableColumnId="17"/>
      <queryTableField id="18" name="Freebies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E5DF040-AA94-41AC-A60E-654EED1201CA}" name="_TBL_INVENTORY_IN" displayName="_TBL_INVENTORY_IN" ref="A2:F62" tableType="queryTable" totalsRowShown="0">
  <autoFilter ref="A2:F62" xr:uid="{4E5DF040-AA94-41AC-A60E-654EED1201CA}"/>
  <tableColumns count="6">
    <tableColumn id="1" xr3:uid="{EA7E1BCC-DC92-430D-AD96-CD5C4695B89A}" uniqueName="1" name="DATE" queryTableFieldId="1" dataDxfId="102"/>
    <tableColumn id="2" xr3:uid="{81CBBAC1-248F-4F5B-8D98-41266600E8B3}" uniqueName="2" name="INVENTORY ITEM" queryTableFieldId="2" dataDxfId="101"/>
    <tableColumn id="3" xr3:uid="{443A7F7C-278E-4BE5-A918-DB3817034812}" uniqueName="3" name="TYPE" queryTableFieldId="3" dataDxfId="100"/>
    <tableColumn id="4" xr3:uid="{2D6C6ECE-E625-4F86-A6E6-780FD90A56EB}" uniqueName="4" name="IN" queryTableFieldId="4"/>
    <tableColumn id="5" xr3:uid="{62BFE006-B5CC-4F2E-BACE-69CDA54ECC8E}" uniqueName="5" name="REMARKS" queryTableFieldId="5" dataDxfId="99"/>
    <tableColumn id="6" xr3:uid="{A5E4118C-1C80-44FB-B274-24DB603A58D3}" uniqueName="6" name="BOX ID" queryTableFieldId="6" dataDxfId="9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208CA0A-BDB5-49DF-8B32-9F79C84731E9}" name="_TBL_PRODUCT" displayName="_TBL_PRODUCT" ref="A1:K206" tableType="queryTable" totalsRowShown="0">
  <autoFilter ref="A1:K206" xr:uid="{E208CA0A-BDB5-49DF-8B32-9F79C84731E9}"/>
  <tableColumns count="11">
    <tableColumn id="1" xr3:uid="{E1916C6F-E0B1-45FB-8682-6D315415E0D9}" uniqueName="1" name="ID" queryTableFieldId="1"/>
    <tableColumn id="2" xr3:uid="{C619201B-808D-4C57-9B0C-2A57DE3820C8}" uniqueName="2" name="PRODUCT NAME" queryTableFieldId="2" dataDxfId="103"/>
    <tableColumn id="3" xr3:uid="{F32D6990-F2AB-44C1-996C-82102B1B523A}" uniqueName="3" name="DEFAULT PRICE" queryTableFieldId="3"/>
    <tableColumn id="4" xr3:uid="{76376584-D6F5-4E82-9BB1-75C9F05A44F1}" uniqueName="4" name="Column4" queryTableFieldId="4"/>
    <tableColumn id="5" xr3:uid="{13A840DA-B4A5-47B4-B00E-0E94393FAA89}" uniqueName="5" name="Column5" queryTableFieldId="5"/>
    <tableColumn id="6" xr3:uid="{92420493-7E4C-48D5-B165-CF72E6A6C7BE}" uniqueName="6" name="Column6" queryTableFieldId="6"/>
    <tableColumn id="7" xr3:uid="{2056342A-CE1C-4C4A-822F-9EF4ACA68DFE}" uniqueName="7" name="Column7" queryTableFieldId="7"/>
    <tableColumn id="8" xr3:uid="{2D94A3CE-8525-435E-8ADE-776D6ADBC4D2}" uniqueName="8" name="Column8" queryTableFieldId="8"/>
    <tableColumn id="9" xr3:uid="{54CCE634-C7B0-467F-BBDC-51FB8C856318}" uniqueName="9" name="Column9" queryTableFieldId="9"/>
    <tableColumn id="10" xr3:uid="{38970214-227D-4313-8FEC-955E0DBD75B3}" uniqueName="10" name="Column10" queryTableFieldId="10"/>
    <tableColumn id="11" xr3:uid="{323E063B-256D-419E-9A58-9DA4F95C9DC1}" uniqueName="11" name="Column11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2ADAB7E-125B-4CA8-B0D1-9ADB01A8C7D2}" name="_TBL_INVENTORY" displayName="_TBL_INVENTORY" ref="A1:G109" tableType="queryTable" totalsRowShown="0">
  <autoFilter ref="A1:G109" xr:uid="{D2ADAB7E-125B-4CA8-B0D1-9ADB01A8C7D2}"/>
  <tableColumns count="7">
    <tableColumn id="1" xr3:uid="{3299E4A0-F6CC-4CB0-BB51-53E9EB7F3A73}" uniqueName="1" name="ID" queryTableFieldId="1"/>
    <tableColumn id="2" xr3:uid="{47976319-C22A-4076-97B2-5053BF4D5444}" uniqueName="2" name="NAME" queryTableFieldId="2" dataDxfId="97"/>
    <tableColumn id="3" xr3:uid="{0CA5C960-3582-46A1-9ACD-1486421D4E8F}" uniqueName="3" name="TYPE" queryTableFieldId="3" dataDxfId="96"/>
    <tableColumn id="4" xr3:uid="{D1893C2A-8B4A-4A4B-BF7C-F952AF8DE170}" uniqueName="4" name="BRAND" queryTableFieldId="4" dataDxfId="95"/>
    <tableColumn id="5" xr3:uid="{0D95C275-B955-40C1-AD06-E5DE3652CFEB}" uniqueName="5" name="CODE" queryTableFieldId="5" dataDxfId="94"/>
    <tableColumn id="6" xr3:uid="{DCA08976-69AB-49DC-A4A3-070474D91550}" uniqueName="6" name="VARIANT" queryTableFieldId="6" dataDxfId="93"/>
    <tableColumn id="7" xr3:uid="{1D5BA9C1-8BFA-4B4A-9B9B-1F675493271E}" uniqueName="7" name="SPECS" queryTableFieldId="7" dataDxfId="9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A763FE6-F968-4814-B524-2A4BF86B1D6F}" name="PC_INVENTORY" displayName="PC_INVENTORY" ref="A1:H4" tableType="queryTable" totalsRowShown="0">
  <autoFilter ref="A1:H4" xr:uid="{9A763FE6-F968-4814-B524-2A4BF86B1D6F}"/>
  <tableColumns count="8">
    <tableColumn id="1" xr3:uid="{ECEAEBC5-2D63-4BE6-98D4-19C1BE54C2A4}" uniqueName="1" name="DATE" queryTableFieldId="1" dataDxfId="91"/>
    <tableColumn id="2" xr3:uid="{6C4E3827-2303-4451-89F4-4A0D4E51E081}" uniqueName="2" name="INVENTORY ITEM" queryTableFieldId="2" dataDxfId="90"/>
    <tableColumn id="3" xr3:uid="{31A7B436-726D-47A8-978B-4F06FF7DF953}" uniqueName="3" name="IN" queryTableFieldId="3"/>
    <tableColumn id="4" xr3:uid="{96421269-834B-400E-A5E3-D5A7D78CA319}" uniqueName="4" name="OUT" queryTableFieldId="4"/>
    <tableColumn id="5" xr3:uid="{60BEEA73-A5E2-4D48-9EF0-FD71FF12AF14}" uniqueName="5" name="TOTAL" queryTableFieldId="5"/>
    <tableColumn id="6" xr3:uid="{8625A01C-80A9-4921-A5FD-E79E8FD8600B}" uniqueName="6" name="BACKJOB" queryTableFieldId="6"/>
    <tableColumn id="7" xr3:uid="{1D2E6508-7356-47DF-BCEC-4F87EBD5A7E1}" uniqueName="7" name="REMARKS" queryTableFieldId="7"/>
    <tableColumn id="8" xr3:uid="{23EC961D-6730-4FD0-B886-2659D06339DF}" uniqueName="8" name="BOX ID" queryTableField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ACE85FB-A10E-4360-9836-F9C3A5AB8201}" name="LAPTOP_INVENTORY" displayName="LAPTOP_INVENTORY" ref="A1:C53" tableType="queryTable" totalsRowShown="0">
  <autoFilter ref="A1:C53" xr:uid="{4ACE85FB-A10E-4360-9836-F9C3A5AB8201}"/>
  <tableColumns count="3">
    <tableColumn id="2" xr3:uid="{5C8CF4D9-AB75-48BE-BADB-F473F1B0F3B1}" uniqueName="2" name="INVENTORY ITEM" queryTableFieldId="2" dataDxfId="89"/>
    <tableColumn id="1" xr3:uid="{22AB8A52-D334-491F-A2EA-A6658C41CB40}" uniqueName="1" name="TOTAL IN" queryTableFieldId="9"/>
    <tableColumn id="3" xr3:uid="{450D4369-6F8C-4B5A-BDF3-F63FA0E7F769}" uniqueName="3" name="TOTAL OUT" queryTableField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LAPTOP_INVENTORY_ACCOUNT_IN" displayName="_TBL_LAPTOP_INVENTORY_ACCOUNT_IN" ref="B2:H12" totalsRowCount="1" headerRowDxfId="120" dataDxfId="119" totalsRowDxfId="118">
  <autoFilter ref="B2:H11" xr:uid="{11196D4F-0C08-44E6-8845-054A162CF400}"/>
  <tableColumns count="7">
    <tableColumn id="1" xr3:uid="{7E5944E0-EEF7-48BA-9C65-2A065AAFA2D9}" name="DATE" totalsRowFunction="custom" dataDxfId="117" totalsRowDxfId="116">
      <calculatedColumnFormula>IF(IFERROR(_TBL_INVENTORY_IN[[#This Row],[DATE]], "")&lt;&gt;0, IFERROR(_TBL_INVENTORY_IN[[#This Row],[DATE]], ""), "")</calculatedColumnFormula>
      <totalsRowFormula>_xlfn.CONCAT("COUNT: ", SUBTOTAL(103,_TBL_LAPTOP_INVENTORY_ACCOUNT_IN[DATE]))</totalsRowFormula>
    </tableColumn>
    <tableColumn id="2" xr3:uid="{6346439F-B17B-42E4-B169-E92F350D30A5}" name="INVENTORY ITEM" totalsRowLabel="TOTAL:" dataDxfId="115" totalsRowDxfId="114">
      <calculatedColumnFormula>IF(IFERROR(_TBL_INVENTORY_IN[[#This Row],[INVENTORY ITEM]], "")&lt;&gt;0, IFERROR(_TBL_INVENTORY_IN[[#This Row],[INVENTORY ITEM]], ""), "")</calculatedColumnFormula>
    </tableColumn>
    <tableColumn id="4" xr3:uid="{95CD9087-654C-4E2A-AF3A-261436977333}" name="IN" totalsRowFunction="sum" dataDxfId="113" totalsRowDxfId="112">
      <calculatedColumnFormula>IF(IFERROR(_TBL_INVENTORY_IN[[#This Row],[IN]], "")&lt;&gt;0, IFERROR(_TBL_INVENTORY_IN[[#This Row],[IN]], ""), "")</calculatedColumnFormula>
    </tableColumn>
    <tableColumn id="6" xr3:uid="{8464B8A2-FA6F-403C-BB84-1A26C25CBA2B}" name="INVENTORY" dataDxfId="111" totalsRowDxfId="110">
      <calculatedColumnFormula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calculatedColumnFormula>
    </tableColumn>
    <tableColumn id="5" xr3:uid="{A10090AA-B569-4E73-84D7-CB9BB9CD89C0}" name="REMARKS" dataDxfId="109" totalsRowDxfId="108">
      <calculatedColumnFormula>IF(IFERROR(_TBL_INVENTORY_IN[[#This Row],[REMARKS]], "")&lt;&gt;0, IFERROR(_TBL_INVENTORY_IN[[#This Row],[REMARKS]], ""), "")</calculatedColumnFormula>
    </tableColumn>
    <tableColumn id="10" xr3:uid="{1B6A8F81-4CD3-412F-B3A2-C032710C5771}" name="COST TOTAL" totalsRowFunction="sum" dataDxfId="107" totalsRowDxfId="106"/>
    <tableColumn id="12" xr3:uid="{161DBC59-E0E9-488B-9D75-AD60C50E18B7}" name="COST PER PIECE" totalsRowFunction="custom" dataDxfId="105" totalsRowDxfId="104">
      <calculatedColumnFormula>IFERROR(_TBL_LAPTOP_INVENTORY_ACCOUNT_IN[[#This Row],[COST TOTAL]]/_TBL_LAPTOP_INVENTORY_ACCOUNT_IN[[#This Row],[IN]], "")</calculatedColumnFormula>
      <totalsRowFormula>IFERROR(_TBL_LAPTOP_INVENTORY_ACCOUNT_IN[[#Totals],[COST TOTAL]]/_TBL_LAPTOP_INVENTORY_ACCOUNT_IN[[#Totals],[IN]], "")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398A87A-C316-4DE1-B50C-121701319153}" name="PRINTER_INVENTORY" displayName="PRINTER_INVENTORY" ref="A1:H7" tableType="queryTable" totalsRowShown="0">
  <autoFilter ref="A1:H7" xr:uid="{7398A87A-C316-4DE1-B50C-121701319153}"/>
  <tableColumns count="8">
    <tableColumn id="1" xr3:uid="{D80C27E6-AF32-433B-A2DC-A7EB85E3691B}" uniqueName="1" name="DATE" queryTableFieldId="1" dataDxfId="88"/>
    <tableColumn id="2" xr3:uid="{D68EB8E7-2430-4786-943F-4361DB1CB3D9}" uniqueName="2" name="INVENTORY ITEM" queryTableFieldId="2" dataDxfId="87"/>
    <tableColumn id="3" xr3:uid="{B465836B-016F-43C0-BF72-0817E5DB981E}" uniqueName="3" name="IN" queryTableFieldId="3"/>
    <tableColumn id="4" xr3:uid="{68DECB5F-E9AA-4B97-BCED-AD47C428E0E0}" uniqueName="4" name="OUT" queryTableFieldId="4"/>
    <tableColumn id="5" xr3:uid="{8DEEC193-16E2-492B-ABC8-02118D322AB7}" uniqueName="5" name="TOTAL" queryTableFieldId="5"/>
    <tableColumn id="6" xr3:uid="{1AC20147-E557-47C0-8D06-FDEFA5B2BCA1}" uniqueName="6" name="BACKJOB" queryTableFieldId="6"/>
    <tableColumn id="7" xr3:uid="{FDFCCFCE-107E-43BF-A735-575D4F382153}" uniqueName="7" name="REMARKS" queryTableFieldId="7"/>
    <tableColumn id="8" xr3:uid="{51A35B44-44DF-4507-B787-3993F09156A0}" uniqueName="8" name="BOX ID" queryTableFieldId="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5856519-32EA-4BE1-B1E9-DFF2700FD38D}" name="LAPTOP_PRODUCTION" displayName="LAPTOP_PRODUCTION" ref="A1:S54" tableType="queryTable" totalsRowCount="1" headerRowDxfId="65" dataDxfId="73" totalsRowDxfId="74">
  <autoFilter ref="A1:S53" xr:uid="{43EB7125-E397-43C4-987F-148C2CBA35A3}"/>
  <tableColumns count="19">
    <tableColumn id="1" xr3:uid="{F1D63087-85A0-49B5-A724-9E195928FE22}" uniqueName="1" name="ID" queryTableFieldId="1" dataDxfId="86" totalsRowDxfId="29"/>
    <tableColumn id="2" xr3:uid="{BAF684A0-2167-4578-ABE2-CD75BB3D8DAB}" uniqueName="2" name="NAME" totalsRowFunction="custom" queryTableFieldId="2" dataDxfId="85" totalsRowDxfId="28">
      <totalsRowFormula>_xlfn.CONCAT("COUNT: ", SUBTOTAL(103,LAPTOP_PRODUCTION[NAME]))</totalsRowFormula>
    </tableColumn>
    <tableColumn id="10" xr3:uid="{BCB838CD-787A-4922-820F-DC48A096A4EC}" uniqueName="10" name="TYPE" queryTableFieldId="11" dataDxfId="84" totalsRowDxfId="27"/>
    <tableColumn id="4" xr3:uid="{CFF1C044-9948-479D-9F48-B8CAE414EFD7}" uniqueName="4" name="TOTAL IN" totalsRowFunction="sum" queryTableFieldId="4" dataDxfId="72" totalsRowDxfId="26" dataCellStyle="Output"/>
    <tableColumn id="12" xr3:uid="{3528D31B-C0C3-4204-AFA1-308D200E3136}" uniqueName="12" name="TOTAL OUT" totalsRowFunction="sum" queryTableFieldId="14" dataDxfId="71" totalsRowDxfId="25" dataCellStyle="Output"/>
    <tableColumn id="5" xr3:uid="{567224A5-8191-4ADA-B18C-0F602E8191FC}" uniqueName="5" name="CURRENT STOCKS" totalsRowFunction="sum" queryTableFieldId="5" dataDxfId="70" totalsRowDxfId="24"/>
    <tableColumn id="9" xr3:uid="{731D5400-0F3D-4D3E-937A-B4CD9339BB42}" uniqueName="9" name="ON PROCESS" totalsRowFunction="sum" queryTableFieldId="9" dataDxfId="69" totalsRowDxfId="23"/>
    <tableColumn id="6" xr3:uid="{411C4146-4139-4CD9-A178-9510337F109C}" uniqueName="6" name="CHROME OS" totalsRowFunction="sum" queryTableFieldId="6" dataDxfId="68" totalsRowDxfId="22"/>
    <tableColumn id="7" xr3:uid="{7B75B9A0-79F7-4C1D-BAC5-C745E59D2B02}" uniqueName="7" name="WINDOWS" totalsRowFunction="sum" queryTableFieldId="7" dataDxfId="67" totalsRowDxfId="21"/>
    <tableColumn id="11" xr3:uid="{9ED3B384-5687-4CB1-955C-4AEF9C398250}" uniqueName="11" name="BACKJOB" totalsRowFunction="sum" queryTableFieldId="12" dataDxfId="66" totalsRowDxfId="20"/>
    <tableColumn id="13" xr3:uid="{B1E0EA2B-3EE6-4BA1-952A-98AD7E675CE7}" uniqueName="13" name="IS VALID" queryTableFieldId="16" dataDxfId="83" totalsRowDxfId="19">
      <calculatedColumnFormula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calculatedColumnFormula>
    </tableColumn>
    <tableColumn id="3" xr3:uid="{6E85AE61-1051-4F8F-A3F0-07051B1CFA71}" uniqueName="3" name="COST /PCS" totalsRowFunction="custom" queryTableFieldId="17" dataDxfId="82" totalsRowDxfId="18" dataCellStyle="Good">
      <totalsRowFormula>AVERAGE(LAPTOP_PRODUCTION[COST /PCS])</totalsRowFormula>
    </tableColumn>
    <tableColumn id="8" xr3:uid="{76159BAC-2D86-406A-BD88-E7339D777346}" uniqueName="8" name="TOTAL IN COST" totalsRowFunction="custom" queryTableFieldId="18" dataDxfId="81" totalsRowDxfId="17">
      <calculatedColumnFormula>LAPTOP_PRODUCTION[[#This Row],[COST /PCS]]*LAPTOP_PRODUCTION[[#This Row],[TOTAL IN]]</calculatedColumnFormula>
      <totalsRowFormula>SUM(LAPTOP_PRODUCTION[TOTAL IN COST])</totalsRowFormula>
    </tableColumn>
    <tableColumn id="14" xr3:uid="{529F1FE4-B229-4013-8DA2-BC7540033062}" uniqueName="14" name="CURRENT STOCK COST" totalsRowFunction="custom" queryTableFieldId="19" dataDxfId="80" totalsRowDxfId="16">
      <calculatedColumnFormula>LAPTOP_PRODUCTION[[#This Row],[COST /PCS]]*LAPTOP_PRODUCTION[[#This Row],[CURRENT STOCKS]]</calculatedColumnFormula>
      <totalsRowFormula>SUM(LAPTOP_PRODUCTION[CURRENT STOCK COST])</totalsRowFormula>
    </tableColumn>
    <tableColumn id="15" xr3:uid="{99A2C769-295A-4565-9D64-3F62ECFE610C}" uniqueName="15" name="CHROMEOS PRICE /PCS" totalsRowFunction="average" queryTableFieldId="20" dataDxfId="79" totalsRowDxfId="15" dataCellStyle="Neutral"/>
    <tableColumn id="18" xr3:uid="{3B972A58-9778-4701-8F1D-5C898D7E7087}" uniqueName="18" name="TOTAL CHROMEOS PRICE" totalsRowFunction="sum" queryTableFieldId="22" dataDxfId="78" totalsRowDxfId="14">
      <calculatedColumnFormula>LAPTOP_PRODUCTION[[#This Row],[CHROMEOS PRICE /PCS]]*LAPTOP_PRODUCTION[[#This Row],[CHROME OS]]</calculatedColumnFormula>
    </tableColumn>
    <tableColumn id="16" xr3:uid="{B2524ED5-BF26-4BFA-AC1A-DA0854F83FA3}" uniqueName="16" name="WINDOWS PRICE /PCS" totalsRowFunction="average" queryTableFieldId="21" dataDxfId="77" totalsRowDxfId="13" dataCellStyle="40% - Accent1"/>
    <tableColumn id="19" xr3:uid="{51003ABD-AE34-4489-BCDA-BEA4752C4535}" uniqueName="19" name="TOTAL WINDOWS PRICE" totalsRowFunction="sum" queryTableFieldId="23" dataDxfId="76" totalsRowDxfId="12">
      <calculatedColumnFormula>LAPTOP_PRODUCTION[[#This Row],[WINDOWS PRICE /PCS]]*LAPTOP_PRODUCTION[[#This Row],[WINDOWS]]</calculatedColumnFormula>
    </tableColumn>
    <tableColumn id="20" xr3:uid="{AC060E45-8331-4AC2-B3C9-C765AB165040}" uniqueName="20" name="BACKJOP COST" totalsRowFunction="sum" queryTableFieldId="24" dataDxfId="75" totalsRowDxfId="11">
      <calculatedColumnFormula>LAPTOP_PRODUCTION[[#This Row],[COST /PCS]]*LAPTOP_PRODUCTION[[#This Row],[BACKJOB]]</calculatedColumnFormula>
    </tableColumn>
  </tableColumns>
  <tableStyleInfo name="TableStyleLight1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BE06B96-3114-42C3-80AF-2649DED6DB3C}" name="STOCKS_OFFICE_2" displayName="STOCKS_OFFICE_2" ref="A1:K58" tableType="queryTable" totalsRowCount="1" headerRowDxfId="56" dataDxfId="57">
  <autoFilter ref="A1:K57" xr:uid="{1BE06B96-3114-42C3-80AF-2649DED6DB3C}">
    <filterColumn colId="3">
      <filters>
        <filter val="129"/>
        <filter val="13"/>
        <filter val="161"/>
        <filter val="18"/>
        <filter val="22"/>
        <filter val="228"/>
        <filter val="24"/>
        <filter val="3"/>
        <filter val="302"/>
        <filter val="31"/>
        <filter val="35"/>
        <filter val="41"/>
        <filter val="43"/>
        <filter val="44"/>
        <filter val="48"/>
        <filter val="59"/>
        <filter val="60"/>
        <filter val="63"/>
        <filter val="77"/>
        <filter val="8"/>
        <filter val="84"/>
        <filter val="86"/>
        <filter val="87"/>
        <filter val="89"/>
        <filter val="93"/>
        <filter val="946"/>
        <filter val="95"/>
      </filters>
    </filterColumn>
  </autoFilter>
  <tableColumns count="11">
    <tableColumn id="1" xr3:uid="{9207E316-51C7-4FEF-AFF4-46A2F29D734E}" uniqueName="1" name="ID" queryTableFieldId="1" dataDxfId="64" totalsRowDxfId="10"/>
    <tableColumn id="2" xr3:uid="{A478E17C-8796-461F-A131-57E3F0704BAA}" uniqueName="2" name="NAME" totalsRowFunction="custom" queryTableFieldId="2" dataDxfId="63" totalsRowDxfId="9">
      <totalsRowFormula>_xlfn.CONCAT("COUNT: ", SUBTOTAL(103,STOCKS_OFFICE_2[NAME]))</totalsRowFormula>
    </tableColumn>
    <tableColumn id="3" xr3:uid="{929F0981-4AEB-41C0-9B78-DD6B4445D40F}" uniqueName="3" name="TYPE" queryTableFieldId="3" dataDxfId="62" totalsRowDxfId="8"/>
    <tableColumn id="8" xr3:uid="{1DF8A428-D3E2-4859-90CD-0A8759C864B3}" uniqueName="8" name="TOTAL IN" totalsRowFunction="sum" queryTableFieldId="8" dataDxfId="61" totalsRowDxfId="7"/>
    <tableColumn id="4" xr3:uid="{44696607-B82A-449F-B251-4A6BBAA9A69E}" uniqueName="4" name="TOTAL OUT" totalsRowFunction="sum" queryTableFieldId="11" dataDxfId="60" totalsRowDxfId="6"/>
    <tableColumn id="9" xr3:uid="{8EC085B0-E564-458B-B454-85F54FF495E2}" uniqueName="9" name="CURRENT STOCKS" totalsRowFunction="sum" queryTableFieldId="9" dataDxfId="59" totalsRowDxfId="5"/>
    <tableColumn id="10" xr3:uid="{971294A6-7F90-4E3E-8727-4D4C3C1AB825}" uniqueName="10" name="BACKJOB" totalsRowFunction="sum" queryTableFieldId="10" dataDxfId="58" totalsRowDxfId="4"/>
    <tableColumn id="5" xr3:uid="{FDF0BAD8-6735-4BE0-939F-310BBB60CF95}" uniqueName="5" name="COST /PCS" totalsRowFunction="average" queryTableFieldId="13" dataDxfId="33" totalsRowDxfId="3"/>
    <tableColumn id="6" xr3:uid="{90134F92-A2B8-4804-8FAE-7A293B6D596A}" uniqueName="6" name="TOTAL IN COST" totalsRowFunction="sum" queryTableFieldId="14" dataDxfId="32" totalsRowDxfId="0">
      <calculatedColumnFormula>STOCKS_OFFICE_2[[#This Row],[COST /PCS]]*STOCKS_OFFICE_2[[#This Row],[TOTAL IN]]</calculatedColumnFormula>
    </tableColumn>
    <tableColumn id="7" xr3:uid="{F2AB04E5-61FA-45B9-9CFA-5C719C07CF71}" uniqueName="7" name="CURRENT STOCK COST" totalsRowFunction="sum" queryTableFieldId="15" dataDxfId="30" totalsRowDxfId="1">
      <calculatedColumnFormula>IFERROR(LAPTOP_PRODUCTION[[#This Row],[COST /PCS]]*LAPTOP_PRODUCTION[[#This Row],[CURRENT STOCKS]], "")</calculatedColumnFormula>
    </tableColumn>
    <tableColumn id="11" xr3:uid="{823D2DD8-DA95-4F03-AD37-BF8C9CE5E215}" uniqueName="11" name="BACKJOB COST" totalsRowFunction="custom" queryTableFieldId="16" dataDxfId="31" totalsRowDxfId="2">
      <calculatedColumnFormula>IFERROR(STOCKS_OFFICE_2[[#This Row],[COST /PCS]]*STOCKS_OFFICE_2[[#This Row],[BACKJOB]], "")</calculatedColumnFormula>
      <totalsRowFormula>SUM(STOCKS_OFFICE_2[BACKJOB COST])</totalsRowFormula>
    </tableColumn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D02A46-3EDE-44CA-9FD1-77E189E558ED}" name="SALES_REPORT" displayName="SALES_REPORT" ref="A1:T4" tableType="queryTable" totalsRowShown="0" headerRowDxfId="34" dataDxfId="35">
  <autoFilter ref="A1:T4" xr:uid="{7B88F45F-52C5-4436-B11E-7FC56C3ACD0A}"/>
  <tableColumns count="20">
    <tableColumn id="1" xr3:uid="{6484B2A2-5474-4787-BDE0-2993CFA6B6D4}" uniqueName="1" name="DATE" queryTableFieldId="1" dataDxfId="55"/>
    <tableColumn id="2" xr3:uid="{25D1761C-BBBC-4CB4-8512-09D870C0A904}" uniqueName="2" name="MAIN PRODUCT" queryTableFieldId="2" dataDxfId="54"/>
    <tableColumn id="3" xr3:uid="{2614A8C8-3E3A-4EAE-B613-0C584AA1274B}" uniqueName="3" name="SOURCE" queryTableFieldId="3" dataDxfId="53"/>
    <tableColumn id="4" xr3:uid="{0CAB3EB4-8C89-4400-AD36-EDB39415D369}" uniqueName="4" name="PRICE DEFAULT" queryTableFieldId="4" dataDxfId="52"/>
    <tableColumn id="19" xr3:uid="{5D589C41-2DB0-4B5E-AAC0-EB8AB03ABBCE}" uniqueName="19" name="Add Ons Cost" queryTableFieldId="19" dataDxfId="51"/>
    <tableColumn id="6" xr3:uid="{8B7989A8-30ED-499D-B3D1-19E1A52EF4CE}" uniqueName="6" name="TOTAL PAYMEMT" queryTableFieldId="6" dataDxfId="50"/>
    <tableColumn id="20" xr3:uid="{275A7A00-4DEA-47CB-8540-15A730451C34}" uniqueName="20" name="Add Ons SET" queryTableFieldId="31" dataDxfId="49"/>
    <tableColumn id="7" xr3:uid="{71C94DA9-6A24-4A34-A11D-C5B3172C75D8}" uniqueName="7" name="CASH" queryTableFieldId="7" dataDxfId="48"/>
    <tableColumn id="8" xr3:uid="{12160BF4-66D4-4536-9EA2-E58EEBD214BF}" uniqueName="8" name="GCASH/BANK" queryTableFieldId="8" dataDxfId="47"/>
    <tableColumn id="9" xr3:uid="{8CED765E-D491-4AA6-A944-600FD414E9E7}" uniqueName="9" name="DOWNPAYMENT" queryTableFieldId="9" dataDxfId="46"/>
    <tableColumn id="10" xr3:uid="{F994CE5D-FCFE-4A08-AD14-3DC74B32735F}" uniqueName="10" name="BALANCE" queryTableFieldId="10" dataDxfId="45"/>
    <tableColumn id="11" xr3:uid="{DB692B2E-97B7-4D26-86CB-5AB50C148922}" uniqueName="11" name="SHIPPING FEE" queryTableFieldId="11" dataDxfId="44"/>
    <tableColumn id="12" xr3:uid="{9414B09F-F302-4FE8-BC25-F7CEBFE67F51}" uniqueName="12" name="Delivered" queryTableFieldId="12" dataDxfId="43"/>
    <tableColumn id="13" xr3:uid="{B99A61A1-C292-4516-BA04-CF6FDE7A4B68}" uniqueName="13" name="Claimed" queryTableFieldId="13" dataDxfId="42"/>
    <tableColumn id="14" xr3:uid="{70C9EF8B-3246-428B-824C-1D53BBF05EEA}" uniqueName="14" name="Deposited" queryTableFieldId="14" dataDxfId="41"/>
    <tableColumn id="15" xr3:uid="{BDDECFEC-7771-4E65-B026-7508149BBF24}" uniqueName="15" name="RECEIVABLE" queryTableFieldId="15" dataDxfId="40"/>
    <tableColumn id="5" xr3:uid="{E9B00641-A6A7-4479-944A-19D5F2BFE63B}" uniqueName="5" name="Add Ons 1" queryTableFieldId="5" dataDxfId="39"/>
    <tableColumn id="16" xr3:uid="{D564A121-B4FC-47DE-A4C4-85F747B7AAC3}" uniqueName="16" name="Add Ons 2" queryTableFieldId="16" dataDxfId="38"/>
    <tableColumn id="17" xr3:uid="{23B5C6D3-6B57-4F6B-9D63-FD4CB5E2C5C9}" uniqueName="17" name="Add Ons 3" queryTableFieldId="17" dataDxfId="37"/>
    <tableColumn id="18" xr3:uid="{4D6BFA25-0BDF-4720-8FA9-334B6C8F0FEC}" uniqueName="18" name="Freebies" queryTableFieldId="18" dataDxfId="36"/>
  </tableColumns>
  <tableStyleInfo name="TableStyleLight1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1A17A50-EA42-4989-8338-8FD415CF9484}" name="Table46" displayName="Table46" ref="A1:I397" totalsRowShown="0">
  <autoFilter ref="A1:I397" xr:uid="{D3970675-C890-4668-9923-8B0AA3B409F8}"/>
  <tableColumns count="9">
    <tableColumn id="1" xr3:uid="{FB49E81F-D7CB-43F3-BA95-9E5B5FD94FA3}" name="YEAR"/>
    <tableColumn id="2" xr3:uid="{87A44648-8AA2-48AF-9073-90528463C991}" name="MONTH"/>
    <tableColumn id="9" xr3:uid="{481946B4-BBE3-4759-9AA5-DBD8C7138A6D}" name="DAY"/>
    <tableColumn id="3" xr3:uid="{E3459089-C155-4F27-B9BC-B84D2B4A37A8}" name="TOTAL BOUGHT"/>
    <tableColumn id="4" xr3:uid="{F21C865D-F6E5-4DD9-A5D8-F8BCFED144FB}" name="LAPTOP"/>
    <tableColumn id="5" xr3:uid="{CD43AE10-976D-4F64-8A39-AAE5B8A17D18}" name="PC"/>
    <tableColumn id="6" xr3:uid="{BA1AFF7E-44C1-4C40-9267-D287EB7B8748}" name="FREEBIES"/>
    <tableColumn id="7" xr3:uid="{C378F16F-41D3-46B0-A301-7922C7B7E2E7}" name="ADD ONS"/>
    <tableColumn id="8" xr3:uid="{4D171EC4-C6A8-4756-8664-EF33C8109391}" name="Column7"/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04C5D3-D240-4400-82AD-C4FDE7DFB8F5}" name="Table47" displayName="Table47" ref="A1:J58" totalsRowShown="0">
  <autoFilter ref="A1:J58" xr:uid="{D98E624C-BAC6-4FFC-A1F0-065A1F5E106F}"/>
  <tableColumns count="10">
    <tableColumn id="1" xr3:uid="{2934668F-0E54-473C-BF95-29C1C25773A9}" name="Year"/>
    <tableColumn id="2" xr3:uid="{5A9E606F-9845-432B-A4F0-A348B2E9E8B3}" name="Month"/>
    <tableColumn id="3" xr3:uid="{5EE37317-DEBF-4F6F-981E-2CE359D92FD5}" name="WN"/>
    <tableColumn id="4" xr3:uid="{6F3D605A-EB78-4F34-957D-85061A1C391D}" name="Start Date"/>
    <tableColumn id="5" xr3:uid="{A51F30A8-FF8C-49FB-8EA7-85EB77D52182}" name="End Date"/>
    <tableColumn id="6" xr3:uid="{D7D6DA39-3A9B-49F2-B99E-1709577C251E}" name="LAPTOP"/>
    <tableColumn id="7" xr3:uid="{2C2CB848-B0BE-40DC-A16D-A92F017AE24D}" name="PC"/>
    <tableColumn id="8" xr3:uid="{2B49FB70-98E2-4A06-BC6E-632AC33D318A}" name="FREEBIES"/>
    <tableColumn id="9" xr3:uid="{8FBBF28C-3F5B-4B1F-8710-B9CD97378C58}" name="ADD ONS"/>
    <tableColumn id="10" xr3:uid="{0A154ED1-1E99-451E-A7AE-D426D4454853}" name="Column7"/>
  </tableColumns>
  <tableStyleInfo name="TableStyleLight1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8152FF7-70C5-487E-A256-422D26838BAB}" name="Table4" displayName="Table4" ref="A1:H26" totalsRowShown="0">
  <autoFilter ref="A1:H26" xr:uid="{FA7F3E18-9DEB-41F5-A6C2-89FDFCF2CC31}"/>
  <tableColumns count="8">
    <tableColumn id="9" xr3:uid="{E1156146-408C-49E0-AFF8-6A90E6F72E19}" name="YEAR"/>
    <tableColumn id="1" xr3:uid="{EC03F759-1686-4D7F-9A51-FB374FE0069B}" name="MONTH"/>
    <tableColumn id="3" xr3:uid="{ABAED6F4-B574-49C0-A7C9-F9E07405EC3E}" name="TOTAL BOUGHT"/>
    <tableColumn id="4" xr3:uid="{38EBB958-0A5B-441D-8217-157579D4387B}" name="LAPTOP"/>
    <tableColumn id="5" xr3:uid="{9454F5CB-5FF3-43A9-935B-6546BD4C0A2C}" name="PC"/>
    <tableColumn id="6" xr3:uid="{CC31B755-6178-4647-A6E7-70023CB1141F}" name="FREEBIES"/>
    <tableColumn id="7" xr3:uid="{D0711AEE-A3A9-4A70-A7D5-4D343465AA5B}" name="ADD ONS"/>
    <tableColumn id="8" xr3:uid="{5D0235D7-156F-4FEA-8E5E-B24A5D191F79}" name="Column7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84976-5577-47CA-9436-9394E28810A0}">
  <sheetPr codeName="Sheet1"/>
  <dimension ref="A2:F62"/>
  <sheetViews>
    <sheetView workbookViewId="0">
      <selection activeCell="B8" sqref="B8"/>
    </sheetView>
  </sheetViews>
  <sheetFormatPr defaultRowHeight="15" x14ac:dyDescent="0.25"/>
  <cols>
    <col min="1" max="1" width="8.7109375" bestFit="1" customWidth="1"/>
    <col min="2" max="2" width="27.5703125" bestFit="1" customWidth="1"/>
    <col min="3" max="3" width="7.5703125" bestFit="1" customWidth="1"/>
    <col min="4" max="4" width="5.28515625" bestFit="1" customWidth="1"/>
    <col min="5" max="5" width="11.85546875" bestFit="1" customWidth="1"/>
    <col min="6" max="6" width="9.28515625" bestFit="1" customWidth="1"/>
  </cols>
  <sheetData>
    <row r="2" spans="1:6" x14ac:dyDescent="0.25">
      <c r="A2"/>
      <c r="B2"/>
      <c r="C2"/>
      <c r="D2"/>
      <c r="E2"/>
      <c r="F2"/>
    </row>
    <row r="3" spans="1:6" x14ac:dyDescent="0.25">
      <c r="A3" s="6"/>
      <c r="B3" s="14"/>
      <c r="C3" s="14"/>
      <c r="D3"/>
      <c r="E3" s="14"/>
      <c r="F3" s="14"/>
    </row>
    <row r="4" spans="1:6" x14ac:dyDescent="0.25">
      <c r="A4" s="6"/>
      <c r="B4" s="14"/>
      <c r="C4" s="14"/>
      <c r="D4"/>
      <c r="E4" s="14"/>
      <c r="F4" s="14"/>
    </row>
    <row r="5" spans="1:6" x14ac:dyDescent="0.25">
      <c r="A5" s="6"/>
      <c r="B5" s="14"/>
      <c r="C5" s="14"/>
      <c r="D5"/>
      <c r="E5" s="14"/>
      <c r="F5" s="14"/>
    </row>
    <row r="6" spans="1:6" x14ac:dyDescent="0.25">
      <c r="A6" s="6"/>
      <c r="B6" s="14"/>
      <c r="C6" s="14"/>
      <c r="D6"/>
      <c r="E6" s="14"/>
      <c r="F6" s="14"/>
    </row>
    <row r="7" spans="1:6" x14ac:dyDescent="0.25">
      <c r="A7" s="6"/>
      <c r="B7" s="14"/>
      <c r="C7" s="14"/>
      <c r="D7"/>
      <c r="E7" s="14"/>
      <c r="F7" s="14"/>
    </row>
    <row r="8" spans="1:6" x14ac:dyDescent="0.25">
      <c r="A8" s="6"/>
      <c r="B8" s="14"/>
      <c r="C8" s="14"/>
      <c r="D8"/>
      <c r="E8" s="14"/>
      <c r="F8" s="14"/>
    </row>
    <row r="9" spans="1:6" x14ac:dyDescent="0.25">
      <c r="A9" s="6"/>
      <c r="B9" s="14"/>
      <c r="C9" s="14"/>
      <c r="D9"/>
      <c r="E9" s="14"/>
      <c r="F9" s="14"/>
    </row>
    <row r="10" spans="1:6" x14ac:dyDescent="0.25">
      <c r="A10" s="6"/>
      <c r="B10" s="14"/>
      <c r="C10" s="14"/>
      <c r="D10"/>
      <c r="E10" s="14"/>
      <c r="F10" s="14"/>
    </row>
    <row r="11" spans="1:6" x14ac:dyDescent="0.25">
      <c r="A11" s="6"/>
      <c r="B11" s="14"/>
      <c r="C11" s="14"/>
      <c r="D11"/>
      <c r="E11" s="14"/>
      <c r="F11" s="14"/>
    </row>
    <row r="12" spans="1:6" x14ac:dyDescent="0.25">
      <c r="A12" s="6"/>
      <c r="B12" s="14"/>
      <c r="C12" s="14"/>
      <c r="D12"/>
      <c r="E12" s="14"/>
      <c r="F12" s="14"/>
    </row>
    <row r="13" spans="1:6" x14ac:dyDescent="0.25">
      <c r="A13" s="6"/>
      <c r="B13" s="14"/>
      <c r="C13" s="14"/>
      <c r="D13"/>
      <c r="E13" s="14"/>
      <c r="F13" s="14"/>
    </row>
    <row r="14" spans="1:6" x14ac:dyDescent="0.25">
      <c r="A14" s="6"/>
      <c r="B14" s="14"/>
      <c r="C14" s="14"/>
      <c r="D14"/>
      <c r="E14" s="14"/>
      <c r="F14" s="14"/>
    </row>
    <row r="15" spans="1:6" x14ac:dyDescent="0.25">
      <c r="A15" s="6"/>
      <c r="B15" s="14"/>
      <c r="C15" s="14"/>
      <c r="D15"/>
      <c r="E15" s="14"/>
      <c r="F15" s="14"/>
    </row>
    <row r="16" spans="1:6" x14ac:dyDescent="0.25">
      <c r="A16" s="6"/>
      <c r="B16" s="14"/>
      <c r="C16" s="14"/>
      <c r="D16"/>
      <c r="E16" s="14"/>
      <c r="F16" s="14"/>
    </row>
    <row r="17" spans="1:6" x14ac:dyDescent="0.25">
      <c r="A17" s="6"/>
      <c r="B17" s="14"/>
      <c r="C17" s="14"/>
      <c r="D17"/>
      <c r="E17" s="14"/>
      <c r="F17" s="14"/>
    </row>
    <row r="18" spans="1:6" x14ac:dyDescent="0.25">
      <c r="A18" s="6"/>
      <c r="B18" s="14"/>
      <c r="C18" s="14"/>
      <c r="D18"/>
      <c r="E18" s="14"/>
      <c r="F18" s="14"/>
    </row>
    <row r="19" spans="1:6" x14ac:dyDescent="0.25">
      <c r="A19" s="6"/>
      <c r="B19" s="14"/>
      <c r="C19" s="14"/>
      <c r="D19"/>
      <c r="E19" s="14"/>
      <c r="F19" s="14"/>
    </row>
    <row r="20" spans="1:6" x14ac:dyDescent="0.25">
      <c r="A20" s="6"/>
      <c r="B20" s="14"/>
      <c r="C20" s="14"/>
      <c r="D20"/>
      <c r="E20" s="14"/>
      <c r="F20" s="14"/>
    </row>
    <row r="21" spans="1:6" x14ac:dyDescent="0.25">
      <c r="A21" s="6"/>
      <c r="B21" s="14"/>
      <c r="C21" s="14"/>
      <c r="D21"/>
      <c r="E21" s="14"/>
      <c r="F21" s="14"/>
    </row>
    <row r="22" spans="1:6" x14ac:dyDescent="0.25">
      <c r="A22" s="6"/>
      <c r="B22" s="14"/>
      <c r="C22" s="14"/>
      <c r="D22"/>
      <c r="E22" s="14"/>
      <c r="F22" s="14"/>
    </row>
    <row r="23" spans="1:6" x14ac:dyDescent="0.25">
      <c r="A23" s="6"/>
      <c r="B23" s="14"/>
      <c r="C23" s="14"/>
      <c r="D23"/>
      <c r="E23" s="14"/>
      <c r="F23" s="14"/>
    </row>
    <row r="24" spans="1:6" x14ac:dyDescent="0.25">
      <c r="A24" s="6"/>
      <c r="B24" s="14"/>
      <c r="C24" s="14"/>
      <c r="D24"/>
      <c r="E24" s="14"/>
      <c r="F24" s="14"/>
    </row>
    <row r="25" spans="1:6" x14ac:dyDescent="0.25">
      <c r="A25" s="6"/>
      <c r="B25" s="14"/>
      <c r="C25" s="14"/>
      <c r="D25"/>
      <c r="E25" s="14"/>
      <c r="F25" s="14"/>
    </row>
    <row r="26" spans="1:6" x14ac:dyDescent="0.25">
      <c r="A26" s="6"/>
      <c r="B26" s="14"/>
      <c r="C26" s="14"/>
      <c r="D26"/>
      <c r="E26" s="14"/>
      <c r="F26" s="14"/>
    </row>
    <row r="27" spans="1:6" x14ac:dyDescent="0.25">
      <c r="A27" s="6"/>
      <c r="B27" s="14"/>
      <c r="C27" s="14"/>
      <c r="D27"/>
      <c r="E27" s="14"/>
      <c r="F27" s="14"/>
    </row>
    <row r="28" spans="1:6" x14ac:dyDescent="0.25">
      <c r="A28" s="6"/>
      <c r="B28" s="14"/>
      <c r="C28" s="14"/>
      <c r="D28"/>
      <c r="E28" s="14"/>
      <c r="F28" s="14"/>
    </row>
    <row r="29" spans="1:6" x14ac:dyDescent="0.25">
      <c r="A29" s="6"/>
      <c r="B29" s="14"/>
      <c r="C29" s="14"/>
      <c r="D29"/>
      <c r="E29" s="14"/>
      <c r="F29" s="14"/>
    </row>
    <row r="30" spans="1:6" x14ac:dyDescent="0.25">
      <c r="A30" s="6"/>
      <c r="B30" s="14"/>
      <c r="C30" s="14"/>
      <c r="D30"/>
      <c r="E30" s="14"/>
      <c r="F30" s="14"/>
    </row>
    <row r="31" spans="1:6" x14ac:dyDescent="0.25">
      <c r="A31" s="6"/>
      <c r="B31" s="14"/>
      <c r="C31" s="14"/>
      <c r="D31"/>
      <c r="E31" s="14"/>
      <c r="F31" s="14"/>
    </row>
    <row r="32" spans="1:6" x14ac:dyDescent="0.25">
      <c r="A32" s="6"/>
      <c r="B32" s="14"/>
      <c r="C32" s="14"/>
      <c r="D32"/>
      <c r="E32" s="14"/>
      <c r="F32" s="14"/>
    </row>
    <row r="33" spans="1:6" x14ac:dyDescent="0.25">
      <c r="A33" s="6"/>
      <c r="B33" s="14"/>
      <c r="C33" s="14"/>
      <c r="D33"/>
      <c r="E33" s="14"/>
      <c r="F33" s="14"/>
    </row>
    <row r="34" spans="1:6" x14ac:dyDescent="0.25">
      <c r="A34" s="6"/>
      <c r="B34" s="14"/>
      <c r="C34" s="14"/>
      <c r="D34"/>
      <c r="E34" s="14"/>
      <c r="F34" s="14"/>
    </row>
    <row r="35" spans="1:6" x14ac:dyDescent="0.25">
      <c r="A35" s="6"/>
      <c r="B35" s="14"/>
      <c r="C35" s="14"/>
      <c r="D35"/>
      <c r="E35" s="14"/>
      <c r="F35" s="14"/>
    </row>
    <row r="36" spans="1:6" x14ac:dyDescent="0.25">
      <c r="A36" s="6"/>
      <c r="B36" s="14"/>
      <c r="C36" s="14"/>
      <c r="D36"/>
      <c r="E36" s="14"/>
      <c r="F36" s="14"/>
    </row>
    <row r="37" spans="1:6" x14ac:dyDescent="0.25">
      <c r="A37" s="6"/>
      <c r="B37" s="14"/>
      <c r="C37" s="14"/>
      <c r="D37"/>
      <c r="E37" s="14"/>
      <c r="F37" s="14"/>
    </row>
    <row r="38" spans="1:6" x14ac:dyDescent="0.25">
      <c r="A38" s="6"/>
      <c r="B38" s="14"/>
      <c r="C38" s="14"/>
      <c r="D38"/>
      <c r="E38" s="14"/>
      <c r="F38" s="14"/>
    </row>
    <row r="39" spans="1:6" x14ac:dyDescent="0.25">
      <c r="A39" s="6"/>
      <c r="B39" s="14"/>
      <c r="C39" s="14"/>
      <c r="D39"/>
      <c r="E39" s="14"/>
      <c r="F39" s="14"/>
    </row>
    <row r="40" spans="1:6" x14ac:dyDescent="0.25">
      <c r="A40" s="6"/>
      <c r="B40" s="14"/>
      <c r="C40" s="14"/>
      <c r="D40"/>
      <c r="E40" s="14"/>
      <c r="F40" s="14"/>
    </row>
    <row r="41" spans="1:6" x14ac:dyDescent="0.25">
      <c r="A41" s="6"/>
      <c r="B41" s="14"/>
      <c r="C41" s="14"/>
      <c r="D41"/>
      <c r="E41" s="14"/>
      <c r="F41" s="14"/>
    </row>
    <row r="42" spans="1:6" x14ac:dyDescent="0.25">
      <c r="A42" s="6"/>
      <c r="B42" s="14"/>
      <c r="C42" s="14"/>
      <c r="D42"/>
      <c r="E42" s="14"/>
      <c r="F42" s="14"/>
    </row>
    <row r="43" spans="1:6" x14ac:dyDescent="0.25">
      <c r="A43" s="6"/>
      <c r="B43" s="14"/>
      <c r="C43" s="14"/>
      <c r="D43"/>
      <c r="E43" s="14"/>
      <c r="F43" s="14"/>
    </row>
    <row r="44" spans="1:6" x14ac:dyDescent="0.25">
      <c r="A44" s="6"/>
      <c r="B44" s="14"/>
      <c r="C44" s="14"/>
      <c r="D44"/>
      <c r="E44" s="14"/>
      <c r="F44" s="14"/>
    </row>
    <row r="45" spans="1:6" x14ac:dyDescent="0.25">
      <c r="A45" s="6"/>
      <c r="B45" s="14"/>
      <c r="C45" s="14"/>
      <c r="D45"/>
      <c r="E45" s="14"/>
      <c r="F45" s="14"/>
    </row>
    <row r="46" spans="1:6" x14ac:dyDescent="0.25">
      <c r="A46" s="6"/>
      <c r="B46" s="14"/>
      <c r="C46" s="14"/>
      <c r="D46"/>
      <c r="E46" s="14"/>
      <c r="F46" s="14"/>
    </row>
    <row r="47" spans="1:6" x14ac:dyDescent="0.25">
      <c r="A47" s="6"/>
      <c r="B47" s="14"/>
      <c r="C47" s="14"/>
      <c r="D47"/>
      <c r="E47" s="14"/>
      <c r="F47" s="14"/>
    </row>
    <row r="48" spans="1:6" x14ac:dyDescent="0.25">
      <c r="A48" s="6"/>
      <c r="B48" s="14"/>
      <c r="C48" s="14"/>
      <c r="D48"/>
      <c r="E48" s="14"/>
      <c r="F48" s="14"/>
    </row>
    <row r="49" spans="1:6" x14ac:dyDescent="0.25">
      <c r="A49" s="6"/>
      <c r="B49" s="14"/>
      <c r="C49" s="14"/>
      <c r="D49"/>
      <c r="E49" s="14"/>
      <c r="F49" s="14"/>
    </row>
    <row r="50" spans="1:6" x14ac:dyDescent="0.25">
      <c r="A50" s="6"/>
      <c r="B50" s="14"/>
      <c r="C50" s="14"/>
      <c r="D50"/>
      <c r="E50" s="14"/>
      <c r="F50" s="14"/>
    </row>
    <row r="51" spans="1:6" x14ac:dyDescent="0.25">
      <c r="A51" s="6"/>
      <c r="B51" s="14"/>
      <c r="C51" s="14"/>
      <c r="D51"/>
      <c r="E51" s="14"/>
      <c r="F51" s="14"/>
    </row>
    <row r="52" spans="1:6" x14ac:dyDescent="0.25">
      <c r="A52" s="6"/>
      <c r="B52" s="14"/>
      <c r="C52" s="14"/>
      <c r="D52"/>
      <c r="E52" s="14"/>
      <c r="F52" s="14"/>
    </row>
    <row r="53" spans="1:6" x14ac:dyDescent="0.25">
      <c r="A53" s="6"/>
      <c r="B53" s="14"/>
      <c r="C53" s="14"/>
      <c r="D53"/>
      <c r="E53" s="14"/>
      <c r="F53" s="14"/>
    </row>
    <row r="54" spans="1:6" x14ac:dyDescent="0.25">
      <c r="A54" s="6"/>
      <c r="B54" s="14"/>
      <c r="C54" s="14"/>
      <c r="D54"/>
      <c r="E54" s="14"/>
      <c r="F54" s="14"/>
    </row>
    <row r="55" spans="1:6" x14ac:dyDescent="0.25">
      <c r="A55" s="6"/>
      <c r="B55" s="14"/>
      <c r="C55" s="14"/>
      <c r="D55"/>
      <c r="E55" s="14"/>
      <c r="F55" s="14"/>
    </row>
    <row r="56" spans="1:6" x14ac:dyDescent="0.25">
      <c r="A56" s="6"/>
      <c r="B56" s="14"/>
      <c r="C56" s="14"/>
      <c r="D56"/>
      <c r="E56" s="14"/>
      <c r="F56" s="14"/>
    </row>
    <row r="57" spans="1:6" x14ac:dyDescent="0.25">
      <c r="A57" s="6"/>
      <c r="B57" s="14"/>
      <c r="C57" s="14"/>
      <c r="D57"/>
      <c r="E57" s="14"/>
      <c r="F57" s="14"/>
    </row>
    <row r="58" spans="1:6" x14ac:dyDescent="0.25">
      <c r="A58" s="6"/>
      <c r="B58" s="14"/>
      <c r="C58" s="14"/>
      <c r="D58"/>
      <c r="E58" s="14"/>
      <c r="F58" s="14"/>
    </row>
    <row r="59" spans="1:6" x14ac:dyDescent="0.25">
      <c r="A59" s="6"/>
      <c r="B59" s="14"/>
      <c r="C59" s="14"/>
      <c r="D59"/>
      <c r="E59" s="14"/>
      <c r="F59" s="14"/>
    </row>
    <row r="60" spans="1:6" x14ac:dyDescent="0.25">
      <c r="A60" s="6"/>
      <c r="B60" s="14"/>
      <c r="C60" s="14"/>
      <c r="D60"/>
      <c r="E60" s="14"/>
      <c r="F60" s="14"/>
    </row>
    <row r="61" spans="1:6" x14ac:dyDescent="0.25">
      <c r="A61" s="6"/>
      <c r="B61" s="14"/>
      <c r="C61" s="14"/>
      <c r="D61"/>
      <c r="E61" s="14"/>
      <c r="F61" s="14"/>
    </row>
    <row r="62" spans="1:6" x14ac:dyDescent="0.25">
      <c r="A62" s="6"/>
      <c r="B62" s="14"/>
      <c r="C62" s="14"/>
      <c r="D62"/>
      <c r="E62" s="14"/>
      <c r="F62" s="14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D65B8-B957-4B7C-B687-2950E64C32DD}">
  <sheetPr codeName="Sheet4"/>
  <dimension ref="A1:K206"/>
  <sheetViews>
    <sheetView workbookViewId="0"/>
  </sheetViews>
  <sheetFormatPr defaultRowHeight="15" x14ac:dyDescent="0.25"/>
  <cols>
    <col min="1" max="1" width="5.140625" bestFit="1" customWidth="1"/>
    <col min="2" max="2" width="27.5703125" bestFit="1" customWidth="1"/>
    <col min="3" max="3" width="16.7109375" bestFit="1" customWidth="1"/>
    <col min="4" max="4" width="27.5703125" bestFit="1" customWidth="1"/>
    <col min="5" max="6" width="18.85546875" bestFit="1" customWidth="1"/>
    <col min="7" max="8" width="17.28515625" bestFit="1" customWidth="1"/>
    <col min="9" max="9" width="17.85546875" bestFit="1" customWidth="1"/>
    <col min="10" max="11" width="22.42578125" bestFit="1" customWidth="1"/>
  </cols>
  <sheetData>
    <row r="1" spans="1:11" x14ac:dyDescent="0.25">
      <c r="A1"/>
      <c r="B1"/>
      <c r="C1"/>
      <c r="D1"/>
      <c r="E1"/>
      <c r="F1"/>
      <c r="G1"/>
      <c r="H1"/>
      <c r="I1"/>
      <c r="J1"/>
      <c r="K1"/>
    </row>
    <row r="2" spans="1:11" x14ac:dyDescent="0.25">
      <c r="A2"/>
      <c r="B2" s="14"/>
      <c r="C2"/>
      <c r="D2"/>
      <c r="E2"/>
      <c r="F2"/>
      <c r="G2"/>
      <c r="H2"/>
      <c r="I2"/>
      <c r="J2"/>
      <c r="K2"/>
    </row>
    <row r="3" spans="1:11" x14ac:dyDescent="0.25">
      <c r="A3"/>
      <c r="B3" s="14"/>
      <c r="C3"/>
      <c r="D3"/>
      <c r="E3"/>
      <c r="F3"/>
      <c r="G3"/>
      <c r="H3"/>
      <c r="I3"/>
      <c r="J3"/>
      <c r="K3"/>
    </row>
    <row r="4" spans="1:11" x14ac:dyDescent="0.25">
      <c r="A4"/>
      <c r="B4" s="14"/>
      <c r="C4"/>
      <c r="D4"/>
      <c r="E4"/>
      <c r="F4"/>
      <c r="G4"/>
      <c r="H4"/>
      <c r="I4"/>
      <c r="J4"/>
      <c r="K4"/>
    </row>
    <row r="5" spans="1:11" x14ac:dyDescent="0.25">
      <c r="A5"/>
      <c r="B5" s="14"/>
      <c r="C5"/>
      <c r="D5"/>
      <c r="E5"/>
      <c r="F5"/>
      <c r="G5"/>
      <c r="H5"/>
      <c r="I5"/>
      <c r="J5"/>
      <c r="K5"/>
    </row>
    <row r="6" spans="1:11" x14ac:dyDescent="0.25">
      <c r="A6"/>
      <c r="B6" s="14"/>
      <c r="C6"/>
      <c r="D6"/>
      <c r="E6"/>
      <c r="F6"/>
      <c r="G6"/>
      <c r="H6"/>
      <c r="I6"/>
      <c r="J6"/>
      <c r="K6"/>
    </row>
    <row r="7" spans="1:11" x14ac:dyDescent="0.25">
      <c r="A7"/>
      <c r="B7" s="14"/>
      <c r="C7"/>
      <c r="D7"/>
      <c r="E7"/>
      <c r="F7"/>
      <c r="G7"/>
      <c r="H7"/>
      <c r="I7"/>
      <c r="J7"/>
      <c r="K7"/>
    </row>
    <row r="8" spans="1:11" x14ac:dyDescent="0.25">
      <c r="A8"/>
      <c r="B8" s="14"/>
      <c r="C8"/>
      <c r="D8"/>
      <c r="E8"/>
      <c r="F8"/>
      <c r="G8"/>
      <c r="H8"/>
      <c r="I8"/>
      <c r="J8"/>
      <c r="K8"/>
    </row>
    <row r="9" spans="1:11" x14ac:dyDescent="0.25">
      <c r="A9"/>
      <c r="B9" s="14"/>
      <c r="C9"/>
      <c r="D9"/>
      <c r="E9"/>
      <c r="F9"/>
      <c r="G9"/>
      <c r="H9"/>
      <c r="I9"/>
      <c r="J9"/>
      <c r="K9"/>
    </row>
    <row r="10" spans="1:11" x14ac:dyDescent="0.25">
      <c r="A10"/>
      <c r="B10" s="14"/>
      <c r="C10"/>
      <c r="D10"/>
      <c r="E10"/>
      <c r="F10"/>
      <c r="G10"/>
      <c r="H10"/>
      <c r="I10"/>
      <c r="J10"/>
      <c r="K10"/>
    </row>
    <row r="11" spans="1:11" x14ac:dyDescent="0.25">
      <c r="A11"/>
      <c r="B11" s="14"/>
      <c r="C11"/>
      <c r="D11"/>
      <c r="E11"/>
      <c r="F11"/>
      <c r="G11"/>
      <c r="H11"/>
      <c r="I11"/>
      <c r="J11"/>
      <c r="K11"/>
    </row>
    <row r="12" spans="1:11" x14ac:dyDescent="0.25">
      <c r="A12"/>
      <c r="B12" s="14"/>
      <c r="C12"/>
      <c r="D12"/>
      <c r="E12"/>
      <c r="F12"/>
      <c r="G12"/>
      <c r="H12"/>
      <c r="I12"/>
      <c r="J12"/>
      <c r="K12"/>
    </row>
    <row r="13" spans="1:11" x14ac:dyDescent="0.25">
      <c r="A13"/>
      <c r="B13" s="14"/>
      <c r="C13"/>
      <c r="D13"/>
      <c r="E13"/>
      <c r="F13"/>
      <c r="G13"/>
      <c r="H13"/>
      <c r="I13"/>
      <c r="J13"/>
      <c r="K13"/>
    </row>
    <row r="14" spans="1:11" x14ac:dyDescent="0.25">
      <c r="A14"/>
      <c r="B14" s="14"/>
      <c r="C14"/>
      <c r="D14"/>
      <c r="E14"/>
      <c r="F14"/>
      <c r="G14"/>
      <c r="H14"/>
      <c r="I14"/>
      <c r="J14"/>
      <c r="K14"/>
    </row>
    <row r="15" spans="1:11" x14ac:dyDescent="0.25">
      <c r="A15"/>
      <c r="B15" s="14"/>
      <c r="C15"/>
      <c r="D15"/>
      <c r="E15"/>
      <c r="F15"/>
      <c r="G15"/>
      <c r="H15"/>
      <c r="I15"/>
      <c r="J15"/>
      <c r="K15"/>
    </row>
    <row r="16" spans="1:11" x14ac:dyDescent="0.25">
      <c r="A16"/>
      <c r="B16" s="14"/>
      <c r="C16"/>
      <c r="D16"/>
      <c r="E16"/>
      <c r="F16"/>
      <c r="G16"/>
      <c r="H16"/>
      <c r="I16"/>
      <c r="J16"/>
      <c r="K16"/>
    </row>
    <row r="17" spans="1:11" x14ac:dyDescent="0.25">
      <c r="A17"/>
      <c r="B17" s="14"/>
      <c r="C17"/>
      <c r="D17"/>
      <c r="E17"/>
      <c r="F17"/>
      <c r="G17"/>
      <c r="H17"/>
      <c r="I17"/>
      <c r="J17"/>
      <c r="K17"/>
    </row>
    <row r="18" spans="1:11" x14ac:dyDescent="0.25">
      <c r="A18"/>
      <c r="B18" s="14"/>
      <c r="C18"/>
      <c r="D18"/>
      <c r="E18"/>
      <c r="F18"/>
      <c r="G18"/>
      <c r="H18"/>
      <c r="I18"/>
      <c r="J18"/>
      <c r="K18"/>
    </row>
    <row r="19" spans="1:11" x14ac:dyDescent="0.25">
      <c r="A19"/>
      <c r="B19" s="14"/>
      <c r="C19"/>
      <c r="D19"/>
      <c r="E19"/>
      <c r="F19"/>
      <c r="G19"/>
      <c r="H19"/>
      <c r="I19"/>
      <c r="J19"/>
      <c r="K19"/>
    </row>
    <row r="20" spans="1:11" x14ac:dyDescent="0.25">
      <c r="A20"/>
      <c r="B20" s="14"/>
      <c r="C20"/>
      <c r="D20"/>
      <c r="E20"/>
      <c r="F20"/>
      <c r="G20"/>
      <c r="H20"/>
      <c r="I20"/>
      <c r="J20"/>
      <c r="K20"/>
    </row>
    <row r="21" spans="1:11" x14ac:dyDescent="0.25">
      <c r="A21"/>
      <c r="B21" s="14"/>
      <c r="C21"/>
      <c r="D21"/>
      <c r="E21"/>
      <c r="F21"/>
      <c r="G21"/>
      <c r="H21"/>
      <c r="I21"/>
      <c r="J21"/>
      <c r="K21"/>
    </row>
    <row r="22" spans="1:11" x14ac:dyDescent="0.25">
      <c r="A22"/>
      <c r="B22" s="14"/>
      <c r="C22"/>
      <c r="D22"/>
      <c r="E22"/>
      <c r="F22"/>
      <c r="G22"/>
      <c r="H22"/>
      <c r="I22"/>
      <c r="J22"/>
      <c r="K22"/>
    </row>
    <row r="23" spans="1:11" x14ac:dyDescent="0.25">
      <c r="A23"/>
      <c r="B23" s="14"/>
      <c r="C23"/>
      <c r="D23"/>
      <c r="E23"/>
      <c r="F23"/>
      <c r="G23"/>
      <c r="H23"/>
      <c r="I23"/>
      <c r="J23"/>
      <c r="K23"/>
    </row>
    <row r="24" spans="1:11" x14ac:dyDescent="0.25">
      <c r="A24"/>
      <c r="B24" s="14"/>
      <c r="C24"/>
      <c r="D24"/>
      <c r="E24"/>
      <c r="F24"/>
      <c r="G24"/>
      <c r="H24"/>
      <c r="I24"/>
      <c r="J24"/>
      <c r="K24"/>
    </row>
    <row r="25" spans="1:11" x14ac:dyDescent="0.25">
      <c r="A25"/>
      <c r="B25" s="14"/>
      <c r="C25"/>
      <c r="D25"/>
      <c r="E25"/>
      <c r="F25"/>
      <c r="G25"/>
      <c r="H25"/>
      <c r="I25"/>
      <c r="J25"/>
      <c r="K25"/>
    </row>
    <row r="26" spans="1:11" x14ac:dyDescent="0.25">
      <c r="A26"/>
      <c r="B26" s="14"/>
      <c r="C26"/>
      <c r="D26"/>
      <c r="E26"/>
      <c r="F26"/>
      <c r="G26"/>
      <c r="H26"/>
      <c r="I26"/>
      <c r="J26"/>
      <c r="K26"/>
    </row>
    <row r="27" spans="1:11" x14ac:dyDescent="0.25">
      <c r="A27"/>
      <c r="B27" s="14"/>
      <c r="C27"/>
      <c r="D27"/>
      <c r="E27"/>
      <c r="F27"/>
      <c r="G27"/>
      <c r="H27"/>
      <c r="I27"/>
      <c r="J27"/>
      <c r="K27"/>
    </row>
    <row r="28" spans="1:11" x14ac:dyDescent="0.25">
      <c r="A28"/>
      <c r="B28" s="14"/>
      <c r="C28"/>
      <c r="D28"/>
      <c r="E28"/>
      <c r="F28"/>
      <c r="G28"/>
      <c r="H28"/>
      <c r="I28"/>
      <c r="J28"/>
      <c r="K28"/>
    </row>
    <row r="29" spans="1:11" x14ac:dyDescent="0.25">
      <c r="A29"/>
      <c r="B29" s="14"/>
      <c r="C29"/>
      <c r="D29"/>
      <c r="E29"/>
      <c r="F29"/>
      <c r="G29"/>
      <c r="H29"/>
      <c r="I29"/>
      <c r="J29"/>
      <c r="K29"/>
    </row>
    <row r="30" spans="1:11" x14ac:dyDescent="0.25">
      <c r="A30"/>
      <c r="B30" s="14"/>
      <c r="C30"/>
      <c r="D30"/>
      <c r="E30"/>
      <c r="F30"/>
      <c r="G30"/>
      <c r="H30"/>
      <c r="I30"/>
      <c r="J30"/>
      <c r="K30"/>
    </row>
    <row r="31" spans="1:11" x14ac:dyDescent="0.25">
      <c r="A31"/>
      <c r="B31" s="14"/>
      <c r="C31"/>
      <c r="D31"/>
      <c r="E31"/>
      <c r="F31"/>
      <c r="G31"/>
      <c r="H31"/>
      <c r="I31"/>
      <c r="J31"/>
      <c r="K31"/>
    </row>
    <row r="32" spans="1:11" x14ac:dyDescent="0.25">
      <c r="A32"/>
      <c r="B32" s="14"/>
      <c r="C32"/>
      <c r="D32"/>
      <c r="E32"/>
      <c r="F32"/>
      <c r="G32"/>
      <c r="H32"/>
      <c r="I32"/>
      <c r="J32"/>
      <c r="K32"/>
    </row>
    <row r="33" spans="1:11" x14ac:dyDescent="0.25">
      <c r="A33"/>
      <c r="B33" s="14"/>
      <c r="C33"/>
      <c r="D33"/>
      <c r="E33"/>
      <c r="F33"/>
      <c r="G33"/>
      <c r="H33"/>
      <c r="I33"/>
      <c r="J33"/>
      <c r="K33"/>
    </row>
    <row r="34" spans="1:11" x14ac:dyDescent="0.25">
      <c r="A34"/>
      <c r="B34" s="14"/>
      <c r="C34"/>
      <c r="D34"/>
      <c r="E34"/>
      <c r="F34"/>
      <c r="G34"/>
      <c r="H34"/>
      <c r="I34"/>
      <c r="J34"/>
      <c r="K34"/>
    </row>
    <row r="35" spans="1:11" x14ac:dyDescent="0.25">
      <c r="A35"/>
      <c r="B35" s="14"/>
      <c r="C35"/>
      <c r="D35"/>
      <c r="E35"/>
      <c r="F35"/>
      <c r="G35"/>
      <c r="H35"/>
      <c r="I35"/>
      <c r="J35"/>
      <c r="K35"/>
    </row>
    <row r="36" spans="1:11" x14ac:dyDescent="0.25">
      <c r="A36"/>
      <c r="B36" s="14"/>
      <c r="C36"/>
      <c r="D36"/>
      <c r="E36"/>
      <c r="F36"/>
      <c r="G36"/>
      <c r="H36"/>
      <c r="I36"/>
      <c r="J36"/>
      <c r="K36"/>
    </row>
    <row r="37" spans="1:11" x14ac:dyDescent="0.25">
      <c r="A37"/>
      <c r="B37" s="14"/>
      <c r="C37"/>
      <c r="D37"/>
      <c r="E37"/>
      <c r="F37"/>
      <c r="G37"/>
      <c r="H37"/>
      <c r="I37"/>
      <c r="J37"/>
      <c r="K37"/>
    </row>
    <row r="38" spans="1:11" x14ac:dyDescent="0.25">
      <c r="A38"/>
      <c r="B38" s="14"/>
      <c r="C38"/>
      <c r="D38"/>
      <c r="E38"/>
      <c r="F38"/>
      <c r="G38"/>
      <c r="H38"/>
      <c r="I38"/>
      <c r="J38"/>
      <c r="K38"/>
    </row>
    <row r="39" spans="1:11" x14ac:dyDescent="0.25">
      <c r="A39"/>
      <c r="B39" s="14"/>
      <c r="C39"/>
      <c r="D39"/>
      <c r="E39"/>
      <c r="F39"/>
      <c r="G39"/>
      <c r="H39"/>
      <c r="I39"/>
      <c r="J39"/>
      <c r="K39"/>
    </row>
    <row r="40" spans="1:11" x14ac:dyDescent="0.25">
      <c r="A40"/>
      <c r="B40" s="14"/>
      <c r="C40"/>
      <c r="D40"/>
      <c r="E40"/>
      <c r="F40"/>
      <c r="G40"/>
      <c r="H40"/>
      <c r="I40"/>
      <c r="J40"/>
      <c r="K40"/>
    </row>
    <row r="41" spans="1:11" x14ac:dyDescent="0.25">
      <c r="A41"/>
      <c r="B41" s="14"/>
      <c r="C41"/>
      <c r="D41"/>
      <c r="E41"/>
      <c r="F41"/>
      <c r="G41"/>
      <c r="H41"/>
      <c r="I41"/>
      <c r="J41"/>
      <c r="K41"/>
    </row>
    <row r="42" spans="1:11" x14ac:dyDescent="0.25">
      <c r="A42"/>
      <c r="B42" s="14"/>
      <c r="C42"/>
      <c r="D42"/>
      <c r="E42"/>
      <c r="F42"/>
      <c r="G42"/>
      <c r="H42"/>
      <c r="I42"/>
      <c r="J42"/>
      <c r="K42"/>
    </row>
    <row r="43" spans="1:11" x14ac:dyDescent="0.25">
      <c r="A43"/>
      <c r="B43" s="14"/>
      <c r="C43"/>
      <c r="D43"/>
      <c r="E43"/>
      <c r="F43"/>
      <c r="G43"/>
      <c r="H43"/>
      <c r="I43"/>
      <c r="J43"/>
      <c r="K43"/>
    </row>
    <row r="44" spans="1:11" x14ac:dyDescent="0.25">
      <c r="A44"/>
      <c r="B44" s="14"/>
      <c r="C44"/>
      <c r="D44"/>
      <c r="E44"/>
      <c r="F44"/>
      <c r="G44"/>
      <c r="H44"/>
      <c r="I44"/>
      <c r="J44"/>
      <c r="K44"/>
    </row>
    <row r="45" spans="1:11" x14ac:dyDescent="0.25">
      <c r="A45"/>
      <c r="B45" s="14"/>
      <c r="C45"/>
      <c r="D45"/>
      <c r="E45"/>
      <c r="F45"/>
      <c r="G45"/>
      <c r="H45"/>
      <c r="I45"/>
      <c r="J45"/>
      <c r="K45"/>
    </row>
    <row r="46" spans="1:11" x14ac:dyDescent="0.25">
      <c r="A46"/>
      <c r="B46" s="14"/>
      <c r="C46"/>
      <c r="D46"/>
      <c r="E46"/>
      <c r="F46"/>
      <c r="G46"/>
      <c r="H46"/>
      <c r="I46"/>
      <c r="J46"/>
      <c r="K46"/>
    </row>
    <row r="47" spans="1:11" x14ac:dyDescent="0.25">
      <c r="A47"/>
      <c r="B47" s="14"/>
      <c r="C47"/>
      <c r="D47"/>
      <c r="E47"/>
      <c r="F47"/>
      <c r="G47"/>
      <c r="H47"/>
      <c r="I47"/>
      <c r="J47"/>
      <c r="K47"/>
    </row>
    <row r="48" spans="1:11" x14ac:dyDescent="0.25">
      <c r="A48"/>
      <c r="B48" s="14"/>
      <c r="C48"/>
      <c r="D48"/>
      <c r="E48"/>
      <c r="F48"/>
      <c r="G48"/>
      <c r="H48"/>
      <c r="I48"/>
      <c r="J48"/>
      <c r="K48"/>
    </row>
    <row r="49" spans="1:11" x14ac:dyDescent="0.25">
      <c r="A49"/>
      <c r="B49" s="14"/>
      <c r="C49"/>
      <c r="D49"/>
      <c r="E49"/>
      <c r="F49"/>
      <c r="G49"/>
      <c r="H49"/>
      <c r="I49"/>
      <c r="J49"/>
      <c r="K49"/>
    </row>
    <row r="50" spans="1:11" x14ac:dyDescent="0.25">
      <c r="A50"/>
      <c r="B50" s="14"/>
      <c r="C50"/>
      <c r="D50"/>
      <c r="E50"/>
      <c r="F50"/>
      <c r="G50"/>
      <c r="H50"/>
      <c r="I50"/>
      <c r="J50"/>
      <c r="K50"/>
    </row>
    <row r="51" spans="1:11" x14ac:dyDescent="0.25">
      <c r="B51" s="14"/>
      <c r="D51"/>
      <c r="E51"/>
      <c r="F51"/>
      <c r="G51"/>
      <c r="H51"/>
      <c r="I51"/>
      <c r="J51"/>
      <c r="K51"/>
    </row>
    <row r="52" spans="1:11" x14ac:dyDescent="0.25">
      <c r="B52" s="14"/>
      <c r="D52"/>
      <c r="E52"/>
      <c r="F52"/>
      <c r="G52"/>
      <c r="H52"/>
      <c r="I52"/>
      <c r="J52"/>
      <c r="K52"/>
    </row>
    <row r="53" spans="1:11" x14ac:dyDescent="0.25">
      <c r="B53" s="14"/>
      <c r="D53"/>
      <c r="E53"/>
      <c r="F53"/>
      <c r="G53"/>
      <c r="H53"/>
      <c r="I53"/>
      <c r="J53"/>
      <c r="K53"/>
    </row>
    <row r="54" spans="1:11" x14ac:dyDescent="0.25">
      <c r="B54" s="14"/>
      <c r="D54"/>
      <c r="E54"/>
      <c r="F54"/>
      <c r="G54"/>
      <c r="H54"/>
      <c r="I54"/>
      <c r="J54"/>
      <c r="K54"/>
    </row>
    <row r="55" spans="1:11" x14ac:dyDescent="0.25">
      <c r="B55" s="14"/>
      <c r="D55"/>
      <c r="E55"/>
      <c r="F55"/>
      <c r="G55"/>
      <c r="H55"/>
      <c r="I55"/>
      <c r="J55"/>
      <c r="K55"/>
    </row>
    <row r="56" spans="1:11" x14ac:dyDescent="0.25">
      <c r="B56" s="14"/>
      <c r="D56"/>
      <c r="E56"/>
      <c r="F56"/>
      <c r="G56"/>
      <c r="H56"/>
      <c r="I56"/>
      <c r="J56"/>
      <c r="K56"/>
    </row>
    <row r="57" spans="1:11" x14ac:dyDescent="0.25">
      <c r="B57" s="14"/>
      <c r="D57"/>
      <c r="E57"/>
      <c r="F57"/>
      <c r="G57"/>
      <c r="H57"/>
      <c r="I57"/>
      <c r="J57"/>
      <c r="K57"/>
    </row>
    <row r="58" spans="1:11" x14ac:dyDescent="0.25">
      <c r="B58" s="14"/>
      <c r="D58"/>
      <c r="E58"/>
      <c r="F58"/>
      <c r="G58"/>
      <c r="H58"/>
      <c r="I58"/>
      <c r="J58"/>
      <c r="K58"/>
    </row>
    <row r="59" spans="1:11" x14ac:dyDescent="0.25">
      <c r="B59" s="14"/>
      <c r="D59"/>
      <c r="E59"/>
      <c r="F59"/>
      <c r="G59"/>
      <c r="H59"/>
      <c r="I59"/>
      <c r="J59"/>
      <c r="K59"/>
    </row>
    <row r="60" spans="1:11" x14ac:dyDescent="0.25">
      <c r="B60" s="14"/>
      <c r="D60"/>
      <c r="E60"/>
      <c r="F60"/>
      <c r="G60"/>
      <c r="H60"/>
      <c r="I60"/>
      <c r="J60"/>
      <c r="K60"/>
    </row>
    <row r="61" spans="1:11" x14ac:dyDescent="0.25">
      <c r="B61" s="14"/>
      <c r="D61"/>
      <c r="E61"/>
      <c r="F61"/>
      <c r="G61"/>
      <c r="H61"/>
      <c r="I61"/>
      <c r="J61"/>
      <c r="K61"/>
    </row>
    <row r="62" spans="1:11" x14ac:dyDescent="0.25">
      <c r="B62" s="14"/>
      <c r="D62"/>
      <c r="E62"/>
      <c r="F62"/>
      <c r="G62"/>
      <c r="H62"/>
      <c r="I62"/>
      <c r="J62"/>
      <c r="K62"/>
    </row>
    <row r="63" spans="1:11" x14ac:dyDescent="0.25">
      <c r="B63" s="14"/>
      <c r="D63"/>
      <c r="E63"/>
      <c r="F63"/>
      <c r="G63"/>
      <c r="H63"/>
      <c r="I63"/>
      <c r="J63"/>
      <c r="K63"/>
    </row>
    <row r="64" spans="1:11" x14ac:dyDescent="0.25">
      <c r="B64" s="14"/>
      <c r="D64"/>
      <c r="E64"/>
      <c r="F64"/>
      <c r="G64"/>
      <c r="H64"/>
      <c r="I64"/>
      <c r="J64"/>
      <c r="K64"/>
    </row>
    <row r="65" spans="2:11" x14ac:dyDescent="0.25">
      <c r="B65" s="14"/>
      <c r="D65"/>
      <c r="E65"/>
      <c r="F65"/>
      <c r="G65"/>
      <c r="H65"/>
      <c r="I65"/>
      <c r="J65"/>
      <c r="K65"/>
    </row>
    <row r="66" spans="2:11" x14ac:dyDescent="0.25">
      <c r="B66" s="14"/>
      <c r="D66"/>
      <c r="E66"/>
      <c r="F66"/>
      <c r="G66"/>
      <c r="H66"/>
      <c r="I66"/>
      <c r="J66"/>
      <c r="K66"/>
    </row>
    <row r="67" spans="2:11" x14ac:dyDescent="0.25">
      <c r="B67" s="14"/>
      <c r="D67"/>
      <c r="E67"/>
      <c r="F67"/>
      <c r="G67"/>
      <c r="H67"/>
      <c r="I67"/>
      <c r="J67"/>
      <c r="K67"/>
    </row>
    <row r="68" spans="2:11" x14ac:dyDescent="0.25">
      <c r="B68" s="14"/>
      <c r="D68"/>
      <c r="E68"/>
      <c r="F68"/>
      <c r="G68"/>
      <c r="H68"/>
      <c r="I68"/>
      <c r="J68"/>
      <c r="K68"/>
    </row>
    <row r="69" spans="2:11" x14ac:dyDescent="0.25">
      <c r="B69" s="14"/>
      <c r="D69"/>
      <c r="E69"/>
      <c r="F69"/>
      <c r="G69"/>
      <c r="H69"/>
      <c r="I69"/>
      <c r="J69"/>
      <c r="K69"/>
    </row>
    <row r="70" spans="2:11" x14ac:dyDescent="0.25">
      <c r="B70" s="14"/>
      <c r="D70"/>
      <c r="E70"/>
      <c r="F70"/>
      <c r="G70"/>
      <c r="H70"/>
      <c r="I70"/>
      <c r="J70"/>
      <c r="K70"/>
    </row>
    <row r="71" spans="2:11" x14ac:dyDescent="0.25">
      <c r="B71" s="14"/>
      <c r="D71"/>
      <c r="E71"/>
      <c r="F71"/>
      <c r="G71"/>
      <c r="H71"/>
      <c r="I71"/>
      <c r="J71"/>
      <c r="K71"/>
    </row>
    <row r="72" spans="2:11" x14ac:dyDescent="0.25">
      <c r="B72" s="14"/>
      <c r="D72"/>
      <c r="E72"/>
      <c r="F72"/>
      <c r="G72"/>
      <c r="H72"/>
      <c r="I72"/>
      <c r="J72"/>
      <c r="K72"/>
    </row>
    <row r="73" spans="2:11" x14ac:dyDescent="0.25">
      <c r="B73" s="14"/>
      <c r="D73"/>
      <c r="E73"/>
      <c r="F73"/>
      <c r="G73"/>
      <c r="H73"/>
      <c r="I73"/>
      <c r="J73"/>
      <c r="K73"/>
    </row>
    <row r="74" spans="2:11" x14ac:dyDescent="0.25">
      <c r="B74" s="14"/>
      <c r="D74"/>
      <c r="E74"/>
      <c r="F74"/>
      <c r="G74"/>
      <c r="H74"/>
      <c r="I74"/>
      <c r="J74"/>
      <c r="K74"/>
    </row>
    <row r="75" spans="2:11" x14ac:dyDescent="0.25">
      <c r="B75" s="14"/>
      <c r="D75"/>
      <c r="E75"/>
      <c r="F75"/>
      <c r="G75"/>
      <c r="H75"/>
      <c r="I75"/>
      <c r="J75"/>
      <c r="K75"/>
    </row>
    <row r="76" spans="2:11" x14ac:dyDescent="0.25">
      <c r="B76" s="14"/>
      <c r="D76"/>
      <c r="E76"/>
      <c r="F76"/>
      <c r="G76"/>
      <c r="H76"/>
      <c r="I76"/>
      <c r="J76"/>
      <c r="K76"/>
    </row>
    <row r="77" spans="2:11" x14ac:dyDescent="0.25">
      <c r="B77" s="14"/>
      <c r="D77"/>
      <c r="E77"/>
      <c r="F77"/>
      <c r="G77"/>
      <c r="H77"/>
      <c r="I77"/>
      <c r="J77"/>
      <c r="K77"/>
    </row>
    <row r="78" spans="2:11" x14ac:dyDescent="0.25">
      <c r="B78" s="14"/>
      <c r="D78"/>
      <c r="E78"/>
      <c r="F78"/>
      <c r="G78"/>
      <c r="H78"/>
      <c r="I78"/>
      <c r="J78"/>
      <c r="K78"/>
    </row>
    <row r="79" spans="2:11" x14ac:dyDescent="0.25">
      <c r="B79" s="14"/>
      <c r="D79"/>
      <c r="E79"/>
      <c r="F79"/>
      <c r="G79"/>
      <c r="H79"/>
      <c r="I79"/>
      <c r="J79"/>
      <c r="K79"/>
    </row>
    <row r="80" spans="2:11" x14ac:dyDescent="0.25">
      <c r="B80" s="14"/>
      <c r="D80"/>
      <c r="E80"/>
      <c r="F80"/>
      <c r="G80"/>
      <c r="H80"/>
      <c r="I80"/>
      <c r="J80"/>
      <c r="K80"/>
    </row>
    <row r="81" spans="2:11" x14ac:dyDescent="0.25">
      <c r="B81" s="14"/>
      <c r="D81"/>
      <c r="E81"/>
      <c r="F81"/>
      <c r="G81"/>
      <c r="H81"/>
      <c r="I81"/>
      <c r="J81"/>
      <c r="K81"/>
    </row>
    <row r="82" spans="2:11" x14ac:dyDescent="0.25">
      <c r="B82" s="14"/>
      <c r="D82"/>
      <c r="E82"/>
      <c r="F82"/>
      <c r="G82"/>
      <c r="H82"/>
      <c r="I82"/>
      <c r="J82"/>
      <c r="K82"/>
    </row>
    <row r="83" spans="2:11" x14ac:dyDescent="0.25">
      <c r="B83" s="14"/>
      <c r="D83"/>
      <c r="E83"/>
      <c r="F83"/>
      <c r="G83"/>
      <c r="H83"/>
      <c r="I83"/>
      <c r="J83"/>
      <c r="K83"/>
    </row>
    <row r="84" spans="2:11" x14ac:dyDescent="0.25">
      <c r="B84" s="14"/>
      <c r="D84"/>
      <c r="E84"/>
      <c r="F84"/>
      <c r="G84"/>
      <c r="H84"/>
      <c r="I84"/>
      <c r="J84"/>
      <c r="K84"/>
    </row>
    <row r="85" spans="2:11" x14ac:dyDescent="0.25">
      <c r="B85" s="14"/>
      <c r="D85"/>
      <c r="E85"/>
      <c r="F85"/>
      <c r="G85"/>
      <c r="H85"/>
      <c r="I85"/>
      <c r="J85"/>
      <c r="K85"/>
    </row>
    <row r="86" spans="2:11" x14ac:dyDescent="0.25">
      <c r="B86" s="14"/>
      <c r="D86"/>
      <c r="E86"/>
      <c r="F86"/>
      <c r="G86"/>
      <c r="H86"/>
      <c r="I86"/>
      <c r="J86"/>
      <c r="K86"/>
    </row>
    <row r="87" spans="2:11" x14ac:dyDescent="0.25">
      <c r="B87" s="14"/>
      <c r="D87"/>
      <c r="E87"/>
      <c r="F87"/>
      <c r="G87"/>
      <c r="H87"/>
      <c r="I87"/>
      <c r="J87"/>
      <c r="K87"/>
    </row>
    <row r="88" spans="2:11" x14ac:dyDescent="0.25">
      <c r="B88" s="14"/>
      <c r="D88"/>
      <c r="E88"/>
      <c r="F88"/>
      <c r="G88"/>
      <c r="H88"/>
      <c r="I88"/>
      <c r="J88"/>
      <c r="K88"/>
    </row>
    <row r="89" spans="2:11" x14ac:dyDescent="0.25">
      <c r="B89" s="14"/>
      <c r="D89"/>
      <c r="E89"/>
      <c r="F89"/>
      <c r="G89"/>
      <c r="H89"/>
      <c r="I89"/>
      <c r="J89"/>
      <c r="K89"/>
    </row>
    <row r="90" spans="2:11" x14ac:dyDescent="0.25">
      <c r="B90" s="14"/>
      <c r="D90"/>
      <c r="E90"/>
      <c r="F90"/>
      <c r="G90"/>
      <c r="H90"/>
      <c r="I90"/>
      <c r="J90"/>
      <c r="K90"/>
    </row>
    <row r="91" spans="2:11" x14ac:dyDescent="0.25">
      <c r="B91" s="14"/>
      <c r="D91"/>
      <c r="E91"/>
      <c r="F91"/>
      <c r="G91"/>
      <c r="H91"/>
      <c r="I91"/>
      <c r="J91"/>
      <c r="K91"/>
    </row>
    <row r="92" spans="2:11" x14ac:dyDescent="0.25">
      <c r="B92" s="14"/>
      <c r="D92"/>
      <c r="E92"/>
      <c r="F92"/>
      <c r="G92"/>
      <c r="H92"/>
      <c r="I92"/>
      <c r="J92"/>
      <c r="K92"/>
    </row>
    <row r="93" spans="2:11" x14ac:dyDescent="0.25">
      <c r="B93" s="14"/>
      <c r="D93"/>
      <c r="E93"/>
      <c r="F93"/>
      <c r="G93"/>
      <c r="H93"/>
      <c r="I93"/>
      <c r="J93"/>
      <c r="K93"/>
    </row>
    <row r="94" spans="2:11" x14ac:dyDescent="0.25">
      <c r="B94" s="14"/>
      <c r="D94"/>
      <c r="E94"/>
      <c r="F94"/>
      <c r="G94"/>
      <c r="H94"/>
      <c r="I94"/>
      <c r="J94"/>
      <c r="K94"/>
    </row>
    <row r="95" spans="2:11" x14ac:dyDescent="0.25">
      <c r="B95" s="14"/>
      <c r="D95"/>
      <c r="E95"/>
      <c r="F95"/>
      <c r="G95"/>
      <c r="H95"/>
      <c r="I95"/>
      <c r="J95"/>
      <c r="K95"/>
    </row>
    <row r="96" spans="2:11" x14ac:dyDescent="0.25">
      <c r="B96" s="14"/>
      <c r="D96"/>
      <c r="E96"/>
      <c r="F96"/>
      <c r="G96"/>
      <c r="H96"/>
      <c r="I96"/>
      <c r="J96"/>
      <c r="K96"/>
    </row>
    <row r="97" spans="2:11" x14ac:dyDescent="0.25">
      <c r="B97" s="14"/>
      <c r="D97"/>
      <c r="E97"/>
      <c r="F97"/>
      <c r="G97"/>
      <c r="H97"/>
      <c r="I97"/>
      <c r="J97"/>
      <c r="K97"/>
    </row>
    <row r="98" spans="2:11" x14ac:dyDescent="0.25">
      <c r="B98" s="14"/>
      <c r="D98"/>
      <c r="E98"/>
      <c r="F98"/>
      <c r="G98"/>
      <c r="H98"/>
      <c r="I98"/>
      <c r="J98"/>
      <c r="K98"/>
    </row>
    <row r="99" spans="2:11" x14ac:dyDescent="0.25">
      <c r="B99" s="14"/>
      <c r="D99"/>
      <c r="E99"/>
      <c r="F99"/>
      <c r="G99"/>
      <c r="H99"/>
      <c r="I99"/>
      <c r="J99"/>
      <c r="K99"/>
    </row>
    <row r="100" spans="2:11" x14ac:dyDescent="0.25">
      <c r="B100" s="14"/>
      <c r="D100"/>
      <c r="E100"/>
      <c r="F100"/>
      <c r="G100"/>
      <c r="H100"/>
      <c r="I100"/>
      <c r="J100"/>
      <c r="K100"/>
    </row>
    <row r="101" spans="2:11" x14ac:dyDescent="0.25">
      <c r="B101" s="14"/>
      <c r="D101"/>
      <c r="E101"/>
      <c r="F101"/>
      <c r="G101"/>
      <c r="H101"/>
      <c r="I101"/>
      <c r="J101"/>
      <c r="K101"/>
    </row>
    <row r="102" spans="2:11" x14ac:dyDescent="0.25">
      <c r="B102" s="14"/>
      <c r="D102"/>
      <c r="E102"/>
      <c r="F102"/>
      <c r="G102"/>
      <c r="H102"/>
      <c r="I102"/>
      <c r="J102"/>
      <c r="K102"/>
    </row>
    <row r="103" spans="2:11" x14ac:dyDescent="0.25">
      <c r="B103" s="14"/>
      <c r="D103"/>
      <c r="E103"/>
      <c r="F103"/>
      <c r="G103"/>
      <c r="H103"/>
      <c r="I103"/>
      <c r="J103"/>
      <c r="K103"/>
    </row>
    <row r="104" spans="2:11" x14ac:dyDescent="0.25">
      <c r="B104" s="14"/>
      <c r="D104"/>
      <c r="E104"/>
      <c r="F104"/>
      <c r="G104"/>
      <c r="H104"/>
      <c r="I104"/>
      <c r="J104"/>
      <c r="K104"/>
    </row>
    <row r="105" spans="2:11" x14ac:dyDescent="0.25">
      <c r="B105" s="14"/>
      <c r="D105"/>
      <c r="E105"/>
      <c r="F105"/>
      <c r="G105"/>
      <c r="H105"/>
      <c r="I105"/>
      <c r="J105"/>
      <c r="K105"/>
    </row>
    <row r="106" spans="2:11" x14ac:dyDescent="0.25">
      <c r="B106" s="14"/>
      <c r="D106"/>
      <c r="E106"/>
      <c r="F106"/>
      <c r="G106"/>
      <c r="H106"/>
      <c r="I106"/>
      <c r="J106"/>
      <c r="K106"/>
    </row>
    <row r="107" spans="2:11" x14ac:dyDescent="0.25">
      <c r="B107" s="14"/>
      <c r="D107"/>
      <c r="E107"/>
      <c r="F107"/>
      <c r="G107"/>
      <c r="H107"/>
      <c r="I107"/>
      <c r="J107"/>
      <c r="K107"/>
    </row>
    <row r="108" spans="2:11" x14ac:dyDescent="0.25">
      <c r="B108" s="14"/>
      <c r="D108"/>
      <c r="E108"/>
      <c r="F108"/>
      <c r="G108"/>
      <c r="H108"/>
      <c r="I108"/>
      <c r="J108"/>
      <c r="K108"/>
    </row>
    <row r="109" spans="2:11" x14ac:dyDescent="0.25">
      <c r="B109" s="14"/>
      <c r="D109"/>
      <c r="E109"/>
      <c r="F109"/>
      <c r="G109"/>
      <c r="H109"/>
      <c r="I109"/>
      <c r="J109"/>
      <c r="K109"/>
    </row>
    <row r="110" spans="2:11" x14ac:dyDescent="0.25">
      <c r="B110" s="14"/>
      <c r="D110"/>
      <c r="E110"/>
      <c r="F110"/>
      <c r="G110"/>
      <c r="H110"/>
      <c r="I110"/>
      <c r="J110"/>
      <c r="K110"/>
    </row>
    <row r="111" spans="2:11" x14ac:dyDescent="0.25">
      <c r="B111" s="14"/>
      <c r="D111"/>
      <c r="E111"/>
      <c r="F111"/>
      <c r="G111"/>
      <c r="H111"/>
      <c r="I111"/>
      <c r="J111"/>
      <c r="K111"/>
    </row>
    <row r="112" spans="2:11" x14ac:dyDescent="0.25">
      <c r="B112" s="14"/>
      <c r="D112"/>
      <c r="E112"/>
      <c r="F112"/>
      <c r="G112"/>
      <c r="H112"/>
      <c r="I112"/>
      <c r="J112"/>
      <c r="K112"/>
    </row>
    <row r="113" spans="2:11" x14ac:dyDescent="0.25">
      <c r="B113" s="14"/>
      <c r="D113"/>
      <c r="E113"/>
      <c r="F113"/>
      <c r="G113"/>
      <c r="H113"/>
      <c r="I113"/>
      <c r="J113"/>
      <c r="K113"/>
    </row>
    <row r="114" spans="2:11" x14ac:dyDescent="0.25">
      <c r="B114" s="14"/>
      <c r="D114"/>
      <c r="E114"/>
      <c r="F114"/>
      <c r="G114"/>
      <c r="H114"/>
      <c r="I114"/>
      <c r="J114"/>
      <c r="K114"/>
    </row>
    <row r="115" spans="2:11" x14ac:dyDescent="0.25">
      <c r="B115" s="14"/>
      <c r="D115"/>
      <c r="E115"/>
      <c r="F115"/>
      <c r="G115"/>
      <c r="H115"/>
      <c r="I115"/>
      <c r="J115"/>
      <c r="K115"/>
    </row>
    <row r="116" spans="2:11" x14ac:dyDescent="0.25">
      <c r="B116" s="14"/>
      <c r="D116"/>
      <c r="E116"/>
      <c r="F116"/>
      <c r="G116"/>
      <c r="H116"/>
      <c r="I116"/>
      <c r="J116"/>
      <c r="K116"/>
    </row>
    <row r="117" spans="2:11" x14ac:dyDescent="0.25">
      <c r="B117" s="14"/>
      <c r="D117"/>
      <c r="E117"/>
      <c r="F117"/>
      <c r="G117"/>
      <c r="H117"/>
      <c r="I117"/>
      <c r="J117"/>
      <c r="K117"/>
    </row>
    <row r="118" spans="2:11" x14ac:dyDescent="0.25">
      <c r="B118" s="14"/>
      <c r="D118"/>
      <c r="E118"/>
      <c r="F118"/>
      <c r="G118"/>
      <c r="H118"/>
      <c r="I118"/>
      <c r="J118"/>
      <c r="K118"/>
    </row>
    <row r="119" spans="2:11" x14ac:dyDescent="0.25">
      <c r="B119" s="14"/>
      <c r="D119"/>
      <c r="E119"/>
      <c r="F119"/>
      <c r="G119"/>
      <c r="H119"/>
      <c r="I119"/>
      <c r="J119"/>
      <c r="K119"/>
    </row>
    <row r="120" spans="2:11" x14ac:dyDescent="0.25">
      <c r="B120" s="14"/>
      <c r="D120"/>
      <c r="E120"/>
      <c r="F120"/>
      <c r="G120"/>
      <c r="H120"/>
      <c r="I120"/>
      <c r="J120"/>
      <c r="K120"/>
    </row>
    <row r="121" spans="2:11" x14ac:dyDescent="0.25">
      <c r="B121" s="14"/>
      <c r="D121"/>
      <c r="E121"/>
      <c r="F121"/>
      <c r="G121"/>
      <c r="H121"/>
      <c r="I121"/>
      <c r="J121"/>
      <c r="K121"/>
    </row>
    <row r="122" spans="2:11" x14ac:dyDescent="0.25">
      <c r="B122" s="14"/>
      <c r="D122"/>
      <c r="E122"/>
      <c r="F122"/>
      <c r="G122"/>
      <c r="H122"/>
      <c r="I122"/>
      <c r="J122"/>
      <c r="K122"/>
    </row>
    <row r="123" spans="2:11" x14ac:dyDescent="0.25">
      <c r="B123" s="14"/>
      <c r="D123"/>
      <c r="E123"/>
      <c r="F123"/>
      <c r="G123"/>
      <c r="H123"/>
      <c r="I123"/>
      <c r="J123"/>
      <c r="K123"/>
    </row>
    <row r="124" spans="2:11" x14ac:dyDescent="0.25">
      <c r="B124" s="14"/>
      <c r="D124"/>
      <c r="E124"/>
      <c r="F124"/>
      <c r="G124"/>
      <c r="H124"/>
      <c r="I124"/>
      <c r="J124"/>
      <c r="K124"/>
    </row>
    <row r="125" spans="2:11" x14ac:dyDescent="0.25">
      <c r="B125" s="14"/>
      <c r="D125"/>
      <c r="E125"/>
      <c r="F125"/>
      <c r="G125"/>
      <c r="H125"/>
      <c r="I125"/>
      <c r="J125"/>
      <c r="K125"/>
    </row>
    <row r="126" spans="2:11" x14ac:dyDescent="0.25">
      <c r="B126" s="14"/>
      <c r="D126"/>
      <c r="E126"/>
      <c r="F126"/>
      <c r="G126"/>
      <c r="H126"/>
      <c r="I126"/>
      <c r="J126"/>
      <c r="K126"/>
    </row>
    <row r="127" spans="2:11" x14ac:dyDescent="0.25">
      <c r="B127" s="14"/>
      <c r="D127"/>
      <c r="E127"/>
      <c r="F127"/>
      <c r="G127"/>
      <c r="H127"/>
      <c r="I127"/>
      <c r="J127"/>
      <c r="K127"/>
    </row>
    <row r="128" spans="2:11" x14ac:dyDescent="0.25">
      <c r="B128" s="14"/>
      <c r="D128"/>
      <c r="E128"/>
      <c r="F128"/>
      <c r="G128"/>
      <c r="H128"/>
      <c r="I128"/>
      <c r="J128"/>
      <c r="K128"/>
    </row>
    <row r="129" spans="2:11" x14ac:dyDescent="0.25">
      <c r="B129" s="14"/>
      <c r="D129"/>
      <c r="E129"/>
      <c r="F129"/>
      <c r="G129"/>
      <c r="H129"/>
      <c r="I129"/>
      <c r="J129"/>
      <c r="K129"/>
    </row>
    <row r="130" spans="2:11" x14ac:dyDescent="0.25">
      <c r="B130" s="14"/>
      <c r="D130"/>
      <c r="E130"/>
      <c r="F130"/>
      <c r="G130"/>
      <c r="H130"/>
      <c r="I130"/>
      <c r="J130"/>
      <c r="K130"/>
    </row>
    <row r="131" spans="2:11" x14ac:dyDescent="0.25">
      <c r="B131" s="14"/>
      <c r="D131"/>
      <c r="E131"/>
      <c r="F131"/>
      <c r="G131"/>
      <c r="H131"/>
      <c r="I131"/>
      <c r="J131"/>
      <c r="K131"/>
    </row>
    <row r="132" spans="2:11" x14ac:dyDescent="0.25">
      <c r="B132" s="14"/>
      <c r="D132"/>
      <c r="E132"/>
      <c r="F132"/>
      <c r="G132"/>
      <c r="H132"/>
      <c r="I132"/>
      <c r="J132"/>
      <c r="K132"/>
    </row>
    <row r="133" spans="2:11" x14ac:dyDescent="0.25">
      <c r="B133" s="14"/>
      <c r="D133"/>
      <c r="E133"/>
      <c r="F133"/>
      <c r="G133"/>
      <c r="H133"/>
      <c r="I133"/>
      <c r="J133"/>
      <c r="K133"/>
    </row>
    <row r="134" spans="2:11" x14ac:dyDescent="0.25">
      <c r="B134" s="14"/>
      <c r="D134"/>
      <c r="E134"/>
      <c r="F134"/>
      <c r="G134"/>
      <c r="H134"/>
      <c r="I134"/>
      <c r="J134"/>
      <c r="K134"/>
    </row>
    <row r="135" spans="2:11" x14ac:dyDescent="0.25">
      <c r="B135" s="14"/>
      <c r="D135"/>
      <c r="E135"/>
      <c r="F135"/>
      <c r="G135"/>
      <c r="H135"/>
      <c r="I135"/>
      <c r="J135"/>
      <c r="K135"/>
    </row>
    <row r="136" spans="2:11" x14ac:dyDescent="0.25">
      <c r="B136" s="14"/>
      <c r="D136"/>
      <c r="E136"/>
      <c r="F136"/>
      <c r="G136"/>
      <c r="H136"/>
      <c r="I136"/>
      <c r="J136"/>
      <c r="K136"/>
    </row>
    <row r="137" spans="2:11" x14ac:dyDescent="0.25">
      <c r="B137" s="14"/>
      <c r="D137"/>
      <c r="E137"/>
      <c r="F137"/>
      <c r="G137"/>
      <c r="H137"/>
      <c r="I137"/>
      <c r="J137"/>
      <c r="K137"/>
    </row>
    <row r="138" spans="2:11" x14ac:dyDescent="0.25">
      <c r="B138" s="14"/>
      <c r="D138"/>
      <c r="E138"/>
      <c r="F138"/>
      <c r="G138"/>
      <c r="H138"/>
      <c r="I138"/>
      <c r="J138"/>
      <c r="K138"/>
    </row>
    <row r="139" spans="2:11" x14ac:dyDescent="0.25">
      <c r="B139" s="14"/>
      <c r="D139"/>
      <c r="E139"/>
      <c r="F139"/>
      <c r="G139"/>
      <c r="H139"/>
      <c r="I139"/>
      <c r="J139"/>
      <c r="K139"/>
    </row>
    <row r="140" spans="2:11" x14ac:dyDescent="0.25">
      <c r="B140" s="14"/>
      <c r="D140"/>
      <c r="E140"/>
      <c r="F140"/>
      <c r="G140"/>
      <c r="H140"/>
      <c r="I140"/>
      <c r="J140"/>
      <c r="K140"/>
    </row>
    <row r="141" spans="2:11" x14ac:dyDescent="0.25">
      <c r="B141" s="14"/>
      <c r="D141"/>
      <c r="E141"/>
      <c r="F141"/>
      <c r="G141"/>
      <c r="H141"/>
      <c r="I141"/>
      <c r="J141"/>
      <c r="K141"/>
    </row>
    <row r="142" spans="2:11" x14ac:dyDescent="0.25">
      <c r="B142" s="14"/>
      <c r="D142"/>
      <c r="E142"/>
      <c r="F142"/>
      <c r="G142"/>
      <c r="H142"/>
      <c r="I142"/>
      <c r="J142"/>
      <c r="K142"/>
    </row>
    <row r="143" spans="2:11" x14ac:dyDescent="0.25">
      <c r="B143" s="14"/>
      <c r="D143"/>
      <c r="E143"/>
      <c r="F143"/>
      <c r="G143"/>
      <c r="H143"/>
      <c r="I143"/>
      <c r="J143"/>
      <c r="K143"/>
    </row>
    <row r="144" spans="2:11" x14ac:dyDescent="0.25">
      <c r="B144" s="14"/>
      <c r="D144"/>
      <c r="E144"/>
      <c r="F144"/>
      <c r="G144"/>
      <c r="H144"/>
      <c r="I144"/>
      <c r="J144"/>
      <c r="K144"/>
    </row>
    <row r="145" spans="2:11" x14ac:dyDescent="0.25">
      <c r="B145" s="14"/>
      <c r="D145"/>
      <c r="E145"/>
      <c r="F145"/>
      <c r="G145"/>
      <c r="H145"/>
      <c r="I145"/>
      <c r="J145"/>
      <c r="K145"/>
    </row>
    <row r="146" spans="2:11" x14ac:dyDescent="0.25">
      <c r="B146" s="14"/>
      <c r="D146"/>
      <c r="E146"/>
      <c r="F146"/>
      <c r="G146"/>
      <c r="H146"/>
      <c r="I146"/>
      <c r="J146"/>
      <c r="K146"/>
    </row>
    <row r="147" spans="2:11" x14ac:dyDescent="0.25">
      <c r="B147" s="14"/>
      <c r="D147"/>
      <c r="E147"/>
      <c r="F147"/>
      <c r="G147"/>
      <c r="H147"/>
      <c r="I147"/>
      <c r="J147"/>
      <c r="K147"/>
    </row>
    <row r="148" spans="2:11" x14ac:dyDescent="0.25">
      <c r="B148" s="14"/>
      <c r="D148"/>
      <c r="E148"/>
      <c r="F148"/>
      <c r="G148"/>
      <c r="H148"/>
      <c r="I148"/>
      <c r="J148"/>
      <c r="K148"/>
    </row>
    <row r="149" spans="2:11" x14ac:dyDescent="0.25">
      <c r="B149" s="14"/>
      <c r="D149"/>
      <c r="E149"/>
      <c r="F149"/>
      <c r="G149"/>
      <c r="H149"/>
      <c r="I149"/>
      <c r="J149"/>
      <c r="K149"/>
    </row>
    <row r="150" spans="2:11" x14ac:dyDescent="0.25">
      <c r="B150" s="14"/>
      <c r="D150"/>
      <c r="E150"/>
      <c r="F150"/>
      <c r="G150"/>
      <c r="H150"/>
      <c r="I150"/>
      <c r="J150"/>
      <c r="K150"/>
    </row>
    <row r="151" spans="2:11" x14ac:dyDescent="0.25">
      <c r="B151" s="14"/>
      <c r="D151"/>
      <c r="E151"/>
      <c r="F151"/>
      <c r="G151"/>
      <c r="H151"/>
      <c r="I151"/>
      <c r="J151"/>
      <c r="K151"/>
    </row>
    <row r="152" spans="2:11" x14ac:dyDescent="0.25">
      <c r="B152" s="14"/>
      <c r="D152"/>
      <c r="E152"/>
      <c r="F152"/>
      <c r="G152"/>
      <c r="H152"/>
      <c r="I152"/>
      <c r="J152"/>
      <c r="K152"/>
    </row>
    <row r="153" spans="2:11" x14ac:dyDescent="0.25">
      <c r="B153" s="14"/>
      <c r="D153"/>
      <c r="E153"/>
      <c r="F153"/>
      <c r="G153"/>
      <c r="H153"/>
      <c r="I153"/>
      <c r="J153"/>
      <c r="K153"/>
    </row>
    <row r="154" spans="2:11" x14ac:dyDescent="0.25">
      <c r="B154" s="14"/>
      <c r="D154"/>
      <c r="E154"/>
      <c r="F154"/>
      <c r="G154"/>
      <c r="H154"/>
      <c r="I154"/>
      <c r="J154"/>
      <c r="K154"/>
    </row>
    <row r="155" spans="2:11" x14ac:dyDescent="0.25">
      <c r="B155" s="14"/>
      <c r="D155"/>
      <c r="E155"/>
      <c r="F155"/>
      <c r="G155"/>
      <c r="H155"/>
      <c r="I155"/>
      <c r="J155"/>
      <c r="K155"/>
    </row>
    <row r="156" spans="2:11" x14ac:dyDescent="0.25">
      <c r="B156" s="14"/>
      <c r="D156"/>
      <c r="E156"/>
      <c r="F156"/>
      <c r="G156"/>
      <c r="H156"/>
      <c r="I156"/>
      <c r="J156"/>
      <c r="K156"/>
    </row>
    <row r="157" spans="2:11" x14ac:dyDescent="0.25">
      <c r="B157" s="14"/>
      <c r="D157"/>
      <c r="E157"/>
      <c r="F157"/>
      <c r="G157"/>
      <c r="H157"/>
      <c r="I157"/>
      <c r="J157"/>
      <c r="K157"/>
    </row>
    <row r="158" spans="2:11" x14ac:dyDescent="0.25">
      <c r="B158" s="14"/>
      <c r="D158"/>
      <c r="E158"/>
      <c r="F158"/>
      <c r="G158"/>
      <c r="H158"/>
      <c r="I158"/>
      <c r="J158"/>
      <c r="K158"/>
    </row>
    <row r="159" spans="2:11" x14ac:dyDescent="0.25">
      <c r="B159" s="14"/>
      <c r="D159"/>
      <c r="E159"/>
      <c r="F159"/>
      <c r="G159"/>
      <c r="H159"/>
      <c r="I159"/>
      <c r="J159"/>
      <c r="K159"/>
    </row>
    <row r="160" spans="2:11" x14ac:dyDescent="0.25">
      <c r="B160" s="14"/>
      <c r="D160"/>
      <c r="E160"/>
      <c r="F160"/>
      <c r="G160"/>
      <c r="H160"/>
      <c r="I160"/>
      <c r="J160"/>
      <c r="K160"/>
    </row>
    <row r="161" spans="2:11" x14ac:dyDescent="0.25">
      <c r="B161" s="14"/>
      <c r="D161"/>
      <c r="E161"/>
      <c r="F161"/>
      <c r="G161"/>
      <c r="H161"/>
      <c r="I161"/>
      <c r="J161"/>
      <c r="K161"/>
    </row>
    <row r="162" spans="2:11" x14ac:dyDescent="0.25">
      <c r="B162" s="14"/>
      <c r="D162"/>
      <c r="E162"/>
      <c r="F162"/>
      <c r="G162"/>
      <c r="H162"/>
      <c r="I162"/>
      <c r="J162"/>
      <c r="K162"/>
    </row>
    <row r="163" spans="2:11" x14ac:dyDescent="0.25">
      <c r="B163" s="14"/>
      <c r="D163"/>
      <c r="E163"/>
      <c r="F163"/>
      <c r="G163"/>
      <c r="H163"/>
      <c r="I163"/>
      <c r="J163"/>
      <c r="K163"/>
    </row>
    <row r="164" spans="2:11" x14ac:dyDescent="0.25">
      <c r="B164" s="14"/>
      <c r="D164"/>
      <c r="E164"/>
      <c r="F164"/>
      <c r="G164"/>
      <c r="H164"/>
      <c r="I164"/>
      <c r="J164"/>
      <c r="K164"/>
    </row>
    <row r="165" spans="2:11" x14ac:dyDescent="0.25">
      <c r="B165" s="14"/>
      <c r="D165"/>
      <c r="E165"/>
      <c r="F165"/>
      <c r="G165"/>
      <c r="H165"/>
      <c r="I165"/>
      <c r="J165"/>
      <c r="K165"/>
    </row>
    <row r="166" spans="2:11" x14ac:dyDescent="0.25">
      <c r="B166" s="14"/>
      <c r="D166"/>
      <c r="E166"/>
      <c r="F166"/>
      <c r="G166"/>
      <c r="H166"/>
      <c r="I166"/>
      <c r="J166"/>
      <c r="K166"/>
    </row>
    <row r="167" spans="2:11" x14ac:dyDescent="0.25">
      <c r="B167" s="14"/>
      <c r="D167"/>
      <c r="E167"/>
      <c r="F167"/>
      <c r="G167"/>
      <c r="H167"/>
      <c r="I167"/>
      <c r="J167"/>
      <c r="K167"/>
    </row>
    <row r="168" spans="2:11" x14ac:dyDescent="0.25">
      <c r="B168" s="14"/>
      <c r="D168"/>
      <c r="E168"/>
      <c r="F168"/>
      <c r="G168"/>
      <c r="H168"/>
      <c r="I168"/>
      <c r="J168"/>
      <c r="K168"/>
    </row>
    <row r="169" spans="2:11" x14ac:dyDescent="0.25">
      <c r="B169" s="14"/>
      <c r="D169"/>
      <c r="E169"/>
      <c r="F169"/>
      <c r="G169"/>
      <c r="H169"/>
      <c r="I169"/>
      <c r="J169"/>
      <c r="K169"/>
    </row>
    <row r="170" spans="2:11" x14ac:dyDescent="0.25">
      <c r="B170" s="14"/>
      <c r="D170"/>
      <c r="E170"/>
      <c r="F170"/>
      <c r="G170"/>
      <c r="H170"/>
      <c r="I170"/>
      <c r="J170"/>
      <c r="K170"/>
    </row>
    <row r="171" spans="2:11" x14ac:dyDescent="0.25">
      <c r="B171" s="14"/>
      <c r="D171"/>
      <c r="E171"/>
      <c r="F171"/>
      <c r="G171"/>
      <c r="H171"/>
      <c r="I171"/>
      <c r="J171"/>
      <c r="K171"/>
    </row>
    <row r="172" spans="2:11" x14ac:dyDescent="0.25">
      <c r="B172" s="14"/>
      <c r="D172"/>
      <c r="E172"/>
      <c r="F172"/>
      <c r="G172"/>
      <c r="H172"/>
      <c r="I172"/>
      <c r="J172"/>
      <c r="K172"/>
    </row>
    <row r="173" spans="2:11" x14ac:dyDescent="0.25">
      <c r="B173" s="14"/>
      <c r="D173"/>
      <c r="E173"/>
      <c r="F173"/>
      <c r="G173"/>
      <c r="H173"/>
      <c r="I173"/>
      <c r="J173"/>
      <c r="K173"/>
    </row>
    <row r="174" spans="2:11" x14ac:dyDescent="0.25">
      <c r="B174" s="14"/>
      <c r="D174"/>
      <c r="E174"/>
      <c r="F174"/>
      <c r="G174"/>
      <c r="H174"/>
      <c r="I174"/>
      <c r="J174"/>
      <c r="K174"/>
    </row>
    <row r="175" spans="2:11" x14ac:dyDescent="0.25">
      <c r="B175" s="14"/>
      <c r="D175"/>
      <c r="E175"/>
      <c r="F175"/>
      <c r="G175"/>
      <c r="H175"/>
      <c r="I175"/>
      <c r="J175"/>
      <c r="K175"/>
    </row>
    <row r="176" spans="2:11" x14ac:dyDescent="0.25">
      <c r="B176" s="14"/>
      <c r="D176"/>
      <c r="E176"/>
      <c r="F176"/>
      <c r="G176"/>
      <c r="H176"/>
      <c r="I176"/>
      <c r="J176"/>
      <c r="K176"/>
    </row>
    <row r="177" spans="2:11" x14ac:dyDescent="0.25">
      <c r="B177" s="14"/>
      <c r="D177"/>
      <c r="E177"/>
      <c r="F177"/>
      <c r="G177"/>
      <c r="H177"/>
      <c r="I177"/>
      <c r="J177"/>
      <c r="K177"/>
    </row>
    <row r="178" spans="2:11" x14ac:dyDescent="0.25">
      <c r="B178" s="14"/>
      <c r="D178"/>
      <c r="E178"/>
      <c r="F178"/>
      <c r="G178"/>
      <c r="H178"/>
      <c r="I178"/>
      <c r="J178"/>
      <c r="K178"/>
    </row>
    <row r="179" spans="2:11" x14ac:dyDescent="0.25">
      <c r="B179" s="14"/>
      <c r="D179"/>
      <c r="E179"/>
      <c r="F179"/>
      <c r="G179"/>
      <c r="H179"/>
      <c r="I179"/>
      <c r="J179"/>
      <c r="K179"/>
    </row>
    <row r="180" spans="2:11" x14ac:dyDescent="0.25">
      <c r="B180" s="14"/>
      <c r="D180"/>
      <c r="E180"/>
      <c r="F180"/>
      <c r="G180"/>
      <c r="H180"/>
      <c r="I180"/>
      <c r="J180"/>
      <c r="K180"/>
    </row>
    <row r="181" spans="2:11" x14ac:dyDescent="0.25">
      <c r="B181" s="14"/>
      <c r="D181"/>
      <c r="E181"/>
      <c r="F181"/>
      <c r="G181"/>
      <c r="H181"/>
      <c r="I181"/>
      <c r="J181"/>
      <c r="K181"/>
    </row>
    <row r="182" spans="2:11" x14ac:dyDescent="0.25">
      <c r="B182" s="14"/>
      <c r="D182"/>
      <c r="E182"/>
      <c r="F182"/>
      <c r="G182"/>
      <c r="H182"/>
      <c r="I182"/>
      <c r="J182"/>
      <c r="K182"/>
    </row>
    <row r="183" spans="2:11" x14ac:dyDescent="0.25">
      <c r="B183" s="14"/>
      <c r="D183"/>
      <c r="E183"/>
      <c r="F183"/>
      <c r="G183"/>
      <c r="H183"/>
      <c r="I183"/>
      <c r="J183"/>
      <c r="K183"/>
    </row>
    <row r="184" spans="2:11" x14ac:dyDescent="0.25">
      <c r="B184" s="14"/>
      <c r="D184"/>
      <c r="E184"/>
      <c r="F184"/>
      <c r="G184"/>
      <c r="H184"/>
      <c r="I184"/>
      <c r="J184"/>
      <c r="K184"/>
    </row>
    <row r="185" spans="2:11" x14ac:dyDescent="0.25">
      <c r="B185" s="14"/>
      <c r="D185"/>
      <c r="E185"/>
      <c r="F185"/>
      <c r="G185"/>
      <c r="H185"/>
      <c r="I185"/>
      <c r="J185"/>
      <c r="K185"/>
    </row>
    <row r="186" spans="2:11" x14ac:dyDescent="0.25">
      <c r="B186" s="14"/>
      <c r="D186"/>
      <c r="E186"/>
      <c r="F186"/>
      <c r="G186"/>
      <c r="H186"/>
      <c r="I186"/>
      <c r="J186"/>
      <c r="K186"/>
    </row>
    <row r="187" spans="2:11" x14ac:dyDescent="0.25">
      <c r="B187" s="14"/>
      <c r="D187"/>
      <c r="E187"/>
      <c r="F187"/>
      <c r="G187"/>
      <c r="H187"/>
      <c r="I187"/>
      <c r="J187"/>
      <c r="K187"/>
    </row>
    <row r="188" spans="2:11" x14ac:dyDescent="0.25">
      <c r="B188" s="14"/>
      <c r="D188"/>
      <c r="E188"/>
      <c r="F188"/>
      <c r="G188"/>
      <c r="H188"/>
      <c r="I188"/>
      <c r="J188"/>
      <c r="K188"/>
    </row>
    <row r="189" spans="2:11" x14ac:dyDescent="0.25">
      <c r="B189" s="14"/>
      <c r="D189"/>
      <c r="E189"/>
      <c r="F189"/>
      <c r="G189"/>
      <c r="H189"/>
      <c r="I189"/>
      <c r="J189"/>
      <c r="K189"/>
    </row>
    <row r="190" spans="2:11" x14ac:dyDescent="0.25">
      <c r="B190" s="14"/>
      <c r="D190"/>
      <c r="E190"/>
      <c r="F190"/>
      <c r="G190"/>
      <c r="H190"/>
      <c r="I190"/>
      <c r="J190"/>
      <c r="K190"/>
    </row>
    <row r="191" spans="2:11" x14ac:dyDescent="0.25">
      <c r="B191" s="14"/>
      <c r="D191"/>
      <c r="E191"/>
      <c r="F191"/>
      <c r="G191"/>
      <c r="H191"/>
      <c r="I191"/>
      <c r="J191"/>
      <c r="K191"/>
    </row>
    <row r="192" spans="2:11" x14ac:dyDescent="0.25">
      <c r="B192" s="14"/>
      <c r="D192"/>
      <c r="E192"/>
      <c r="F192"/>
      <c r="G192"/>
      <c r="H192"/>
      <c r="I192"/>
      <c r="J192"/>
      <c r="K192"/>
    </row>
    <row r="193" spans="2:11" x14ac:dyDescent="0.25">
      <c r="B193" s="14"/>
      <c r="D193"/>
      <c r="E193"/>
      <c r="F193"/>
      <c r="G193"/>
      <c r="H193"/>
      <c r="I193"/>
      <c r="J193"/>
      <c r="K193"/>
    </row>
    <row r="194" spans="2:11" x14ac:dyDescent="0.25">
      <c r="B194" s="14"/>
      <c r="D194"/>
      <c r="E194"/>
      <c r="F194"/>
      <c r="G194"/>
      <c r="H194"/>
      <c r="I194"/>
      <c r="J194"/>
      <c r="K194"/>
    </row>
    <row r="195" spans="2:11" x14ac:dyDescent="0.25">
      <c r="B195" s="14"/>
      <c r="D195"/>
      <c r="E195"/>
      <c r="F195"/>
      <c r="G195"/>
      <c r="H195"/>
      <c r="I195"/>
      <c r="J195"/>
      <c r="K195"/>
    </row>
    <row r="196" spans="2:11" x14ac:dyDescent="0.25">
      <c r="B196" s="14"/>
      <c r="D196"/>
      <c r="E196"/>
      <c r="F196"/>
      <c r="G196"/>
      <c r="H196"/>
      <c r="I196"/>
      <c r="J196"/>
      <c r="K196"/>
    </row>
    <row r="197" spans="2:11" x14ac:dyDescent="0.25">
      <c r="B197" s="14"/>
      <c r="D197"/>
      <c r="E197"/>
      <c r="F197"/>
      <c r="G197"/>
      <c r="H197"/>
      <c r="I197"/>
      <c r="J197"/>
      <c r="K197"/>
    </row>
    <row r="198" spans="2:11" x14ac:dyDescent="0.25">
      <c r="B198" s="14"/>
      <c r="D198"/>
      <c r="E198"/>
      <c r="F198"/>
      <c r="G198"/>
      <c r="H198"/>
      <c r="I198"/>
      <c r="J198"/>
      <c r="K198"/>
    </row>
    <row r="199" spans="2:11" x14ac:dyDescent="0.25">
      <c r="B199" s="14"/>
      <c r="D199"/>
      <c r="E199"/>
      <c r="F199"/>
      <c r="G199"/>
      <c r="H199"/>
      <c r="I199"/>
      <c r="J199"/>
      <c r="K199"/>
    </row>
    <row r="200" spans="2:11" x14ac:dyDescent="0.25">
      <c r="B200" s="14"/>
      <c r="D200"/>
      <c r="E200"/>
      <c r="F200"/>
      <c r="G200"/>
      <c r="H200"/>
      <c r="I200"/>
      <c r="J200"/>
      <c r="K200"/>
    </row>
    <row r="201" spans="2:11" x14ac:dyDescent="0.25">
      <c r="B201" s="14"/>
      <c r="D201"/>
      <c r="E201"/>
      <c r="F201"/>
      <c r="G201"/>
      <c r="H201"/>
      <c r="I201"/>
      <c r="J201"/>
      <c r="K201"/>
    </row>
    <row r="202" spans="2:11" x14ac:dyDescent="0.25">
      <c r="B202" s="14"/>
      <c r="D202"/>
      <c r="E202"/>
      <c r="F202"/>
      <c r="G202"/>
      <c r="H202"/>
      <c r="I202"/>
      <c r="J202"/>
      <c r="K202"/>
    </row>
    <row r="203" spans="2:11" x14ac:dyDescent="0.25">
      <c r="B203" s="14"/>
      <c r="D203"/>
      <c r="E203"/>
      <c r="F203"/>
      <c r="G203"/>
      <c r="H203"/>
      <c r="I203"/>
      <c r="J203"/>
      <c r="K203"/>
    </row>
    <row r="204" spans="2:11" x14ac:dyDescent="0.25">
      <c r="B204" s="14"/>
      <c r="D204"/>
      <c r="E204"/>
      <c r="F204"/>
      <c r="G204"/>
      <c r="H204"/>
      <c r="I204"/>
      <c r="J204"/>
      <c r="K204"/>
    </row>
    <row r="205" spans="2:11" x14ac:dyDescent="0.25">
      <c r="B205" s="14"/>
      <c r="D205"/>
      <c r="E205"/>
      <c r="F205"/>
      <c r="G205"/>
      <c r="H205"/>
      <c r="I205"/>
      <c r="J205"/>
      <c r="K205"/>
    </row>
    <row r="206" spans="2:11" x14ac:dyDescent="0.25">
      <c r="B206" s="14"/>
      <c r="D206"/>
      <c r="E206"/>
      <c r="F206"/>
      <c r="G206"/>
      <c r="H206"/>
      <c r="I206"/>
      <c r="J206"/>
      <c r="K20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80662-C4DE-4CD8-BF0D-D8B36DB0B250}">
  <sheetPr codeName="Sheet5"/>
  <dimension ref="A1:G109"/>
  <sheetViews>
    <sheetView topLeftCell="A14" workbookViewId="0">
      <selection activeCell="B1" sqref="B1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4" bestFit="1" customWidth="1"/>
    <col min="7" max="7" width="8.5703125" bestFit="1" customWidth="1"/>
  </cols>
  <sheetData>
    <row r="1" spans="1:7" x14ac:dyDescent="0.25">
      <c r="A1"/>
      <c r="B1"/>
      <c r="C1"/>
      <c r="D1"/>
      <c r="E1"/>
      <c r="F1"/>
      <c r="G1"/>
    </row>
    <row r="2" spans="1:7" x14ac:dyDescent="0.25">
      <c r="A2"/>
      <c r="B2" s="14"/>
      <c r="C2" s="14"/>
      <c r="D2" s="14"/>
      <c r="E2" s="14"/>
      <c r="F2" s="14"/>
      <c r="G2" s="14"/>
    </row>
    <row r="3" spans="1:7" x14ac:dyDescent="0.25">
      <c r="A3"/>
      <c r="B3" s="14"/>
      <c r="C3" s="14"/>
      <c r="D3" s="14"/>
      <c r="E3" s="14"/>
      <c r="F3" s="14"/>
      <c r="G3" s="14"/>
    </row>
    <row r="4" spans="1:7" x14ac:dyDescent="0.25">
      <c r="A4"/>
      <c r="B4" s="14"/>
      <c r="C4" s="14"/>
      <c r="D4" s="14"/>
      <c r="E4" s="14"/>
      <c r="F4" s="14"/>
      <c r="G4" s="14"/>
    </row>
    <row r="5" spans="1:7" x14ac:dyDescent="0.25">
      <c r="A5"/>
      <c r="B5" s="14"/>
      <c r="C5" s="14"/>
      <c r="D5" s="14"/>
      <c r="E5" s="14"/>
      <c r="F5" s="14"/>
      <c r="G5" s="14"/>
    </row>
    <row r="6" spans="1:7" x14ac:dyDescent="0.25">
      <c r="A6"/>
      <c r="B6" s="14"/>
      <c r="C6" s="14"/>
      <c r="D6" s="14"/>
      <c r="E6" s="14"/>
      <c r="F6" s="14"/>
      <c r="G6" s="14"/>
    </row>
    <row r="7" spans="1:7" x14ac:dyDescent="0.25">
      <c r="A7"/>
      <c r="B7" s="14"/>
      <c r="C7" s="14"/>
      <c r="D7" s="14"/>
      <c r="E7" s="14"/>
      <c r="F7" s="14"/>
      <c r="G7" s="14"/>
    </row>
    <row r="8" spans="1:7" x14ac:dyDescent="0.25">
      <c r="A8"/>
      <c r="B8" s="14"/>
      <c r="C8" s="14"/>
      <c r="D8" s="14"/>
      <c r="E8" s="14"/>
      <c r="F8" s="14"/>
      <c r="G8" s="14"/>
    </row>
    <row r="9" spans="1:7" x14ac:dyDescent="0.25">
      <c r="A9"/>
      <c r="B9" s="14"/>
      <c r="C9" s="14"/>
      <c r="D9" s="14"/>
      <c r="E9" s="14"/>
      <c r="F9" s="14"/>
      <c r="G9" s="14"/>
    </row>
    <row r="10" spans="1:7" x14ac:dyDescent="0.25">
      <c r="A10"/>
      <c r="B10" s="14"/>
      <c r="C10" s="14"/>
      <c r="D10" s="14"/>
      <c r="E10" s="14"/>
      <c r="F10" s="14"/>
      <c r="G10" s="14"/>
    </row>
    <row r="11" spans="1:7" x14ac:dyDescent="0.25">
      <c r="A11"/>
      <c r="B11" s="14"/>
      <c r="C11" s="14"/>
      <c r="D11" s="14"/>
      <c r="E11" s="14"/>
      <c r="F11" s="14"/>
      <c r="G11" s="14"/>
    </row>
    <row r="12" spans="1:7" x14ac:dyDescent="0.25">
      <c r="A12"/>
      <c r="B12" s="14"/>
      <c r="C12" s="14"/>
      <c r="D12" s="14"/>
      <c r="E12" s="14"/>
      <c r="F12" s="14"/>
      <c r="G12" s="14"/>
    </row>
    <row r="13" spans="1:7" x14ac:dyDescent="0.25">
      <c r="A13"/>
      <c r="B13" s="14"/>
      <c r="C13" s="14"/>
      <c r="D13" s="14"/>
      <c r="E13" s="14"/>
      <c r="F13" s="14"/>
      <c r="G13" s="14"/>
    </row>
    <row r="14" spans="1:7" x14ac:dyDescent="0.25">
      <c r="A14"/>
      <c r="B14" s="14"/>
      <c r="C14" s="14"/>
      <c r="D14" s="14"/>
      <c r="E14" s="14"/>
      <c r="F14" s="14"/>
      <c r="G14" s="14"/>
    </row>
    <row r="15" spans="1:7" x14ac:dyDescent="0.25">
      <c r="A15"/>
      <c r="B15" s="14"/>
      <c r="C15" s="14"/>
      <c r="D15" s="14"/>
      <c r="E15" s="14"/>
      <c r="F15" s="14"/>
      <c r="G15" s="14"/>
    </row>
    <row r="16" spans="1:7" x14ac:dyDescent="0.25">
      <c r="A16"/>
      <c r="B16" s="14"/>
      <c r="C16" s="14"/>
      <c r="D16" s="14"/>
      <c r="E16" s="14"/>
      <c r="F16" s="14"/>
      <c r="G16" s="14"/>
    </row>
    <row r="17" spans="1:7" x14ac:dyDescent="0.25">
      <c r="A17"/>
      <c r="B17" s="14"/>
      <c r="C17" s="14"/>
      <c r="D17" s="14"/>
      <c r="E17" s="14"/>
      <c r="F17" s="14"/>
      <c r="G17" s="14"/>
    </row>
    <row r="18" spans="1:7" x14ac:dyDescent="0.25">
      <c r="A18"/>
      <c r="B18" s="14"/>
      <c r="C18" s="14"/>
      <c r="D18" s="14"/>
      <c r="E18" s="14"/>
      <c r="F18" s="14"/>
      <c r="G18" s="14"/>
    </row>
    <row r="19" spans="1:7" x14ac:dyDescent="0.25">
      <c r="A19"/>
      <c r="B19" s="14"/>
      <c r="C19" s="14"/>
      <c r="D19" s="14"/>
      <c r="E19" s="14"/>
      <c r="F19" s="14"/>
      <c r="G19" s="14"/>
    </row>
    <row r="20" spans="1:7" x14ac:dyDescent="0.25">
      <c r="A20"/>
      <c r="B20" s="14"/>
      <c r="C20" s="14"/>
      <c r="D20" s="14"/>
      <c r="E20" s="14"/>
      <c r="F20" s="14"/>
      <c r="G20" s="14"/>
    </row>
    <row r="21" spans="1:7" x14ac:dyDescent="0.25">
      <c r="A21"/>
      <c r="B21" s="14"/>
      <c r="C21" s="14"/>
      <c r="D21" s="14"/>
      <c r="E21" s="14"/>
      <c r="F21" s="14"/>
      <c r="G21" s="14"/>
    </row>
    <row r="22" spans="1:7" x14ac:dyDescent="0.25">
      <c r="A22"/>
      <c r="B22" s="14"/>
      <c r="C22" s="14"/>
      <c r="D22" s="14"/>
      <c r="E22" s="14"/>
      <c r="F22" s="14"/>
      <c r="G22" s="14"/>
    </row>
    <row r="23" spans="1:7" x14ac:dyDescent="0.25">
      <c r="A23"/>
      <c r="B23" s="14"/>
      <c r="C23" s="14"/>
      <c r="D23" s="14"/>
      <c r="E23" s="14"/>
      <c r="F23" s="14"/>
      <c r="G23" s="14"/>
    </row>
    <row r="24" spans="1:7" x14ac:dyDescent="0.25">
      <c r="A24"/>
      <c r="B24" s="14"/>
      <c r="C24" s="14"/>
      <c r="D24" s="14"/>
      <c r="E24" s="14"/>
      <c r="F24" s="14"/>
      <c r="G24" s="14"/>
    </row>
    <row r="25" spans="1:7" x14ac:dyDescent="0.25">
      <c r="A25"/>
      <c r="B25" s="14"/>
      <c r="C25" s="14"/>
      <c r="D25" s="14"/>
      <c r="E25" s="14"/>
      <c r="F25" s="14"/>
      <c r="G25" s="14"/>
    </row>
    <row r="26" spans="1:7" x14ac:dyDescent="0.25">
      <c r="A26"/>
      <c r="B26" s="14"/>
      <c r="C26" s="14"/>
      <c r="D26" s="14"/>
      <c r="E26" s="14"/>
      <c r="F26" s="14"/>
      <c r="G26" s="14"/>
    </row>
    <row r="27" spans="1:7" x14ac:dyDescent="0.25">
      <c r="A27"/>
      <c r="B27" s="14"/>
      <c r="C27" s="14"/>
      <c r="D27" s="14"/>
      <c r="E27" s="14"/>
      <c r="F27" s="14"/>
      <c r="G27" s="14"/>
    </row>
    <row r="28" spans="1:7" x14ac:dyDescent="0.25">
      <c r="A28"/>
      <c r="B28" s="14"/>
      <c r="C28" s="14"/>
      <c r="D28" s="14"/>
      <c r="E28" s="14"/>
      <c r="F28" s="14"/>
      <c r="G28" s="14"/>
    </row>
    <row r="29" spans="1:7" x14ac:dyDescent="0.25">
      <c r="A29"/>
      <c r="B29" s="14"/>
      <c r="C29" s="14"/>
      <c r="D29" s="14"/>
      <c r="E29" s="14"/>
      <c r="F29" s="14"/>
      <c r="G29" s="14"/>
    </row>
    <row r="30" spans="1:7" x14ac:dyDescent="0.25">
      <c r="A30"/>
      <c r="B30" s="14"/>
      <c r="C30" s="14"/>
      <c r="D30" s="14"/>
      <c r="E30" s="14"/>
      <c r="F30" s="14"/>
      <c r="G30" s="14"/>
    </row>
    <row r="31" spans="1:7" x14ac:dyDescent="0.25">
      <c r="A31"/>
      <c r="B31" s="14"/>
      <c r="C31" s="14"/>
      <c r="D31" s="14"/>
      <c r="E31" s="14"/>
      <c r="F31" s="14"/>
      <c r="G31" s="14"/>
    </row>
    <row r="32" spans="1:7" x14ac:dyDescent="0.25">
      <c r="A32"/>
      <c r="B32" s="14"/>
      <c r="C32" s="14"/>
      <c r="D32" s="14"/>
      <c r="E32" s="14"/>
      <c r="F32" s="14"/>
      <c r="G32" s="14"/>
    </row>
    <row r="33" spans="1:7" x14ac:dyDescent="0.25">
      <c r="A33"/>
      <c r="B33" s="14"/>
      <c r="C33" s="14"/>
      <c r="D33" s="14"/>
      <c r="E33" s="14"/>
      <c r="F33" s="14"/>
      <c r="G33" s="14"/>
    </row>
    <row r="34" spans="1:7" x14ac:dyDescent="0.25">
      <c r="A34"/>
      <c r="B34" s="14"/>
      <c r="C34" s="14"/>
      <c r="D34" s="14"/>
      <c r="E34" s="14"/>
      <c r="F34" s="14"/>
      <c r="G34" s="14"/>
    </row>
    <row r="35" spans="1:7" x14ac:dyDescent="0.25">
      <c r="A35"/>
      <c r="B35" s="14"/>
      <c r="C35" s="14"/>
      <c r="D35" s="14"/>
      <c r="E35" s="14"/>
      <c r="F35" s="14"/>
      <c r="G35" s="14"/>
    </row>
    <row r="36" spans="1:7" x14ac:dyDescent="0.25">
      <c r="A36"/>
      <c r="B36" s="14"/>
      <c r="C36" s="14"/>
      <c r="D36" s="14"/>
      <c r="E36" s="14"/>
      <c r="F36" s="14"/>
      <c r="G36" s="14"/>
    </row>
    <row r="37" spans="1:7" x14ac:dyDescent="0.25">
      <c r="A37"/>
      <c r="B37" s="14"/>
      <c r="C37" s="14"/>
      <c r="D37" s="14"/>
      <c r="E37" s="14"/>
      <c r="F37" s="14"/>
      <c r="G37" s="14"/>
    </row>
    <row r="38" spans="1:7" x14ac:dyDescent="0.25">
      <c r="A38"/>
      <c r="B38" s="14"/>
      <c r="C38" s="14"/>
      <c r="D38" s="14"/>
      <c r="E38" s="14"/>
      <c r="F38" s="14"/>
      <c r="G38" s="14"/>
    </row>
    <row r="39" spans="1:7" x14ac:dyDescent="0.25">
      <c r="A39"/>
      <c r="B39" s="14"/>
      <c r="C39" s="14"/>
      <c r="D39" s="14"/>
      <c r="E39" s="14"/>
      <c r="F39" s="14"/>
      <c r="G39" s="14"/>
    </row>
    <row r="40" spans="1:7" x14ac:dyDescent="0.25">
      <c r="A40"/>
      <c r="B40" s="14"/>
      <c r="C40" s="14"/>
      <c r="D40" s="14"/>
      <c r="E40" s="14"/>
      <c r="F40" s="14"/>
      <c r="G40" s="14"/>
    </row>
    <row r="41" spans="1:7" x14ac:dyDescent="0.25">
      <c r="A41"/>
      <c r="B41" s="14"/>
      <c r="C41" s="14"/>
      <c r="D41" s="14"/>
      <c r="E41" s="14"/>
      <c r="F41" s="14"/>
      <c r="G41" s="14"/>
    </row>
    <row r="42" spans="1:7" x14ac:dyDescent="0.25">
      <c r="A42"/>
      <c r="B42" s="14"/>
      <c r="C42" s="14"/>
      <c r="D42" s="14"/>
      <c r="E42" s="14"/>
      <c r="F42" s="14"/>
      <c r="G42" s="14"/>
    </row>
    <row r="43" spans="1:7" x14ac:dyDescent="0.25">
      <c r="A43"/>
      <c r="B43" s="14"/>
      <c r="C43" s="14"/>
      <c r="D43" s="14"/>
      <c r="E43" s="14"/>
      <c r="F43" s="14"/>
      <c r="G43" s="14"/>
    </row>
    <row r="44" spans="1:7" x14ac:dyDescent="0.25">
      <c r="A44"/>
      <c r="B44" s="14"/>
      <c r="C44" s="14"/>
      <c r="D44" s="14"/>
      <c r="E44" s="14"/>
      <c r="F44" s="14"/>
      <c r="G44" s="14"/>
    </row>
    <row r="45" spans="1:7" x14ac:dyDescent="0.25">
      <c r="A45"/>
      <c r="B45" s="14"/>
      <c r="C45" s="14"/>
      <c r="D45" s="14"/>
      <c r="E45" s="14"/>
      <c r="F45" s="14"/>
      <c r="G45" s="14"/>
    </row>
    <row r="46" spans="1:7" x14ac:dyDescent="0.25">
      <c r="A46"/>
      <c r="B46" s="14"/>
      <c r="C46" s="14"/>
      <c r="D46" s="14"/>
      <c r="E46" s="14"/>
      <c r="F46" s="14"/>
      <c r="G46" s="14"/>
    </row>
    <row r="47" spans="1:7" x14ac:dyDescent="0.25">
      <c r="A47"/>
      <c r="B47" s="14"/>
      <c r="C47" s="14"/>
      <c r="D47" s="14"/>
      <c r="E47" s="14"/>
      <c r="F47" s="14"/>
      <c r="G47" s="14"/>
    </row>
    <row r="48" spans="1:7" x14ac:dyDescent="0.25">
      <c r="A48"/>
      <c r="B48" s="14"/>
      <c r="C48" s="14"/>
      <c r="D48" s="14"/>
      <c r="E48" s="14"/>
      <c r="F48" s="14"/>
      <c r="G48" s="14"/>
    </row>
    <row r="49" spans="1:7" x14ac:dyDescent="0.25">
      <c r="A49"/>
      <c r="B49" s="14"/>
      <c r="C49" s="14"/>
      <c r="D49" s="14"/>
      <c r="E49" s="14"/>
      <c r="F49" s="14"/>
      <c r="G49" s="14"/>
    </row>
    <row r="50" spans="1:7" x14ac:dyDescent="0.25">
      <c r="A50"/>
      <c r="B50" s="14"/>
      <c r="C50" s="14"/>
      <c r="D50" s="14"/>
      <c r="E50" s="14"/>
      <c r="F50" s="14"/>
      <c r="G50" s="14"/>
    </row>
    <row r="51" spans="1:7" x14ac:dyDescent="0.25">
      <c r="A51"/>
      <c r="B51" s="14"/>
      <c r="C51" s="14"/>
      <c r="D51" s="14"/>
      <c r="E51" s="14"/>
      <c r="F51" s="14"/>
      <c r="G51" s="14"/>
    </row>
    <row r="52" spans="1:7" x14ac:dyDescent="0.25">
      <c r="A52"/>
      <c r="B52" s="14"/>
      <c r="C52" s="14"/>
      <c r="D52" s="14"/>
      <c r="E52" s="14"/>
      <c r="F52" s="14"/>
      <c r="G52" s="14"/>
    </row>
    <row r="53" spans="1:7" x14ac:dyDescent="0.25">
      <c r="A53"/>
      <c r="B53" s="14"/>
      <c r="C53" s="14"/>
      <c r="D53" s="14"/>
      <c r="E53" s="14"/>
      <c r="F53" s="14"/>
      <c r="G53" s="14"/>
    </row>
    <row r="54" spans="1:7" x14ac:dyDescent="0.25">
      <c r="A54"/>
      <c r="B54" s="14"/>
      <c r="C54" s="14"/>
      <c r="D54" s="14"/>
      <c r="E54" s="14"/>
      <c r="F54" s="14"/>
      <c r="G54" s="14"/>
    </row>
    <row r="55" spans="1:7" x14ac:dyDescent="0.25">
      <c r="A55"/>
      <c r="B55" s="14"/>
      <c r="C55" s="14"/>
      <c r="D55" s="14"/>
      <c r="E55" s="14"/>
      <c r="F55" s="14"/>
      <c r="G55" s="14"/>
    </row>
    <row r="56" spans="1:7" x14ac:dyDescent="0.25">
      <c r="A56"/>
      <c r="B56" s="14"/>
      <c r="C56" s="14"/>
      <c r="D56" s="14"/>
      <c r="E56" s="14"/>
      <c r="F56" s="14"/>
      <c r="G56" s="14"/>
    </row>
    <row r="57" spans="1:7" x14ac:dyDescent="0.25">
      <c r="A57"/>
      <c r="B57" s="14"/>
      <c r="C57" s="14"/>
      <c r="D57" s="14"/>
      <c r="E57" s="14"/>
      <c r="F57" s="14"/>
      <c r="G57" s="14"/>
    </row>
    <row r="58" spans="1:7" x14ac:dyDescent="0.25">
      <c r="A58"/>
      <c r="B58" s="14"/>
      <c r="C58" s="14"/>
      <c r="D58" s="14"/>
      <c r="E58" s="14"/>
      <c r="F58" s="14"/>
      <c r="G58" s="14"/>
    </row>
    <row r="59" spans="1:7" x14ac:dyDescent="0.25">
      <c r="A59"/>
      <c r="B59" s="14"/>
      <c r="C59" s="14"/>
      <c r="D59" s="14"/>
      <c r="E59" s="14"/>
      <c r="F59" s="14"/>
      <c r="G59" s="14"/>
    </row>
    <row r="60" spans="1:7" x14ac:dyDescent="0.25">
      <c r="A60"/>
      <c r="B60" s="14"/>
      <c r="C60" s="14"/>
      <c r="D60" s="14"/>
      <c r="E60" s="14"/>
      <c r="F60" s="14"/>
      <c r="G60" s="14"/>
    </row>
    <row r="61" spans="1:7" x14ac:dyDescent="0.25">
      <c r="A61"/>
      <c r="B61" s="14"/>
      <c r="C61" s="14"/>
      <c r="D61" s="14"/>
      <c r="E61" s="14"/>
      <c r="F61" s="14"/>
      <c r="G61" s="14"/>
    </row>
    <row r="62" spans="1:7" x14ac:dyDescent="0.25">
      <c r="A62"/>
      <c r="B62" s="14"/>
      <c r="C62" s="14"/>
      <c r="D62" s="14"/>
      <c r="E62" s="14"/>
      <c r="F62" s="14"/>
      <c r="G62" s="14"/>
    </row>
    <row r="63" spans="1:7" x14ac:dyDescent="0.25">
      <c r="A63"/>
      <c r="B63" s="14"/>
      <c r="C63" s="14"/>
      <c r="D63" s="14"/>
      <c r="E63" s="14"/>
      <c r="F63" s="14"/>
      <c r="G63" s="14"/>
    </row>
    <row r="64" spans="1:7" x14ac:dyDescent="0.25">
      <c r="A64"/>
      <c r="B64" s="14"/>
      <c r="C64" s="14"/>
      <c r="D64" s="14"/>
      <c r="E64" s="14"/>
      <c r="F64" s="14"/>
      <c r="G64" s="14"/>
    </row>
    <row r="65" spans="1:7" x14ac:dyDescent="0.25">
      <c r="A65"/>
      <c r="B65" s="14"/>
      <c r="C65" s="14"/>
      <c r="D65" s="14"/>
      <c r="E65" s="14"/>
      <c r="F65" s="14"/>
      <c r="G65" s="14"/>
    </row>
    <row r="66" spans="1:7" x14ac:dyDescent="0.25">
      <c r="A66"/>
      <c r="B66" s="14"/>
      <c r="C66" s="14"/>
      <c r="D66" s="14"/>
      <c r="E66" s="14"/>
      <c r="F66" s="14"/>
      <c r="G66" s="14"/>
    </row>
    <row r="67" spans="1:7" x14ac:dyDescent="0.25">
      <c r="A67"/>
      <c r="B67" s="14"/>
      <c r="C67" s="14"/>
      <c r="D67" s="14"/>
      <c r="E67" s="14"/>
      <c r="F67" s="14"/>
      <c r="G67" s="14"/>
    </row>
    <row r="68" spans="1:7" x14ac:dyDescent="0.25">
      <c r="A68"/>
      <c r="B68" s="14"/>
      <c r="C68" s="14"/>
      <c r="D68" s="14"/>
      <c r="E68" s="14"/>
      <c r="F68" s="14"/>
      <c r="G68" s="14"/>
    </row>
    <row r="69" spans="1:7" x14ac:dyDescent="0.25">
      <c r="A69"/>
      <c r="B69" s="14"/>
      <c r="C69" s="14"/>
      <c r="D69" s="14"/>
      <c r="E69" s="14"/>
      <c r="F69" s="14"/>
      <c r="G69" s="14"/>
    </row>
    <row r="70" spans="1:7" x14ac:dyDescent="0.25">
      <c r="A70"/>
      <c r="B70" s="14"/>
      <c r="C70" s="14"/>
      <c r="D70" s="14"/>
      <c r="E70" s="14"/>
      <c r="F70" s="14"/>
      <c r="G70" s="14"/>
    </row>
    <row r="71" spans="1:7" x14ac:dyDescent="0.25">
      <c r="A71"/>
      <c r="B71" s="14"/>
      <c r="C71" s="14"/>
      <c r="D71" s="14"/>
      <c r="E71" s="14"/>
      <c r="F71" s="14"/>
      <c r="G71" s="14"/>
    </row>
    <row r="72" spans="1:7" x14ac:dyDescent="0.25">
      <c r="A72"/>
      <c r="B72" s="14"/>
      <c r="C72" s="14"/>
      <c r="D72" s="14"/>
      <c r="E72" s="14"/>
      <c r="F72" s="14"/>
      <c r="G72" s="14"/>
    </row>
    <row r="73" spans="1:7" x14ac:dyDescent="0.25">
      <c r="A73"/>
      <c r="B73" s="14"/>
      <c r="C73" s="14"/>
      <c r="D73" s="14"/>
      <c r="E73" s="14"/>
      <c r="F73" s="14"/>
      <c r="G73" s="14"/>
    </row>
    <row r="74" spans="1:7" x14ac:dyDescent="0.25">
      <c r="A74"/>
      <c r="B74" s="14"/>
      <c r="C74" s="14"/>
      <c r="D74" s="14"/>
      <c r="E74" s="14"/>
      <c r="F74" s="14"/>
      <c r="G74" s="14"/>
    </row>
    <row r="75" spans="1:7" x14ac:dyDescent="0.25">
      <c r="A75"/>
      <c r="B75" s="14"/>
      <c r="C75" s="14"/>
      <c r="D75" s="14"/>
      <c r="E75" s="14"/>
      <c r="F75" s="14"/>
      <c r="G75" s="14"/>
    </row>
    <row r="76" spans="1:7" x14ac:dyDescent="0.25">
      <c r="A76"/>
      <c r="B76" s="14"/>
      <c r="C76" s="14"/>
      <c r="D76" s="14"/>
      <c r="E76" s="14"/>
      <c r="F76" s="14"/>
      <c r="G76" s="14"/>
    </row>
    <row r="77" spans="1:7" x14ac:dyDescent="0.25">
      <c r="A77"/>
      <c r="B77" s="14"/>
      <c r="C77" s="14"/>
      <c r="D77" s="14"/>
      <c r="E77" s="14"/>
      <c r="F77" s="14"/>
      <c r="G77" s="14"/>
    </row>
    <row r="78" spans="1:7" x14ac:dyDescent="0.25">
      <c r="A78"/>
      <c r="B78" s="14"/>
      <c r="C78" s="14"/>
      <c r="D78" s="14"/>
      <c r="E78" s="14"/>
      <c r="F78" s="14"/>
      <c r="G78" s="14"/>
    </row>
    <row r="79" spans="1:7" x14ac:dyDescent="0.25">
      <c r="A79"/>
      <c r="B79" s="14"/>
      <c r="C79" s="14"/>
      <c r="D79" s="14"/>
      <c r="E79" s="14"/>
      <c r="F79" s="14"/>
      <c r="G79" s="14"/>
    </row>
    <row r="80" spans="1:7" x14ac:dyDescent="0.25">
      <c r="A80"/>
      <c r="B80" s="14"/>
      <c r="C80" s="14"/>
      <c r="D80" s="14"/>
      <c r="E80" s="14"/>
      <c r="F80" s="14"/>
      <c r="G80" s="14"/>
    </row>
    <row r="81" spans="1:7" x14ac:dyDescent="0.25">
      <c r="A81"/>
      <c r="B81" s="14"/>
      <c r="C81" s="14"/>
      <c r="D81" s="14"/>
      <c r="E81" s="14"/>
      <c r="F81" s="14"/>
      <c r="G81" s="14"/>
    </row>
    <row r="82" spans="1:7" x14ac:dyDescent="0.25">
      <c r="A82"/>
      <c r="B82" s="14"/>
      <c r="C82" s="14"/>
      <c r="D82" s="14"/>
      <c r="E82" s="14"/>
      <c r="F82" s="14"/>
      <c r="G82" s="14"/>
    </row>
    <row r="83" spans="1:7" x14ac:dyDescent="0.25">
      <c r="A83"/>
      <c r="B83" s="14"/>
      <c r="C83" s="14"/>
      <c r="D83" s="14"/>
      <c r="E83" s="14"/>
      <c r="F83" s="14"/>
      <c r="G83" s="14"/>
    </row>
    <row r="84" spans="1:7" x14ac:dyDescent="0.25">
      <c r="A84"/>
      <c r="B84" s="14"/>
      <c r="C84" s="14"/>
      <c r="D84" s="14"/>
      <c r="E84" s="14"/>
      <c r="F84" s="14"/>
      <c r="G84" s="14"/>
    </row>
    <row r="85" spans="1:7" x14ac:dyDescent="0.25">
      <c r="A85"/>
      <c r="B85" s="14"/>
      <c r="C85" s="14"/>
      <c r="D85" s="14"/>
      <c r="E85" s="14"/>
      <c r="F85" s="14"/>
      <c r="G85" s="14"/>
    </row>
    <row r="86" spans="1:7" x14ac:dyDescent="0.25">
      <c r="A86"/>
      <c r="B86" s="14"/>
      <c r="C86" s="14"/>
      <c r="D86" s="14"/>
      <c r="E86" s="14"/>
      <c r="F86" s="14"/>
      <c r="G86" s="14"/>
    </row>
    <row r="87" spans="1:7" x14ac:dyDescent="0.25">
      <c r="A87"/>
      <c r="B87" s="14"/>
      <c r="C87" s="14"/>
      <c r="D87" s="14"/>
      <c r="E87" s="14"/>
      <c r="F87" s="14"/>
      <c r="G87" s="14"/>
    </row>
    <row r="88" spans="1:7" x14ac:dyDescent="0.25">
      <c r="A88"/>
      <c r="B88" s="14"/>
      <c r="C88" s="14"/>
      <c r="D88" s="14"/>
      <c r="E88" s="14"/>
      <c r="F88" s="14"/>
      <c r="G88" s="14"/>
    </row>
    <row r="89" spans="1:7" x14ac:dyDescent="0.25">
      <c r="A89"/>
      <c r="B89" s="14"/>
      <c r="C89" s="14"/>
      <c r="D89" s="14"/>
      <c r="E89" s="14"/>
      <c r="F89" s="14"/>
      <c r="G89" s="14"/>
    </row>
    <row r="90" spans="1:7" x14ac:dyDescent="0.25">
      <c r="A90"/>
      <c r="B90" s="14"/>
      <c r="C90" s="14"/>
      <c r="D90" s="14"/>
      <c r="E90" s="14"/>
      <c r="F90" s="14"/>
      <c r="G90" s="14"/>
    </row>
    <row r="91" spans="1:7" x14ac:dyDescent="0.25">
      <c r="A91"/>
      <c r="B91" s="14"/>
      <c r="C91" s="14"/>
      <c r="D91" s="14"/>
      <c r="E91" s="14"/>
      <c r="F91" s="14"/>
      <c r="G91" s="14"/>
    </row>
    <row r="92" spans="1:7" x14ac:dyDescent="0.25">
      <c r="A92"/>
      <c r="B92" s="14"/>
      <c r="C92" s="14"/>
      <c r="D92" s="14"/>
      <c r="E92" s="14"/>
      <c r="F92" s="14"/>
      <c r="G92" s="14"/>
    </row>
    <row r="93" spans="1:7" x14ac:dyDescent="0.25">
      <c r="A93"/>
      <c r="B93" s="14"/>
      <c r="C93" s="14"/>
      <c r="D93" s="14"/>
      <c r="E93" s="14"/>
      <c r="F93" s="14"/>
      <c r="G93" s="14"/>
    </row>
    <row r="94" spans="1:7" x14ac:dyDescent="0.25">
      <c r="A94"/>
      <c r="B94" s="14"/>
      <c r="C94" s="14"/>
      <c r="D94" s="14"/>
      <c r="E94" s="14"/>
      <c r="F94" s="14"/>
      <c r="G94" s="14"/>
    </row>
    <row r="95" spans="1:7" x14ac:dyDescent="0.25">
      <c r="A95"/>
      <c r="B95" s="14"/>
      <c r="C95" s="14"/>
      <c r="D95" s="14"/>
      <c r="E95" s="14"/>
      <c r="F95" s="14"/>
      <c r="G95" s="14"/>
    </row>
    <row r="96" spans="1:7" x14ac:dyDescent="0.25">
      <c r="A96"/>
      <c r="B96" s="14"/>
      <c r="C96" s="14"/>
      <c r="D96" s="14"/>
      <c r="E96" s="14"/>
      <c r="F96" s="14"/>
      <c r="G96" s="14"/>
    </row>
    <row r="97" spans="1:7" x14ac:dyDescent="0.25">
      <c r="A97"/>
      <c r="B97" s="14"/>
      <c r="C97" s="14"/>
      <c r="D97" s="14"/>
      <c r="E97" s="14"/>
      <c r="F97" s="14"/>
      <c r="G97" s="14"/>
    </row>
    <row r="98" spans="1:7" x14ac:dyDescent="0.25">
      <c r="A98"/>
      <c r="B98" s="14"/>
      <c r="C98" s="14"/>
      <c r="D98" s="14"/>
      <c r="E98" s="14"/>
      <c r="F98" s="14"/>
      <c r="G98" s="14"/>
    </row>
    <row r="99" spans="1:7" x14ac:dyDescent="0.25">
      <c r="A99"/>
      <c r="B99" s="14"/>
      <c r="C99" s="14"/>
      <c r="D99" s="14"/>
      <c r="E99" s="14"/>
      <c r="F99" s="14"/>
      <c r="G99" s="14"/>
    </row>
    <row r="100" spans="1:7" x14ac:dyDescent="0.25">
      <c r="A100"/>
      <c r="B100" s="14"/>
      <c r="C100" s="14"/>
      <c r="D100" s="14"/>
      <c r="E100" s="14"/>
      <c r="F100" s="14"/>
      <c r="G100" s="14"/>
    </row>
    <row r="101" spans="1:7" x14ac:dyDescent="0.25">
      <c r="A101"/>
      <c r="B101" s="14"/>
      <c r="C101" s="14"/>
      <c r="D101" s="14"/>
      <c r="E101" s="14"/>
      <c r="F101" s="14"/>
      <c r="G101" s="14"/>
    </row>
    <row r="102" spans="1:7" x14ac:dyDescent="0.25">
      <c r="A102"/>
      <c r="B102" s="14"/>
      <c r="C102" s="14"/>
      <c r="D102" s="14"/>
      <c r="E102" s="14"/>
      <c r="F102" s="14"/>
      <c r="G102" s="14"/>
    </row>
    <row r="103" spans="1:7" x14ac:dyDescent="0.25">
      <c r="A103"/>
      <c r="B103" s="14"/>
      <c r="C103" s="14"/>
      <c r="D103" s="14"/>
      <c r="E103" s="14"/>
      <c r="F103" s="14"/>
      <c r="G103" s="14"/>
    </row>
    <row r="104" spans="1:7" x14ac:dyDescent="0.25">
      <c r="A104"/>
      <c r="B104" s="14"/>
      <c r="C104" s="14"/>
      <c r="D104" s="14"/>
      <c r="E104" s="14"/>
      <c r="F104" s="14"/>
      <c r="G104" s="14"/>
    </row>
    <row r="105" spans="1:7" x14ac:dyDescent="0.25">
      <c r="A105"/>
      <c r="B105" s="14"/>
      <c r="C105" s="14"/>
      <c r="D105" s="14"/>
      <c r="E105" s="14"/>
      <c r="F105" s="14"/>
      <c r="G105" s="14"/>
    </row>
    <row r="106" spans="1:7" x14ac:dyDescent="0.25">
      <c r="A106"/>
      <c r="B106" s="14"/>
      <c r="C106" s="14"/>
      <c r="D106" s="14"/>
      <c r="E106" s="14"/>
      <c r="F106" s="14"/>
      <c r="G106" s="14"/>
    </row>
    <row r="107" spans="1:7" x14ac:dyDescent="0.25">
      <c r="A107"/>
      <c r="B107" s="14"/>
      <c r="C107" s="14"/>
      <c r="D107" s="14"/>
      <c r="E107" s="14"/>
      <c r="F107" s="14"/>
      <c r="G107" s="14"/>
    </row>
    <row r="108" spans="1:7" x14ac:dyDescent="0.25">
      <c r="A108"/>
      <c r="B108" s="14"/>
      <c r="C108" s="14"/>
      <c r="D108" s="14"/>
      <c r="E108" s="14"/>
      <c r="F108" s="14"/>
      <c r="G108" s="14"/>
    </row>
    <row r="109" spans="1:7" x14ac:dyDescent="0.25">
      <c r="A109"/>
      <c r="B109" s="14"/>
      <c r="C109" s="14"/>
      <c r="D109" s="14"/>
      <c r="E109" s="14"/>
      <c r="F109" s="14"/>
      <c r="G109" s="14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C1DAE-6A3C-45B1-90F2-A6D1191012B5}">
  <sheetPr codeName="Sheet6"/>
  <dimension ref="A1:H4"/>
  <sheetViews>
    <sheetView workbookViewId="0"/>
  </sheetViews>
  <sheetFormatPr defaultRowHeight="15" x14ac:dyDescent="0.25"/>
  <cols>
    <col min="1" max="1" width="10.7109375" bestFit="1" customWidth="1"/>
    <col min="2" max="2" width="20.7109375" bestFit="1" customWidth="1"/>
    <col min="3" max="3" width="5.28515625" bestFit="1" customWidth="1"/>
    <col min="4" max="4" width="7.140625" bestFit="1" customWidth="1"/>
    <col min="5" max="5" width="8.85546875" bestFit="1" customWidth="1"/>
    <col min="6" max="6" width="11.28515625" bestFit="1" customWidth="1"/>
    <col min="7" max="7" width="11.85546875" bestFit="1" customWidth="1"/>
    <col min="8" max="8" width="9.28515625" bestFit="1" customWidth="1"/>
  </cols>
  <sheetData>
    <row r="1" spans="1:8" x14ac:dyDescent="0.25">
      <c r="A1"/>
      <c r="B1"/>
      <c r="C1"/>
      <c r="D1"/>
      <c r="E1"/>
      <c r="F1"/>
      <c r="G1"/>
      <c r="H1"/>
    </row>
    <row r="2" spans="1:8" x14ac:dyDescent="0.25">
      <c r="A2" s="14"/>
      <c r="B2" s="14"/>
      <c r="C2"/>
      <c r="D2"/>
      <c r="E2"/>
    </row>
    <row r="3" spans="1:8" x14ac:dyDescent="0.25">
      <c r="A3" s="14"/>
      <c r="B3" s="14"/>
      <c r="C3"/>
      <c r="D3"/>
      <c r="E3"/>
    </row>
    <row r="4" spans="1:8" x14ac:dyDescent="0.25">
      <c r="A4" s="14"/>
      <c r="B4" s="14"/>
      <c r="C4"/>
      <c r="D4"/>
      <c r="E4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94895-2690-476A-B3F9-8DF5CB013870}">
  <sheetPr codeName="Sheet7"/>
  <dimension ref="A1:K53"/>
  <sheetViews>
    <sheetView workbookViewId="0"/>
  </sheetViews>
  <sheetFormatPr defaultRowHeight="15" x14ac:dyDescent="0.25"/>
  <cols>
    <col min="1" max="1" width="27.5703125" bestFit="1" customWidth="1"/>
    <col min="2" max="2" width="11.28515625" bestFit="1" customWidth="1"/>
    <col min="3" max="3" width="13.140625" bestFit="1" customWidth="1"/>
    <col min="4" max="4" width="27.5703125" bestFit="1" customWidth="1"/>
    <col min="5" max="5" width="5.28515625" bestFit="1" customWidth="1"/>
    <col min="6" max="6" width="9.42578125" style="26" bestFit="1" customWidth="1"/>
    <col min="7" max="7" width="11.140625" style="26" bestFit="1" customWidth="1"/>
    <col min="8" max="8" width="14.140625" style="26" bestFit="1" customWidth="1"/>
    <col min="9" max="10" width="11.5703125" style="26" bestFit="1" customWidth="1"/>
    <col min="11" max="11" width="9.140625" style="26"/>
  </cols>
  <sheetData>
    <row r="1" spans="1:11" x14ac:dyDescent="0.25">
      <c r="A1"/>
      <c r="B1"/>
      <c r="C1"/>
      <c r="D1" s="26"/>
      <c r="F1"/>
      <c r="G1"/>
      <c r="H1"/>
      <c r="I1"/>
      <c r="J1"/>
      <c r="K1"/>
    </row>
    <row r="2" spans="1:11" x14ac:dyDescent="0.25">
      <c r="A2" s="14"/>
      <c r="B2"/>
      <c r="D2" s="26"/>
      <c r="F2"/>
      <c r="G2"/>
      <c r="H2"/>
      <c r="I2"/>
      <c r="J2"/>
      <c r="K2"/>
    </row>
    <row r="3" spans="1:11" x14ac:dyDescent="0.25">
      <c r="A3" s="14"/>
      <c r="B3"/>
      <c r="D3" s="26"/>
      <c r="F3"/>
      <c r="G3"/>
      <c r="H3"/>
      <c r="I3"/>
      <c r="J3"/>
      <c r="K3"/>
    </row>
    <row r="4" spans="1:11" x14ac:dyDescent="0.25">
      <c r="A4" s="14"/>
      <c r="B4"/>
      <c r="D4" s="26"/>
      <c r="F4"/>
      <c r="G4"/>
      <c r="H4"/>
      <c r="I4"/>
      <c r="J4"/>
      <c r="K4"/>
    </row>
    <row r="5" spans="1:11" x14ac:dyDescent="0.25">
      <c r="A5" s="14"/>
      <c r="B5"/>
      <c r="D5" s="26"/>
      <c r="F5"/>
      <c r="G5"/>
      <c r="H5"/>
      <c r="I5"/>
      <c r="J5"/>
      <c r="K5"/>
    </row>
    <row r="6" spans="1:11" x14ac:dyDescent="0.25">
      <c r="A6" s="14"/>
      <c r="B6"/>
      <c r="D6" s="26"/>
      <c r="F6"/>
      <c r="G6"/>
      <c r="H6"/>
      <c r="I6"/>
      <c r="J6"/>
      <c r="K6"/>
    </row>
    <row r="7" spans="1:11" x14ac:dyDescent="0.25">
      <c r="A7" s="14"/>
      <c r="B7"/>
      <c r="C7"/>
      <c r="D7" s="26"/>
      <c r="F7"/>
      <c r="G7"/>
      <c r="H7"/>
      <c r="I7"/>
      <c r="J7"/>
      <c r="K7"/>
    </row>
    <row r="8" spans="1:11" x14ac:dyDescent="0.25">
      <c r="A8" s="14"/>
      <c r="B8"/>
      <c r="D8" s="26"/>
      <c r="F8"/>
      <c r="G8"/>
      <c r="H8"/>
      <c r="I8"/>
      <c r="J8"/>
      <c r="K8"/>
    </row>
    <row r="9" spans="1:11" x14ac:dyDescent="0.25">
      <c r="A9" s="14"/>
      <c r="B9"/>
      <c r="D9" s="26"/>
      <c r="F9"/>
      <c r="G9"/>
      <c r="H9"/>
      <c r="I9"/>
      <c r="J9"/>
      <c r="K9"/>
    </row>
    <row r="10" spans="1:11" x14ac:dyDescent="0.25">
      <c r="A10" s="14"/>
      <c r="B10"/>
      <c r="D10" s="26"/>
      <c r="F10"/>
      <c r="G10"/>
      <c r="H10"/>
      <c r="I10"/>
      <c r="J10"/>
      <c r="K10"/>
    </row>
    <row r="11" spans="1:11" x14ac:dyDescent="0.25">
      <c r="A11" s="14"/>
      <c r="B11"/>
      <c r="D11" s="26"/>
      <c r="F11"/>
      <c r="G11"/>
      <c r="H11"/>
      <c r="I11"/>
      <c r="J11"/>
      <c r="K11"/>
    </row>
    <row r="12" spans="1:11" x14ac:dyDescent="0.25">
      <c r="A12" s="14"/>
      <c r="B12"/>
      <c r="D12" s="26"/>
      <c r="F12"/>
      <c r="G12"/>
      <c r="H12"/>
      <c r="I12"/>
      <c r="J12"/>
      <c r="K12"/>
    </row>
    <row r="13" spans="1:11" x14ac:dyDescent="0.25">
      <c r="A13" s="14"/>
      <c r="B13"/>
      <c r="D13" s="26"/>
      <c r="F13"/>
      <c r="G13"/>
      <c r="H13"/>
      <c r="I13"/>
      <c r="J13"/>
      <c r="K13"/>
    </row>
    <row r="14" spans="1:11" x14ac:dyDescent="0.25">
      <c r="A14" s="14"/>
      <c r="B14"/>
      <c r="D14" s="26"/>
      <c r="F14"/>
      <c r="G14"/>
      <c r="H14"/>
      <c r="I14"/>
      <c r="J14"/>
      <c r="K14"/>
    </row>
    <row r="15" spans="1:11" x14ac:dyDescent="0.25">
      <c r="A15" s="14"/>
      <c r="B15"/>
      <c r="D15" s="26"/>
      <c r="F15"/>
      <c r="G15"/>
      <c r="H15"/>
      <c r="I15"/>
      <c r="J15"/>
      <c r="K15"/>
    </row>
    <row r="16" spans="1:11" x14ac:dyDescent="0.25">
      <c r="A16" s="14"/>
      <c r="B16"/>
      <c r="D16" s="26"/>
      <c r="F16"/>
      <c r="G16"/>
      <c r="H16"/>
      <c r="I16"/>
      <c r="J16"/>
      <c r="K16"/>
    </row>
    <row r="17" spans="1:11" x14ac:dyDescent="0.25">
      <c r="A17" s="14"/>
      <c r="B17"/>
      <c r="D17" s="26"/>
      <c r="F17"/>
      <c r="G17"/>
      <c r="H17"/>
      <c r="I17"/>
      <c r="J17"/>
      <c r="K17"/>
    </row>
    <row r="18" spans="1:11" x14ac:dyDescent="0.25">
      <c r="A18" s="14"/>
      <c r="B18"/>
      <c r="D18" s="26"/>
      <c r="F18"/>
      <c r="G18"/>
      <c r="H18"/>
      <c r="I18"/>
      <c r="J18"/>
      <c r="K18"/>
    </row>
    <row r="19" spans="1:11" x14ac:dyDescent="0.25">
      <c r="A19" s="14"/>
      <c r="B19"/>
      <c r="D19" s="26"/>
      <c r="F19"/>
      <c r="G19"/>
      <c r="H19"/>
      <c r="I19"/>
      <c r="J19"/>
      <c r="K19"/>
    </row>
    <row r="20" spans="1:11" x14ac:dyDescent="0.25">
      <c r="A20" s="14"/>
      <c r="B20"/>
      <c r="D20" s="26"/>
      <c r="F20"/>
      <c r="G20"/>
      <c r="H20"/>
      <c r="I20"/>
      <c r="J20"/>
      <c r="K20"/>
    </row>
    <row r="21" spans="1:11" x14ac:dyDescent="0.25">
      <c r="A21" s="14"/>
      <c r="B21"/>
      <c r="D21" s="26"/>
      <c r="F21"/>
      <c r="G21"/>
      <c r="H21"/>
      <c r="I21"/>
      <c r="J21"/>
      <c r="K21"/>
    </row>
    <row r="22" spans="1:11" x14ac:dyDescent="0.25">
      <c r="A22" s="14"/>
      <c r="B22"/>
      <c r="D22" s="26"/>
      <c r="F22"/>
      <c r="G22"/>
      <c r="H22"/>
      <c r="I22"/>
      <c r="J22"/>
      <c r="K22"/>
    </row>
    <row r="23" spans="1:11" x14ac:dyDescent="0.25">
      <c r="A23" s="14"/>
      <c r="B23"/>
      <c r="D23" s="26"/>
      <c r="F23"/>
      <c r="G23"/>
      <c r="H23"/>
      <c r="I23"/>
      <c r="J23"/>
      <c r="K23"/>
    </row>
    <row r="24" spans="1:11" x14ac:dyDescent="0.25">
      <c r="A24" s="14"/>
      <c r="B24"/>
      <c r="D24" s="26"/>
      <c r="F24"/>
      <c r="G24"/>
      <c r="H24"/>
      <c r="I24"/>
      <c r="J24"/>
      <c r="K24"/>
    </row>
    <row r="25" spans="1:11" x14ac:dyDescent="0.25">
      <c r="A25" s="14"/>
      <c r="B25"/>
      <c r="D25" s="26"/>
      <c r="F25"/>
      <c r="G25"/>
      <c r="H25"/>
      <c r="I25"/>
      <c r="J25"/>
      <c r="K25"/>
    </row>
    <row r="26" spans="1:11" x14ac:dyDescent="0.25">
      <c r="A26" s="14"/>
      <c r="B26"/>
      <c r="D26" s="26"/>
      <c r="F26"/>
      <c r="G26"/>
      <c r="H26"/>
      <c r="I26"/>
      <c r="J26"/>
      <c r="K26"/>
    </row>
    <row r="27" spans="1:11" x14ac:dyDescent="0.25">
      <c r="A27" s="14"/>
      <c r="B27"/>
      <c r="D27" s="26"/>
      <c r="F27"/>
      <c r="G27"/>
      <c r="H27"/>
      <c r="I27"/>
      <c r="J27"/>
      <c r="K27"/>
    </row>
    <row r="28" spans="1:11" x14ac:dyDescent="0.25">
      <c r="A28" s="14"/>
      <c r="B28"/>
      <c r="D28" s="26"/>
      <c r="F28"/>
      <c r="G28"/>
      <c r="H28"/>
      <c r="I28"/>
      <c r="J28"/>
      <c r="K28"/>
    </row>
    <row r="29" spans="1:11" x14ac:dyDescent="0.25">
      <c r="A29" s="14"/>
      <c r="B29"/>
      <c r="D29" s="26"/>
      <c r="F29"/>
      <c r="G29"/>
      <c r="H29"/>
      <c r="I29"/>
      <c r="J29"/>
      <c r="K29"/>
    </row>
    <row r="30" spans="1:11" x14ac:dyDescent="0.25">
      <c r="A30" s="14"/>
      <c r="B30"/>
      <c r="D30" s="26"/>
      <c r="F30"/>
      <c r="G30"/>
      <c r="H30"/>
      <c r="I30"/>
      <c r="J30"/>
      <c r="K30"/>
    </row>
    <row r="31" spans="1:11" x14ac:dyDescent="0.25">
      <c r="A31" s="14"/>
      <c r="D31" s="26"/>
      <c r="F31"/>
      <c r="G31"/>
      <c r="H31"/>
      <c r="I31"/>
      <c r="J31"/>
      <c r="K31"/>
    </row>
    <row r="32" spans="1:11" x14ac:dyDescent="0.25">
      <c r="A32" s="14"/>
      <c r="D32" s="26"/>
      <c r="F32"/>
      <c r="G32"/>
      <c r="H32"/>
      <c r="I32"/>
      <c r="J32"/>
      <c r="K32"/>
    </row>
    <row r="33" spans="1:11" x14ac:dyDescent="0.25">
      <c r="A33" s="14"/>
      <c r="B33"/>
      <c r="D33" s="26"/>
      <c r="F33"/>
      <c r="G33"/>
      <c r="H33"/>
      <c r="I33"/>
      <c r="J33"/>
      <c r="K33"/>
    </row>
    <row r="34" spans="1:11" x14ac:dyDescent="0.25">
      <c r="A34" s="14"/>
      <c r="B34"/>
      <c r="D34" s="26"/>
      <c r="F34"/>
      <c r="G34"/>
      <c r="H34"/>
      <c r="I34"/>
      <c r="J34"/>
      <c r="K34"/>
    </row>
    <row r="35" spans="1:11" x14ac:dyDescent="0.25">
      <c r="A35" s="14"/>
      <c r="D35" s="26"/>
      <c r="F35"/>
      <c r="G35"/>
      <c r="H35"/>
      <c r="I35"/>
      <c r="J35"/>
      <c r="K35"/>
    </row>
    <row r="36" spans="1:11" x14ac:dyDescent="0.25">
      <c r="A36" s="14"/>
      <c r="B36"/>
      <c r="D36" s="26"/>
      <c r="F36"/>
      <c r="G36"/>
      <c r="H36"/>
      <c r="I36"/>
      <c r="J36"/>
      <c r="K36"/>
    </row>
    <row r="37" spans="1:11" x14ac:dyDescent="0.25">
      <c r="A37" s="14"/>
      <c r="B37"/>
      <c r="D37" s="26"/>
      <c r="F37"/>
      <c r="G37"/>
      <c r="H37"/>
      <c r="I37"/>
      <c r="J37"/>
      <c r="K37"/>
    </row>
    <row r="38" spans="1:11" x14ac:dyDescent="0.25">
      <c r="A38" s="14"/>
      <c r="B38"/>
      <c r="D38" s="26"/>
      <c r="F38"/>
      <c r="G38"/>
      <c r="H38"/>
      <c r="I38"/>
      <c r="J38"/>
      <c r="K38"/>
    </row>
    <row r="39" spans="1:11" x14ac:dyDescent="0.25">
      <c r="A39" s="14"/>
      <c r="B39"/>
      <c r="D39" s="26"/>
      <c r="F39"/>
      <c r="G39"/>
      <c r="H39"/>
      <c r="I39"/>
      <c r="J39"/>
      <c r="K39"/>
    </row>
    <row r="40" spans="1:11" x14ac:dyDescent="0.25">
      <c r="A40" s="14"/>
      <c r="B40"/>
      <c r="D40" s="26"/>
      <c r="F40"/>
      <c r="G40"/>
      <c r="H40"/>
      <c r="I40"/>
      <c r="J40"/>
      <c r="K40"/>
    </row>
    <row r="41" spans="1:11" x14ac:dyDescent="0.25">
      <c r="A41" s="14"/>
      <c r="B41"/>
      <c r="D41" s="26"/>
      <c r="F41"/>
      <c r="G41"/>
      <c r="H41"/>
      <c r="I41"/>
      <c r="J41"/>
      <c r="K41"/>
    </row>
    <row r="42" spans="1:11" x14ac:dyDescent="0.25">
      <c r="A42" s="14"/>
      <c r="B42"/>
      <c r="D42" s="26"/>
      <c r="F42"/>
      <c r="G42"/>
      <c r="H42"/>
      <c r="I42"/>
      <c r="J42"/>
      <c r="K42"/>
    </row>
    <row r="43" spans="1:11" x14ac:dyDescent="0.25">
      <c r="A43" s="14"/>
      <c r="D43" s="26"/>
      <c r="F43"/>
      <c r="G43"/>
      <c r="H43"/>
      <c r="I43"/>
      <c r="J43"/>
      <c r="K43"/>
    </row>
    <row r="44" spans="1:11" x14ac:dyDescent="0.25">
      <c r="A44" s="14"/>
      <c r="D44" s="26"/>
      <c r="F44"/>
      <c r="G44"/>
      <c r="H44"/>
      <c r="I44"/>
      <c r="J44"/>
      <c r="K44"/>
    </row>
    <row r="45" spans="1:11" x14ac:dyDescent="0.25">
      <c r="A45" s="14"/>
      <c r="B45"/>
      <c r="D45" s="26"/>
      <c r="F45"/>
      <c r="G45"/>
      <c r="H45"/>
      <c r="I45"/>
      <c r="J45"/>
      <c r="K45"/>
    </row>
    <row r="46" spans="1:11" x14ac:dyDescent="0.25">
      <c r="A46" s="14"/>
      <c r="B46"/>
      <c r="D46" s="26"/>
      <c r="F46"/>
      <c r="G46"/>
      <c r="H46"/>
      <c r="I46"/>
      <c r="J46"/>
      <c r="K46"/>
    </row>
    <row r="47" spans="1:11" x14ac:dyDescent="0.25">
      <c r="A47" s="14"/>
      <c r="D47" s="26"/>
      <c r="F47"/>
      <c r="G47"/>
      <c r="H47"/>
      <c r="I47"/>
      <c r="J47"/>
      <c r="K47"/>
    </row>
    <row r="48" spans="1:11" x14ac:dyDescent="0.25">
      <c r="A48" s="14"/>
      <c r="D48" s="26"/>
      <c r="F48"/>
      <c r="G48"/>
      <c r="H48"/>
      <c r="I48"/>
      <c r="J48"/>
      <c r="K48"/>
    </row>
    <row r="49" spans="1:11" x14ac:dyDescent="0.25">
      <c r="A49" s="14"/>
      <c r="D49" s="26"/>
      <c r="F49"/>
      <c r="G49"/>
      <c r="H49"/>
      <c r="I49"/>
      <c r="J49"/>
      <c r="K49"/>
    </row>
    <row r="50" spans="1:11" x14ac:dyDescent="0.25">
      <c r="A50" s="14"/>
      <c r="D50" s="26"/>
      <c r="F50"/>
      <c r="G50"/>
      <c r="H50"/>
      <c r="I50"/>
      <c r="J50"/>
      <c r="K50"/>
    </row>
    <row r="51" spans="1:11" x14ac:dyDescent="0.25">
      <c r="A51" s="14"/>
      <c r="D51" s="26"/>
      <c r="F51"/>
      <c r="G51"/>
      <c r="H51"/>
      <c r="I51"/>
      <c r="J51"/>
      <c r="K51"/>
    </row>
    <row r="52" spans="1:11" x14ac:dyDescent="0.25">
      <c r="A52" s="14"/>
      <c r="B52"/>
      <c r="D52" s="26"/>
      <c r="F52"/>
      <c r="G52"/>
      <c r="H52"/>
      <c r="I52"/>
      <c r="J52"/>
      <c r="K52"/>
    </row>
    <row r="53" spans="1:11" x14ac:dyDescent="0.25">
      <c r="A53" s="14"/>
      <c r="D53" s="26"/>
      <c r="F53"/>
      <c r="G53"/>
      <c r="H53"/>
      <c r="I53"/>
      <c r="J53"/>
      <c r="K53"/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H13"/>
  <sheetViews>
    <sheetView zoomScale="93" workbookViewId="0">
      <selection activeCell="C15" sqref="C15"/>
    </sheetView>
  </sheetViews>
  <sheetFormatPr defaultRowHeight="15" x14ac:dyDescent="0.25"/>
  <cols>
    <col min="2" max="2" width="18.42578125" customWidth="1"/>
    <col min="3" max="3" width="42.7109375" customWidth="1"/>
    <col min="4" max="4" width="15.5703125" style="16" customWidth="1"/>
    <col min="5" max="5" width="19.7109375" customWidth="1"/>
    <col min="6" max="6" width="42" customWidth="1"/>
    <col min="7" max="7" width="22.85546875" customWidth="1"/>
    <col min="8" max="8" width="20.28515625" customWidth="1"/>
    <col min="10" max="10" width="20" bestFit="1" customWidth="1"/>
  </cols>
  <sheetData>
    <row r="1" spans="2:8" x14ac:dyDescent="0.25">
      <c r="C1" s="27" t="s">
        <v>9</v>
      </c>
      <c r="D1" s="27"/>
    </row>
    <row r="2" spans="2:8" ht="15.75" thickBot="1" x14ac:dyDescent="0.3">
      <c r="B2" s="1" t="s">
        <v>0</v>
      </c>
      <c r="C2" s="1" t="s">
        <v>1</v>
      </c>
      <c r="D2" s="15" t="s">
        <v>2</v>
      </c>
      <c r="E2" s="1" t="s">
        <v>5</v>
      </c>
      <c r="F2" s="1" t="s">
        <v>3</v>
      </c>
      <c r="G2" s="1" t="s">
        <v>6</v>
      </c>
      <c r="H2" s="1" t="s">
        <v>7</v>
      </c>
    </row>
    <row r="3" spans="2:8" x14ac:dyDescent="0.25">
      <c r="B3" s="3"/>
      <c r="C3" s="17"/>
      <c r="D3" s="18"/>
      <c r="E3" s="2"/>
      <c r="F3" s="2"/>
      <c r="G3" s="23"/>
      <c r="H3" s="7"/>
    </row>
    <row r="4" spans="2:8" x14ac:dyDescent="0.25">
      <c r="B4" s="3"/>
      <c r="C4" s="19"/>
      <c r="D4" s="20"/>
      <c r="E4" s="2"/>
      <c r="F4" s="2"/>
      <c r="G4" s="24"/>
      <c r="H4" s="7"/>
    </row>
    <row r="5" spans="2:8" x14ac:dyDescent="0.25">
      <c r="B5" s="3"/>
      <c r="C5" s="19"/>
      <c r="D5" s="20"/>
      <c r="E5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5" s="2" t="str">
        <f>IF(IFERROR(_TBL_INVENTORY_IN[[#This Row],[REMARKS]], "")&lt;&gt;0, IFERROR(_TBL_INVENTORY_IN[[#This Row],[REMARKS]], ""), "")</f>
        <v/>
      </c>
      <c r="G5" s="24"/>
      <c r="H5" s="7" t="str">
        <f>IFERROR(_TBL_LAPTOP_INVENTORY_ACCOUNT_IN[[#This Row],[COST TOTAL]]/_TBL_LAPTOP_INVENTORY_ACCOUNT_IN[[#This Row],[IN]], "")</f>
        <v/>
      </c>
    </row>
    <row r="6" spans="2:8" x14ac:dyDescent="0.25">
      <c r="B6" s="3"/>
      <c r="C6" s="19"/>
      <c r="D6" s="20"/>
      <c r="E6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6" s="2" t="str">
        <f>IF(IFERROR(_TBL_INVENTORY_IN[[#This Row],[REMARKS]], "")&lt;&gt;0, IFERROR(_TBL_INVENTORY_IN[[#This Row],[REMARKS]], ""), "")</f>
        <v/>
      </c>
      <c r="G6" s="24"/>
      <c r="H6" s="7" t="str">
        <f>IFERROR(_TBL_LAPTOP_INVENTORY_ACCOUNT_IN[[#This Row],[COST TOTAL]]/_TBL_LAPTOP_INVENTORY_ACCOUNT_IN[[#This Row],[IN]], "")</f>
        <v/>
      </c>
    </row>
    <row r="7" spans="2:8" x14ac:dyDescent="0.25">
      <c r="B7" s="3"/>
      <c r="C7" s="19"/>
      <c r="D7" s="20"/>
      <c r="E7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7" s="2" t="str">
        <f>IF(IFERROR(_TBL_INVENTORY_IN[[#This Row],[REMARKS]], "")&lt;&gt;0, IFERROR(_TBL_INVENTORY_IN[[#This Row],[REMARKS]], ""), "")</f>
        <v/>
      </c>
      <c r="G7" s="24"/>
      <c r="H7" s="7" t="str">
        <f>IFERROR(_TBL_LAPTOP_INVENTORY_ACCOUNT_IN[[#This Row],[COST TOTAL]]/_TBL_LAPTOP_INVENTORY_ACCOUNT_IN[[#This Row],[IN]], "")</f>
        <v/>
      </c>
    </row>
    <row r="8" spans="2:8" x14ac:dyDescent="0.25">
      <c r="B8" s="3"/>
      <c r="C8" s="19"/>
      <c r="D8" s="20"/>
      <c r="E8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8" s="2" t="str">
        <f>IF(IFERROR(_TBL_INVENTORY_IN[[#This Row],[REMARKS]], "")&lt;&gt;0, IFERROR(_TBL_INVENTORY_IN[[#This Row],[REMARKS]], ""), "")</f>
        <v/>
      </c>
      <c r="G8" s="24"/>
      <c r="H8" s="7" t="str">
        <f>IFERROR(_TBL_LAPTOP_INVENTORY_ACCOUNT_IN[[#This Row],[COST TOTAL]]/_TBL_LAPTOP_INVENTORY_ACCOUNT_IN[[#This Row],[IN]], "")</f>
        <v/>
      </c>
    </row>
    <row r="9" spans="2:8" x14ac:dyDescent="0.25">
      <c r="B9" s="3"/>
      <c r="C9" s="19"/>
      <c r="D9" s="20"/>
      <c r="E9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9" s="2" t="str">
        <f>IF(IFERROR(_TBL_INVENTORY_IN[[#This Row],[REMARKS]], "")&lt;&gt;0, IFERROR(_TBL_INVENTORY_IN[[#This Row],[REMARKS]], ""), "")</f>
        <v/>
      </c>
      <c r="G9" s="24"/>
      <c r="H9" s="7" t="str">
        <f>IFERROR(_TBL_LAPTOP_INVENTORY_ACCOUNT_IN[[#This Row],[COST TOTAL]]/_TBL_LAPTOP_INVENTORY_ACCOUNT_IN[[#This Row],[IN]], "")</f>
        <v/>
      </c>
    </row>
    <row r="10" spans="2:8" x14ac:dyDescent="0.25">
      <c r="B10" s="3"/>
      <c r="C10" s="19"/>
      <c r="D10" s="20"/>
      <c r="E10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10" s="2" t="str">
        <f>IF(IFERROR(_TBL_INVENTORY_IN[[#This Row],[REMARKS]], "")&lt;&gt;0, IFERROR(_TBL_INVENTORY_IN[[#This Row],[REMARKS]], ""), "")</f>
        <v/>
      </c>
      <c r="G10" s="24"/>
      <c r="H10" s="7" t="str">
        <f>IFERROR(_TBL_LAPTOP_INVENTORY_ACCOUNT_IN[[#This Row],[COST TOTAL]]/_TBL_LAPTOP_INVENTORY_ACCOUNT_IN[[#This Row],[IN]], "")</f>
        <v/>
      </c>
    </row>
    <row r="11" spans="2:8" ht="15.75" thickBot="1" x14ac:dyDescent="0.3">
      <c r="B11" s="3"/>
      <c r="C11" s="21"/>
      <c r="D11" s="22"/>
      <c r="E11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11" s="2" t="str">
        <f>IF(IFERROR(_TBL_INVENTORY_IN[[#This Row],[REMARKS]], "")&lt;&gt;0, IFERROR(_TBL_INVENTORY_IN[[#This Row],[REMARKS]], ""), "")</f>
        <v/>
      </c>
      <c r="G11" s="25"/>
      <c r="H11" s="7" t="str">
        <f>IFERROR(_TBL_LAPTOP_INVENTORY_ACCOUNT_IN[[#This Row],[COST TOTAL]]/_TBL_LAPTOP_INVENTORY_ACCOUNT_IN[[#This Row],[IN]], "")</f>
        <v/>
      </c>
    </row>
    <row r="12" spans="2:8" x14ac:dyDescent="0.25">
      <c r="B12" s="8" t="str">
        <f>_xlfn.CONCAT("COUNT: ", SUBTOTAL(103,_TBL_LAPTOP_INVENTORY_ACCOUNT_IN[DATE]))</f>
        <v>COUNT: 0</v>
      </c>
      <c r="C12" s="4" t="s">
        <v>8</v>
      </c>
      <c r="D12" s="9">
        <f>SUBTOTAL(109,_TBL_LAPTOP_INVENTORY_ACCOUNT_IN[IN])</f>
        <v>0</v>
      </c>
      <c r="E12" s="9"/>
      <c r="F12" s="4"/>
      <c r="G12" s="12">
        <f>SUBTOTAL(109,_TBL_LAPTOP_INVENTORY_ACCOUNT_IN[COST TOTAL])</f>
        <v>0</v>
      </c>
      <c r="H12" s="12" t="str">
        <f>IFERROR(_TBL_LAPTOP_INVENTORY_ACCOUNT_IN[[#Totals],[COST TOTAL]]/_TBL_LAPTOP_INVENTORY_ACCOUNT_IN[[#Totals],[IN]], "")</f>
        <v/>
      </c>
    </row>
    <row r="13" spans="2:8" x14ac:dyDescent="0.25">
      <c r="B13" s="10"/>
      <c r="C13" s="4" t="s">
        <v>4</v>
      </c>
      <c r="D13" s="5">
        <f>SUM(_TBL_LAPTOP_INVENTORY_ACCOUNT_IN[IN])</f>
        <v>0</v>
      </c>
      <c r="E13" s="11"/>
      <c r="F13" s="10"/>
      <c r="G13" s="13">
        <f>SUM(_TBL_LAPTOP_INVENTORY_ACCOUNT_IN[COST TOTAL])</f>
        <v>0</v>
      </c>
      <c r="H13" s="13" t="e">
        <f>G13/D13</f>
        <v>#DIV/0!</v>
      </c>
    </row>
  </sheetData>
  <mergeCells count="1">
    <mergeCell ref="C1:D1"/>
  </mergeCells>
  <dataValidations count="1">
    <dataValidation type="list" allowBlank="1" showInputMessage="1" showErrorMessage="1" sqref="C3:C11" xr:uid="{FC9EEEB7-5DE2-47D8-BC51-64C10AA3C30C}">
      <formula1>NAMES_INVENTORY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EF4C059-700C-4CBB-BE21-5D3A4E890F9B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1"/>
              <x14:cfIcon iconSet="3Symbols" iconId="2"/>
            </x14:iconSet>
          </x14:cfRule>
          <xm:sqref>E3:E11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BF287-1831-4A45-8577-D7D0B941009A}">
  <sheetPr codeName="Sheet8"/>
  <dimension ref="A1:H7"/>
  <sheetViews>
    <sheetView workbookViewId="0">
      <selection activeCell="F37" sqref="F37"/>
    </sheetView>
  </sheetViews>
  <sheetFormatPr defaultRowHeight="15" x14ac:dyDescent="0.25"/>
  <cols>
    <col min="1" max="1" width="10.7109375" bestFit="1" customWidth="1"/>
    <col min="2" max="2" width="18.7109375" bestFit="1" customWidth="1"/>
    <col min="3" max="3" width="5.28515625" bestFit="1" customWidth="1"/>
    <col min="4" max="4" width="7.140625" bestFit="1" customWidth="1"/>
    <col min="5" max="5" width="8.85546875" bestFit="1" customWidth="1"/>
    <col min="6" max="6" width="11.28515625" bestFit="1" customWidth="1"/>
    <col min="7" max="7" width="11.85546875" bestFit="1" customWidth="1"/>
    <col min="8" max="8" width="9.28515625" bestFit="1" customWidth="1"/>
  </cols>
  <sheetData>
    <row r="1" spans="1:8" x14ac:dyDescent="0.25">
      <c r="A1"/>
      <c r="B1"/>
      <c r="C1"/>
      <c r="D1"/>
      <c r="E1"/>
      <c r="F1"/>
      <c r="G1"/>
      <c r="H1"/>
    </row>
    <row r="2" spans="1:8" x14ac:dyDescent="0.25">
      <c r="A2" s="14"/>
      <c r="B2" s="14"/>
      <c r="C2"/>
      <c r="E2"/>
    </row>
    <row r="3" spans="1:8" x14ac:dyDescent="0.25">
      <c r="A3" s="14"/>
      <c r="B3" s="14"/>
      <c r="C3"/>
      <c r="E3"/>
    </row>
    <row r="4" spans="1:8" x14ac:dyDescent="0.25">
      <c r="A4" s="14"/>
      <c r="B4" s="14"/>
      <c r="C4"/>
      <c r="E4"/>
    </row>
    <row r="5" spans="1:8" x14ac:dyDescent="0.25">
      <c r="A5" s="14"/>
      <c r="B5" s="14"/>
      <c r="C5"/>
      <c r="E5"/>
    </row>
    <row r="6" spans="1:8" x14ac:dyDescent="0.25">
      <c r="A6" s="14"/>
      <c r="B6" s="14"/>
      <c r="C6"/>
      <c r="E6"/>
    </row>
    <row r="7" spans="1:8" x14ac:dyDescent="0.25">
      <c r="A7" s="14"/>
      <c r="B7" s="14"/>
      <c r="E7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D60B3-2BA6-47C6-BBDC-E7620C3996C1}">
  <dimension ref="A1:S54"/>
  <sheetViews>
    <sheetView zoomScale="115" zoomScaleNormal="115" workbookViewId="0">
      <pane xSplit="2" ySplit="1" topLeftCell="C23" activePane="bottomRight" state="frozen"/>
      <selection pane="topRight" activeCell="C1" sqref="C1"/>
      <selection pane="bottomLeft" activeCell="A2" sqref="A2"/>
      <selection pane="bottomRight" activeCell="D54" sqref="D54"/>
    </sheetView>
  </sheetViews>
  <sheetFormatPr defaultRowHeight="15" x14ac:dyDescent="0.25"/>
  <cols>
    <col min="1" max="1" width="5.42578125" style="33" bestFit="1" customWidth="1"/>
    <col min="2" max="2" width="33" style="33" bestFit="1" customWidth="1"/>
    <col min="3" max="3" width="9" style="33" bestFit="1" customWidth="1"/>
    <col min="4" max="4" width="13.140625" style="33" bestFit="1" customWidth="1"/>
    <col min="5" max="5" width="15.85546875" style="33" bestFit="1" customWidth="1"/>
    <col min="6" max="6" width="24.140625" style="33" bestFit="1" customWidth="1"/>
    <col min="7" max="7" width="17.85546875" style="33" bestFit="1" customWidth="1"/>
    <col min="8" max="8" width="16.85546875" style="33" bestFit="1" customWidth="1"/>
    <col min="9" max="9" width="13.85546875" style="33" bestFit="1" customWidth="1"/>
    <col min="10" max="10" width="13.7109375" style="33" bestFit="1" customWidth="1"/>
    <col min="11" max="11" width="11.85546875" style="35" bestFit="1" customWidth="1"/>
    <col min="12" max="12" width="15" style="33" bestFit="1" customWidth="1"/>
    <col min="13" max="13" width="20.140625" style="33" bestFit="1" customWidth="1"/>
    <col min="14" max="14" width="29.5703125" style="34" bestFit="1" customWidth="1"/>
    <col min="15" max="15" width="29.42578125" style="33" bestFit="1" customWidth="1"/>
    <col min="16" max="16" width="31.5703125" style="34" bestFit="1" customWidth="1"/>
    <col min="17" max="17" width="27" style="33" bestFit="1" customWidth="1"/>
    <col min="18" max="18" width="29.28515625" style="33" bestFit="1" customWidth="1"/>
    <col min="19" max="19" width="20.5703125" style="33" bestFit="1" customWidth="1"/>
    <col min="20" max="16384" width="9.140625" style="33"/>
  </cols>
  <sheetData>
    <row r="1" spans="1:19" s="52" customFormat="1" ht="15.75" thickBot="1" x14ac:dyDescent="0.3">
      <c r="A1" s="52" t="s">
        <v>10</v>
      </c>
      <c r="B1" s="52" t="s">
        <v>60</v>
      </c>
      <c r="C1" s="52" t="s">
        <v>61</v>
      </c>
      <c r="D1" s="52" t="s">
        <v>67</v>
      </c>
      <c r="E1" s="52" t="s">
        <v>72</v>
      </c>
      <c r="F1" s="52" t="s">
        <v>68</v>
      </c>
      <c r="G1" s="52" t="s">
        <v>71</v>
      </c>
      <c r="H1" s="52" t="s">
        <v>69</v>
      </c>
      <c r="I1" s="52" t="s">
        <v>70</v>
      </c>
      <c r="J1" s="52" t="s">
        <v>66</v>
      </c>
      <c r="K1" s="53" t="s">
        <v>73</v>
      </c>
      <c r="L1" s="52" t="s">
        <v>78</v>
      </c>
      <c r="M1" s="52" t="s">
        <v>76</v>
      </c>
      <c r="N1" s="54" t="s">
        <v>77</v>
      </c>
      <c r="O1" s="52" t="s">
        <v>79</v>
      </c>
      <c r="P1" s="54" t="s">
        <v>81</v>
      </c>
      <c r="Q1" s="52" t="s">
        <v>80</v>
      </c>
      <c r="R1" s="52" t="s">
        <v>82</v>
      </c>
      <c r="S1" s="52" t="s">
        <v>83</v>
      </c>
    </row>
    <row r="2" spans="1:19" x14ac:dyDescent="0.25">
      <c r="A2" s="33">
        <v>1</v>
      </c>
      <c r="B2" s="33" t="s">
        <v>11</v>
      </c>
      <c r="C2" s="33" t="s">
        <v>62</v>
      </c>
      <c r="D2" s="42">
        <v>8</v>
      </c>
      <c r="E2" s="42">
        <v>0</v>
      </c>
      <c r="F2" s="35">
        <v>8</v>
      </c>
      <c r="G2" s="43">
        <v>0</v>
      </c>
      <c r="H2" s="44">
        <v>5</v>
      </c>
      <c r="I2" s="44">
        <v>3</v>
      </c>
      <c r="J2" s="45">
        <v>0</v>
      </c>
      <c r="K2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2" s="36">
        <v>2500</v>
      </c>
      <c r="M2" s="37">
        <f>LAPTOP_PRODUCTION[[#This Row],[COST /PCS]]*LAPTOP_PRODUCTION[[#This Row],[TOTAL IN]]</f>
        <v>20000</v>
      </c>
      <c r="N2" s="38">
        <f>LAPTOP_PRODUCTION[[#This Row],[COST /PCS]]*LAPTOP_PRODUCTION[[#This Row],[CURRENT STOCKS]]</f>
        <v>20000</v>
      </c>
      <c r="O2" s="39">
        <v>3000</v>
      </c>
      <c r="P2" s="38">
        <f>LAPTOP_PRODUCTION[[#This Row],[CHROMEOS PRICE /PCS]]*LAPTOP_PRODUCTION[[#This Row],[CHROME OS]]</f>
        <v>15000</v>
      </c>
      <c r="Q2" s="40">
        <v>3990</v>
      </c>
      <c r="R2" s="38">
        <f>LAPTOP_PRODUCTION[[#This Row],[WINDOWS PRICE /PCS]]*LAPTOP_PRODUCTION[[#This Row],[WINDOWS]]</f>
        <v>11970</v>
      </c>
      <c r="S2" s="37">
        <f>LAPTOP_PRODUCTION[[#This Row],[COST /PCS]]*LAPTOP_PRODUCTION[[#This Row],[BACKJOB]]</f>
        <v>0</v>
      </c>
    </row>
    <row r="3" spans="1:19" x14ac:dyDescent="0.25">
      <c r="A3" s="33">
        <v>2</v>
      </c>
      <c r="B3" s="33" t="s">
        <v>12</v>
      </c>
      <c r="C3" s="33" t="s">
        <v>62</v>
      </c>
      <c r="D3" s="42">
        <v>135</v>
      </c>
      <c r="E3" s="42">
        <v>0</v>
      </c>
      <c r="F3" s="35">
        <v>135</v>
      </c>
      <c r="G3" s="46">
        <v>106</v>
      </c>
      <c r="H3" s="47">
        <v>22</v>
      </c>
      <c r="I3" s="47">
        <v>7</v>
      </c>
      <c r="J3" s="48">
        <v>0</v>
      </c>
      <c r="K3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3" s="36">
        <v>2500</v>
      </c>
      <c r="M3" s="37">
        <f>LAPTOP_PRODUCTION[[#This Row],[COST /PCS]]*LAPTOP_PRODUCTION[[#This Row],[TOTAL IN]]</f>
        <v>337500</v>
      </c>
      <c r="N3" s="38">
        <f>LAPTOP_PRODUCTION[[#This Row],[COST /PCS]]*LAPTOP_PRODUCTION[[#This Row],[CURRENT STOCKS]]</f>
        <v>337500</v>
      </c>
      <c r="O3" s="39">
        <v>3000</v>
      </c>
      <c r="P3" s="38">
        <f>LAPTOP_PRODUCTION[[#This Row],[CHROMEOS PRICE /PCS]]*LAPTOP_PRODUCTION[[#This Row],[CHROME OS]]</f>
        <v>66000</v>
      </c>
      <c r="Q3" s="40">
        <v>3990</v>
      </c>
      <c r="R3" s="38">
        <f>LAPTOP_PRODUCTION[[#This Row],[WINDOWS PRICE /PCS]]*LAPTOP_PRODUCTION[[#This Row],[WINDOWS]]</f>
        <v>27930</v>
      </c>
      <c r="S3" s="37">
        <f>LAPTOP_PRODUCTION[[#This Row],[COST /PCS]]*LAPTOP_PRODUCTION[[#This Row],[BACKJOB]]</f>
        <v>0</v>
      </c>
    </row>
    <row r="4" spans="1:19" x14ac:dyDescent="0.25">
      <c r="A4" s="33">
        <v>3</v>
      </c>
      <c r="B4" s="33" t="s">
        <v>13</v>
      </c>
      <c r="C4" s="33" t="s">
        <v>62</v>
      </c>
      <c r="D4" s="42">
        <v>83</v>
      </c>
      <c r="E4" s="42">
        <v>0</v>
      </c>
      <c r="F4" s="35">
        <v>83</v>
      </c>
      <c r="G4" s="46">
        <v>10</v>
      </c>
      <c r="H4" s="47">
        <v>1</v>
      </c>
      <c r="I4" s="47">
        <v>72</v>
      </c>
      <c r="J4" s="48">
        <v>0</v>
      </c>
      <c r="K4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4" s="36">
        <v>2500</v>
      </c>
      <c r="M4" s="37">
        <f>LAPTOP_PRODUCTION[[#This Row],[COST /PCS]]*LAPTOP_PRODUCTION[[#This Row],[TOTAL IN]]</f>
        <v>207500</v>
      </c>
      <c r="N4" s="38">
        <f>LAPTOP_PRODUCTION[[#This Row],[COST /PCS]]*LAPTOP_PRODUCTION[[#This Row],[CURRENT STOCKS]]</f>
        <v>207500</v>
      </c>
      <c r="O4" s="39">
        <v>3000</v>
      </c>
      <c r="P4" s="38">
        <f>LAPTOP_PRODUCTION[[#This Row],[CHROMEOS PRICE /PCS]]*LAPTOP_PRODUCTION[[#This Row],[CHROME OS]]</f>
        <v>3000</v>
      </c>
      <c r="Q4" s="40">
        <v>3990</v>
      </c>
      <c r="R4" s="38">
        <f>LAPTOP_PRODUCTION[[#This Row],[WINDOWS PRICE /PCS]]*LAPTOP_PRODUCTION[[#This Row],[WINDOWS]]</f>
        <v>287280</v>
      </c>
      <c r="S4" s="37">
        <f>LAPTOP_PRODUCTION[[#This Row],[COST /PCS]]*LAPTOP_PRODUCTION[[#This Row],[BACKJOB]]</f>
        <v>0</v>
      </c>
    </row>
    <row r="5" spans="1:19" x14ac:dyDescent="0.25">
      <c r="A5" s="33">
        <v>4</v>
      </c>
      <c r="B5" s="33" t="s">
        <v>14</v>
      </c>
      <c r="C5" s="33" t="s">
        <v>62</v>
      </c>
      <c r="D5" s="42">
        <v>66</v>
      </c>
      <c r="E5" s="42">
        <v>0</v>
      </c>
      <c r="F5" s="35">
        <v>66</v>
      </c>
      <c r="G5" s="46">
        <v>33</v>
      </c>
      <c r="H5" s="47">
        <v>30</v>
      </c>
      <c r="I5" s="47">
        <v>3</v>
      </c>
      <c r="J5" s="48">
        <v>0</v>
      </c>
      <c r="K5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5" s="36">
        <v>2500</v>
      </c>
      <c r="M5" s="37">
        <f>LAPTOP_PRODUCTION[[#This Row],[COST /PCS]]*LAPTOP_PRODUCTION[[#This Row],[TOTAL IN]]</f>
        <v>165000</v>
      </c>
      <c r="N5" s="38">
        <f>LAPTOP_PRODUCTION[[#This Row],[COST /PCS]]*LAPTOP_PRODUCTION[[#This Row],[CURRENT STOCKS]]</f>
        <v>165000</v>
      </c>
      <c r="O5" s="39">
        <v>3000</v>
      </c>
      <c r="P5" s="38">
        <f>LAPTOP_PRODUCTION[[#This Row],[CHROMEOS PRICE /PCS]]*LAPTOP_PRODUCTION[[#This Row],[CHROME OS]]</f>
        <v>90000</v>
      </c>
      <c r="Q5" s="40">
        <v>3990</v>
      </c>
      <c r="R5" s="38">
        <f>LAPTOP_PRODUCTION[[#This Row],[WINDOWS PRICE /PCS]]*LAPTOP_PRODUCTION[[#This Row],[WINDOWS]]</f>
        <v>11970</v>
      </c>
      <c r="S5" s="37">
        <f>LAPTOP_PRODUCTION[[#This Row],[COST /PCS]]*LAPTOP_PRODUCTION[[#This Row],[BACKJOB]]</f>
        <v>0</v>
      </c>
    </row>
    <row r="6" spans="1:19" x14ac:dyDescent="0.25">
      <c r="A6" s="33">
        <v>5</v>
      </c>
      <c r="B6" s="33" t="s">
        <v>15</v>
      </c>
      <c r="C6" s="33" t="s">
        <v>62</v>
      </c>
      <c r="D6" s="42">
        <v>15</v>
      </c>
      <c r="E6" s="42">
        <v>0</v>
      </c>
      <c r="F6" s="35">
        <v>15</v>
      </c>
      <c r="G6" s="46">
        <v>4</v>
      </c>
      <c r="H6" s="47">
        <v>1</v>
      </c>
      <c r="I6" s="47">
        <v>10</v>
      </c>
      <c r="J6" s="48">
        <v>0</v>
      </c>
      <c r="K6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6" s="36">
        <v>2500</v>
      </c>
      <c r="M6" s="37">
        <f>LAPTOP_PRODUCTION[[#This Row],[COST /PCS]]*LAPTOP_PRODUCTION[[#This Row],[TOTAL IN]]</f>
        <v>37500</v>
      </c>
      <c r="N6" s="38">
        <f>LAPTOP_PRODUCTION[[#This Row],[COST /PCS]]*LAPTOP_PRODUCTION[[#This Row],[CURRENT STOCKS]]</f>
        <v>37500</v>
      </c>
      <c r="O6" s="39">
        <v>3000</v>
      </c>
      <c r="P6" s="38">
        <f>LAPTOP_PRODUCTION[[#This Row],[CHROMEOS PRICE /PCS]]*LAPTOP_PRODUCTION[[#This Row],[CHROME OS]]</f>
        <v>3000</v>
      </c>
      <c r="Q6" s="40">
        <v>3990</v>
      </c>
      <c r="R6" s="38">
        <f>LAPTOP_PRODUCTION[[#This Row],[WINDOWS PRICE /PCS]]*LAPTOP_PRODUCTION[[#This Row],[WINDOWS]]</f>
        <v>39900</v>
      </c>
      <c r="S6" s="37">
        <f>LAPTOP_PRODUCTION[[#This Row],[COST /PCS]]*LAPTOP_PRODUCTION[[#This Row],[BACKJOB]]</f>
        <v>0</v>
      </c>
    </row>
    <row r="7" spans="1:19" x14ac:dyDescent="0.25">
      <c r="A7" s="33">
        <v>6</v>
      </c>
      <c r="B7" s="33" t="s">
        <v>16</v>
      </c>
      <c r="C7" s="33" t="s">
        <v>62</v>
      </c>
      <c r="D7" s="42">
        <v>135</v>
      </c>
      <c r="E7" s="42">
        <v>0</v>
      </c>
      <c r="F7" s="35">
        <v>135</v>
      </c>
      <c r="G7" s="46">
        <v>80</v>
      </c>
      <c r="H7" s="47">
        <v>55</v>
      </c>
      <c r="I7" s="47">
        <v>0</v>
      </c>
      <c r="J7" s="48">
        <v>0</v>
      </c>
      <c r="K7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7" s="36">
        <v>2500</v>
      </c>
      <c r="M7" s="37">
        <f>LAPTOP_PRODUCTION[[#This Row],[COST /PCS]]*LAPTOP_PRODUCTION[[#This Row],[TOTAL IN]]</f>
        <v>337500</v>
      </c>
      <c r="N7" s="38">
        <f>LAPTOP_PRODUCTION[[#This Row],[COST /PCS]]*LAPTOP_PRODUCTION[[#This Row],[CURRENT STOCKS]]</f>
        <v>337500</v>
      </c>
      <c r="O7" s="39">
        <v>3000</v>
      </c>
      <c r="P7" s="38">
        <f>LAPTOP_PRODUCTION[[#This Row],[CHROMEOS PRICE /PCS]]*LAPTOP_PRODUCTION[[#This Row],[CHROME OS]]</f>
        <v>165000</v>
      </c>
      <c r="Q7" s="40">
        <v>3990</v>
      </c>
      <c r="R7" s="38">
        <f>LAPTOP_PRODUCTION[[#This Row],[WINDOWS PRICE /PCS]]*LAPTOP_PRODUCTION[[#This Row],[WINDOWS]]</f>
        <v>0</v>
      </c>
      <c r="S7" s="37">
        <f>LAPTOP_PRODUCTION[[#This Row],[COST /PCS]]*LAPTOP_PRODUCTION[[#This Row],[BACKJOB]]</f>
        <v>0</v>
      </c>
    </row>
    <row r="8" spans="1:19" x14ac:dyDescent="0.25">
      <c r="A8" s="33">
        <v>7</v>
      </c>
      <c r="B8" s="33" t="s">
        <v>17</v>
      </c>
      <c r="C8" s="33" t="s">
        <v>62</v>
      </c>
      <c r="D8" s="42">
        <v>154</v>
      </c>
      <c r="E8" s="42">
        <v>0</v>
      </c>
      <c r="F8" s="35">
        <v>154</v>
      </c>
      <c r="G8" s="46">
        <v>114</v>
      </c>
      <c r="H8" s="47">
        <v>9</v>
      </c>
      <c r="I8" s="47">
        <v>31</v>
      </c>
      <c r="J8" s="48">
        <v>0</v>
      </c>
      <c r="K8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8" s="36">
        <v>2500</v>
      </c>
      <c r="M8" s="37">
        <f>LAPTOP_PRODUCTION[[#This Row],[COST /PCS]]*LAPTOP_PRODUCTION[[#This Row],[TOTAL IN]]</f>
        <v>385000</v>
      </c>
      <c r="N8" s="38">
        <f>LAPTOP_PRODUCTION[[#This Row],[COST /PCS]]*LAPTOP_PRODUCTION[[#This Row],[CURRENT STOCKS]]</f>
        <v>385000</v>
      </c>
      <c r="O8" s="39">
        <v>3000</v>
      </c>
      <c r="P8" s="38">
        <f>LAPTOP_PRODUCTION[[#This Row],[CHROMEOS PRICE /PCS]]*LAPTOP_PRODUCTION[[#This Row],[CHROME OS]]</f>
        <v>27000</v>
      </c>
      <c r="Q8" s="40">
        <v>3990</v>
      </c>
      <c r="R8" s="38">
        <f>LAPTOP_PRODUCTION[[#This Row],[WINDOWS PRICE /PCS]]*LAPTOP_PRODUCTION[[#This Row],[WINDOWS]]</f>
        <v>123690</v>
      </c>
      <c r="S8" s="37">
        <f>LAPTOP_PRODUCTION[[#This Row],[COST /PCS]]*LAPTOP_PRODUCTION[[#This Row],[BACKJOB]]</f>
        <v>0</v>
      </c>
    </row>
    <row r="9" spans="1:19" x14ac:dyDescent="0.25">
      <c r="A9" s="33">
        <v>8</v>
      </c>
      <c r="B9" s="33" t="s">
        <v>18</v>
      </c>
      <c r="C9" s="33" t="s">
        <v>62</v>
      </c>
      <c r="D9" s="42">
        <v>62</v>
      </c>
      <c r="E9" s="42">
        <v>0</v>
      </c>
      <c r="F9" s="35">
        <v>62</v>
      </c>
      <c r="G9" s="46">
        <v>7</v>
      </c>
      <c r="H9" s="47">
        <v>55</v>
      </c>
      <c r="I9" s="47">
        <v>0</v>
      </c>
      <c r="J9" s="48">
        <v>0</v>
      </c>
      <c r="K9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9" s="36">
        <v>2500</v>
      </c>
      <c r="M9" s="37">
        <f>LAPTOP_PRODUCTION[[#This Row],[COST /PCS]]*LAPTOP_PRODUCTION[[#This Row],[TOTAL IN]]</f>
        <v>155000</v>
      </c>
      <c r="N9" s="38">
        <f>LAPTOP_PRODUCTION[[#This Row],[COST /PCS]]*LAPTOP_PRODUCTION[[#This Row],[CURRENT STOCKS]]</f>
        <v>155000</v>
      </c>
      <c r="O9" s="39">
        <v>3000</v>
      </c>
      <c r="P9" s="38">
        <f>LAPTOP_PRODUCTION[[#This Row],[CHROMEOS PRICE /PCS]]*LAPTOP_PRODUCTION[[#This Row],[CHROME OS]]</f>
        <v>165000</v>
      </c>
      <c r="Q9" s="40">
        <v>3990</v>
      </c>
      <c r="R9" s="38">
        <f>LAPTOP_PRODUCTION[[#This Row],[WINDOWS PRICE /PCS]]*LAPTOP_PRODUCTION[[#This Row],[WINDOWS]]</f>
        <v>0</v>
      </c>
      <c r="S9" s="37">
        <f>LAPTOP_PRODUCTION[[#This Row],[COST /PCS]]*LAPTOP_PRODUCTION[[#This Row],[BACKJOB]]</f>
        <v>0</v>
      </c>
    </row>
    <row r="10" spans="1:19" x14ac:dyDescent="0.25">
      <c r="A10" s="33">
        <v>9</v>
      </c>
      <c r="B10" s="33" t="s">
        <v>63</v>
      </c>
      <c r="C10" s="33" t="s">
        <v>62</v>
      </c>
      <c r="D10" s="42">
        <v>7</v>
      </c>
      <c r="E10" s="42">
        <v>0</v>
      </c>
      <c r="F10" s="35">
        <v>7</v>
      </c>
      <c r="G10" s="46">
        <v>2</v>
      </c>
      <c r="H10" s="47">
        <v>0</v>
      </c>
      <c r="I10" s="47">
        <v>5</v>
      </c>
      <c r="J10" s="48">
        <v>0</v>
      </c>
      <c r="K10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10" s="36">
        <v>2500</v>
      </c>
      <c r="M10" s="37">
        <f>LAPTOP_PRODUCTION[[#This Row],[COST /PCS]]*LAPTOP_PRODUCTION[[#This Row],[TOTAL IN]]</f>
        <v>17500</v>
      </c>
      <c r="N10" s="38">
        <f>LAPTOP_PRODUCTION[[#This Row],[COST /PCS]]*LAPTOP_PRODUCTION[[#This Row],[CURRENT STOCKS]]</f>
        <v>17500</v>
      </c>
      <c r="O10" s="39">
        <v>3000</v>
      </c>
      <c r="P10" s="38">
        <f>LAPTOP_PRODUCTION[[#This Row],[CHROMEOS PRICE /PCS]]*LAPTOP_PRODUCTION[[#This Row],[CHROME OS]]</f>
        <v>0</v>
      </c>
      <c r="Q10" s="40">
        <v>3990</v>
      </c>
      <c r="R10" s="38">
        <f>LAPTOP_PRODUCTION[[#This Row],[WINDOWS PRICE /PCS]]*LAPTOP_PRODUCTION[[#This Row],[WINDOWS]]</f>
        <v>19950</v>
      </c>
      <c r="S10" s="37">
        <f>LAPTOP_PRODUCTION[[#This Row],[COST /PCS]]*LAPTOP_PRODUCTION[[#This Row],[BACKJOB]]</f>
        <v>0</v>
      </c>
    </row>
    <row r="11" spans="1:19" x14ac:dyDescent="0.25">
      <c r="A11" s="33">
        <v>10</v>
      </c>
      <c r="B11" s="33" t="s">
        <v>64</v>
      </c>
      <c r="C11" s="33" t="s">
        <v>62</v>
      </c>
      <c r="D11" s="42">
        <v>5</v>
      </c>
      <c r="E11" s="42">
        <v>0</v>
      </c>
      <c r="F11" s="35">
        <v>5</v>
      </c>
      <c r="G11" s="46">
        <v>3</v>
      </c>
      <c r="H11" s="47">
        <v>0</v>
      </c>
      <c r="I11" s="47">
        <v>2</v>
      </c>
      <c r="J11" s="48">
        <v>0</v>
      </c>
      <c r="K11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11" s="36">
        <v>2500</v>
      </c>
      <c r="M11" s="37">
        <f>LAPTOP_PRODUCTION[[#This Row],[COST /PCS]]*LAPTOP_PRODUCTION[[#This Row],[TOTAL IN]]</f>
        <v>12500</v>
      </c>
      <c r="N11" s="38">
        <f>LAPTOP_PRODUCTION[[#This Row],[COST /PCS]]*LAPTOP_PRODUCTION[[#This Row],[CURRENT STOCKS]]</f>
        <v>12500</v>
      </c>
      <c r="O11" s="39">
        <v>3000</v>
      </c>
      <c r="P11" s="38">
        <f>LAPTOP_PRODUCTION[[#This Row],[CHROMEOS PRICE /PCS]]*LAPTOP_PRODUCTION[[#This Row],[CHROME OS]]</f>
        <v>0</v>
      </c>
      <c r="Q11" s="40">
        <v>3990</v>
      </c>
      <c r="R11" s="38">
        <f>LAPTOP_PRODUCTION[[#This Row],[WINDOWS PRICE /PCS]]*LAPTOP_PRODUCTION[[#This Row],[WINDOWS]]</f>
        <v>7980</v>
      </c>
      <c r="S11" s="37">
        <f>LAPTOP_PRODUCTION[[#This Row],[COST /PCS]]*LAPTOP_PRODUCTION[[#This Row],[BACKJOB]]</f>
        <v>0</v>
      </c>
    </row>
    <row r="12" spans="1:19" x14ac:dyDescent="0.25">
      <c r="A12" s="33">
        <v>11</v>
      </c>
      <c r="B12" s="33" t="s">
        <v>65</v>
      </c>
      <c r="C12" s="33" t="s">
        <v>62</v>
      </c>
      <c r="D12" s="42">
        <v>15</v>
      </c>
      <c r="E12" s="42">
        <v>0</v>
      </c>
      <c r="F12" s="35">
        <v>15</v>
      </c>
      <c r="G12" s="46">
        <v>0</v>
      </c>
      <c r="H12" s="47">
        <v>15</v>
      </c>
      <c r="I12" s="47">
        <v>0</v>
      </c>
      <c r="J12" s="48">
        <v>0</v>
      </c>
      <c r="K12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12" s="36">
        <v>2500</v>
      </c>
      <c r="M12" s="37">
        <f>LAPTOP_PRODUCTION[[#This Row],[COST /PCS]]*LAPTOP_PRODUCTION[[#This Row],[TOTAL IN]]</f>
        <v>37500</v>
      </c>
      <c r="N12" s="38">
        <f>LAPTOP_PRODUCTION[[#This Row],[COST /PCS]]*LAPTOP_PRODUCTION[[#This Row],[CURRENT STOCKS]]</f>
        <v>37500</v>
      </c>
      <c r="O12" s="39">
        <v>3000</v>
      </c>
      <c r="P12" s="38">
        <f>LAPTOP_PRODUCTION[[#This Row],[CHROMEOS PRICE /PCS]]*LAPTOP_PRODUCTION[[#This Row],[CHROME OS]]</f>
        <v>45000</v>
      </c>
      <c r="Q12" s="40">
        <v>3990</v>
      </c>
      <c r="R12" s="38">
        <f>LAPTOP_PRODUCTION[[#This Row],[WINDOWS PRICE /PCS]]*LAPTOP_PRODUCTION[[#This Row],[WINDOWS]]</f>
        <v>0</v>
      </c>
      <c r="S12" s="37">
        <f>LAPTOP_PRODUCTION[[#This Row],[COST /PCS]]*LAPTOP_PRODUCTION[[#This Row],[BACKJOB]]</f>
        <v>0</v>
      </c>
    </row>
    <row r="13" spans="1:19" x14ac:dyDescent="0.25">
      <c r="A13" s="33">
        <v>12</v>
      </c>
      <c r="B13" s="33" t="s">
        <v>19</v>
      </c>
      <c r="C13" s="33" t="s">
        <v>62</v>
      </c>
      <c r="D13" s="42">
        <v>37</v>
      </c>
      <c r="E13" s="42">
        <v>0</v>
      </c>
      <c r="F13" s="35">
        <v>37</v>
      </c>
      <c r="G13" s="46">
        <v>7</v>
      </c>
      <c r="H13" s="47">
        <v>11</v>
      </c>
      <c r="I13" s="47">
        <v>19</v>
      </c>
      <c r="J13" s="48">
        <v>0</v>
      </c>
      <c r="K13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13" s="36">
        <v>2500</v>
      </c>
      <c r="M13" s="37">
        <f>LAPTOP_PRODUCTION[[#This Row],[COST /PCS]]*LAPTOP_PRODUCTION[[#This Row],[TOTAL IN]]</f>
        <v>92500</v>
      </c>
      <c r="N13" s="38">
        <f>LAPTOP_PRODUCTION[[#This Row],[COST /PCS]]*LAPTOP_PRODUCTION[[#This Row],[CURRENT STOCKS]]</f>
        <v>92500</v>
      </c>
      <c r="O13" s="39">
        <v>3000</v>
      </c>
      <c r="P13" s="38">
        <f>LAPTOP_PRODUCTION[[#This Row],[CHROMEOS PRICE /PCS]]*LAPTOP_PRODUCTION[[#This Row],[CHROME OS]]</f>
        <v>33000</v>
      </c>
      <c r="Q13" s="40">
        <v>3990</v>
      </c>
      <c r="R13" s="38">
        <f>LAPTOP_PRODUCTION[[#This Row],[WINDOWS PRICE /PCS]]*LAPTOP_PRODUCTION[[#This Row],[WINDOWS]]</f>
        <v>75810</v>
      </c>
      <c r="S13" s="37">
        <f>LAPTOP_PRODUCTION[[#This Row],[COST /PCS]]*LAPTOP_PRODUCTION[[#This Row],[BACKJOB]]</f>
        <v>0</v>
      </c>
    </row>
    <row r="14" spans="1:19" x14ac:dyDescent="0.25">
      <c r="A14" s="33">
        <v>13</v>
      </c>
      <c r="B14" s="33" t="s">
        <v>20</v>
      </c>
      <c r="C14" s="33" t="s">
        <v>62</v>
      </c>
      <c r="D14" s="42">
        <v>11</v>
      </c>
      <c r="E14" s="42">
        <v>0</v>
      </c>
      <c r="F14" s="35">
        <v>11</v>
      </c>
      <c r="G14" s="46">
        <v>10</v>
      </c>
      <c r="H14" s="47">
        <v>0</v>
      </c>
      <c r="I14" s="47">
        <v>1</v>
      </c>
      <c r="J14" s="48">
        <v>0</v>
      </c>
      <c r="K14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14" s="36">
        <v>2500</v>
      </c>
      <c r="M14" s="37">
        <f>LAPTOP_PRODUCTION[[#This Row],[COST /PCS]]*LAPTOP_PRODUCTION[[#This Row],[TOTAL IN]]</f>
        <v>27500</v>
      </c>
      <c r="N14" s="38">
        <f>LAPTOP_PRODUCTION[[#This Row],[COST /PCS]]*LAPTOP_PRODUCTION[[#This Row],[CURRENT STOCKS]]</f>
        <v>27500</v>
      </c>
      <c r="O14" s="39">
        <v>3000</v>
      </c>
      <c r="P14" s="38">
        <f>LAPTOP_PRODUCTION[[#This Row],[CHROMEOS PRICE /PCS]]*LAPTOP_PRODUCTION[[#This Row],[CHROME OS]]</f>
        <v>0</v>
      </c>
      <c r="Q14" s="40">
        <v>3990</v>
      </c>
      <c r="R14" s="38">
        <f>LAPTOP_PRODUCTION[[#This Row],[WINDOWS PRICE /PCS]]*LAPTOP_PRODUCTION[[#This Row],[WINDOWS]]</f>
        <v>3990</v>
      </c>
      <c r="S14" s="37">
        <f>LAPTOP_PRODUCTION[[#This Row],[COST /PCS]]*LAPTOP_PRODUCTION[[#This Row],[BACKJOB]]</f>
        <v>0</v>
      </c>
    </row>
    <row r="15" spans="1:19" x14ac:dyDescent="0.25">
      <c r="A15" s="33">
        <v>14</v>
      </c>
      <c r="B15" s="33" t="s">
        <v>21</v>
      </c>
      <c r="C15" s="33" t="s">
        <v>62</v>
      </c>
      <c r="D15" s="42">
        <v>27</v>
      </c>
      <c r="E15" s="42">
        <v>0</v>
      </c>
      <c r="F15" s="35">
        <v>27</v>
      </c>
      <c r="G15" s="46">
        <v>18</v>
      </c>
      <c r="H15" s="47">
        <v>2</v>
      </c>
      <c r="I15" s="47">
        <v>7</v>
      </c>
      <c r="J15" s="48">
        <v>0</v>
      </c>
      <c r="K15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15" s="36">
        <v>2500</v>
      </c>
      <c r="M15" s="37">
        <f>LAPTOP_PRODUCTION[[#This Row],[COST /PCS]]*LAPTOP_PRODUCTION[[#This Row],[TOTAL IN]]</f>
        <v>67500</v>
      </c>
      <c r="N15" s="38">
        <f>LAPTOP_PRODUCTION[[#This Row],[COST /PCS]]*LAPTOP_PRODUCTION[[#This Row],[CURRENT STOCKS]]</f>
        <v>67500</v>
      </c>
      <c r="O15" s="39">
        <v>3000</v>
      </c>
      <c r="P15" s="38">
        <f>LAPTOP_PRODUCTION[[#This Row],[CHROMEOS PRICE /PCS]]*LAPTOP_PRODUCTION[[#This Row],[CHROME OS]]</f>
        <v>6000</v>
      </c>
      <c r="Q15" s="40">
        <v>3990</v>
      </c>
      <c r="R15" s="38">
        <f>LAPTOP_PRODUCTION[[#This Row],[WINDOWS PRICE /PCS]]*LAPTOP_PRODUCTION[[#This Row],[WINDOWS]]</f>
        <v>27930</v>
      </c>
      <c r="S15" s="37">
        <f>LAPTOP_PRODUCTION[[#This Row],[COST /PCS]]*LAPTOP_PRODUCTION[[#This Row],[BACKJOB]]</f>
        <v>0</v>
      </c>
    </row>
    <row r="16" spans="1:19" x14ac:dyDescent="0.25">
      <c r="A16" s="33">
        <v>15</v>
      </c>
      <c r="B16" s="33" t="s">
        <v>22</v>
      </c>
      <c r="C16" s="33" t="s">
        <v>62</v>
      </c>
      <c r="D16" s="42">
        <v>7</v>
      </c>
      <c r="E16" s="42">
        <v>0</v>
      </c>
      <c r="F16" s="35">
        <v>7</v>
      </c>
      <c r="G16" s="46">
        <v>0</v>
      </c>
      <c r="H16" s="47">
        <v>3</v>
      </c>
      <c r="I16" s="47">
        <v>4</v>
      </c>
      <c r="J16" s="48">
        <v>0</v>
      </c>
      <c r="K16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16" s="36">
        <v>2500</v>
      </c>
      <c r="M16" s="37">
        <f>LAPTOP_PRODUCTION[[#This Row],[COST /PCS]]*LAPTOP_PRODUCTION[[#This Row],[TOTAL IN]]</f>
        <v>17500</v>
      </c>
      <c r="N16" s="38">
        <f>LAPTOP_PRODUCTION[[#This Row],[COST /PCS]]*LAPTOP_PRODUCTION[[#This Row],[CURRENT STOCKS]]</f>
        <v>17500</v>
      </c>
      <c r="O16" s="39">
        <v>3000</v>
      </c>
      <c r="P16" s="38">
        <f>LAPTOP_PRODUCTION[[#This Row],[CHROMEOS PRICE /PCS]]*LAPTOP_PRODUCTION[[#This Row],[CHROME OS]]</f>
        <v>9000</v>
      </c>
      <c r="Q16" s="40">
        <v>3990</v>
      </c>
      <c r="R16" s="38">
        <f>LAPTOP_PRODUCTION[[#This Row],[WINDOWS PRICE /PCS]]*LAPTOP_PRODUCTION[[#This Row],[WINDOWS]]</f>
        <v>15960</v>
      </c>
      <c r="S16" s="37">
        <f>LAPTOP_PRODUCTION[[#This Row],[COST /PCS]]*LAPTOP_PRODUCTION[[#This Row],[BACKJOB]]</f>
        <v>0</v>
      </c>
    </row>
    <row r="17" spans="1:19" x14ac:dyDescent="0.25">
      <c r="A17" s="33">
        <v>16</v>
      </c>
      <c r="B17" s="33" t="s">
        <v>23</v>
      </c>
      <c r="C17" s="33" t="s">
        <v>62</v>
      </c>
      <c r="D17" s="42">
        <v>2</v>
      </c>
      <c r="E17" s="42">
        <v>0</v>
      </c>
      <c r="F17" s="35">
        <v>2</v>
      </c>
      <c r="G17" s="46">
        <v>0</v>
      </c>
      <c r="H17" s="47">
        <v>2</v>
      </c>
      <c r="I17" s="47">
        <v>0</v>
      </c>
      <c r="J17" s="48">
        <v>0</v>
      </c>
      <c r="K17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17" s="36">
        <v>2500</v>
      </c>
      <c r="M17" s="37">
        <f>LAPTOP_PRODUCTION[[#This Row],[COST /PCS]]*LAPTOP_PRODUCTION[[#This Row],[TOTAL IN]]</f>
        <v>5000</v>
      </c>
      <c r="N17" s="38">
        <f>LAPTOP_PRODUCTION[[#This Row],[COST /PCS]]*LAPTOP_PRODUCTION[[#This Row],[CURRENT STOCKS]]</f>
        <v>5000</v>
      </c>
      <c r="O17" s="39">
        <v>3000</v>
      </c>
      <c r="P17" s="38">
        <f>LAPTOP_PRODUCTION[[#This Row],[CHROMEOS PRICE /PCS]]*LAPTOP_PRODUCTION[[#This Row],[CHROME OS]]</f>
        <v>6000</v>
      </c>
      <c r="Q17" s="40">
        <v>3990</v>
      </c>
      <c r="R17" s="38">
        <f>LAPTOP_PRODUCTION[[#This Row],[WINDOWS PRICE /PCS]]*LAPTOP_PRODUCTION[[#This Row],[WINDOWS]]</f>
        <v>0</v>
      </c>
      <c r="S17" s="37">
        <f>LAPTOP_PRODUCTION[[#This Row],[COST /PCS]]*LAPTOP_PRODUCTION[[#This Row],[BACKJOB]]</f>
        <v>0</v>
      </c>
    </row>
    <row r="18" spans="1:19" x14ac:dyDescent="0.25">
      <c r="A18" s="33">
        <v>17</v>
      </c>
      <c r="B18" s="33" t="s">
        <v>24</v>
      </c>
      <c r="C18" s="33" t="s">
        <v>62</v>
      </c>
      <c r="D18" s="42">
        <v>5</v>
      </c>
      <c r="E18" s="42">
        <v>0</v>
      </c>
      <c r="F18" s="35">
        <v>5</v>
      </c>
      <c r="G18" s="46">
        <v>0</v>
      </c>
      <c r="H18" s="47">
        <v>5</v>
      </c>
      <c r="I18" s="47">
        <v>0</v>
      </c>
      <c r="J18" s="48">
        <v>0</v>
      </c>
      <c r="K18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18" s="36">
        <v>2500</v>
      </c>
      <c r="M18" s="37">
        <f>LAPTOP_PRODUCTION[[#This Row],[COST /PCS]]*LAPTOP_PRODUCTION[[#This Row],[TOTAL IN]]</f>
        <v>12500</v>
      </c>
      <c r="N18" s="38">
        <f>LAPTOP_PRODUCTION[[#This Row],[COST /PCS]]*LAPTOP_PRODUCTION[[#This Row],[CURRENT STOCKS]]</f>
        <v>12500</v>
      </c>
      <c r="O18" s="39">
        <v>3000</v>
      </c>
      <c r="P18" s="38">
        <f>LAPTOP_PRODUCTION[[#This Row],[CHROMEOS PRICE /PCS]]*LAPTOP_PRODUCTION[[#This Row],[CHROME OS]]</f>
        <v>15000</v>
      </c>
      <c r="Q18" s="40">
        <v>3990</v>
      </c>
      <c r="R18" s="38">
        <f>LAPTOP_PRODUCTION[[#This Row],[WINDOWS PRICE /PCS]]*LAPTOP_PRODUCTION[[#This Row],[WINDOWS]]</f>
        <v>0</v>
      </c>
      <c r="S18" s="37">
        <f>LAPTOP_PRODUCTION[[#This Row],[COST /PCS]]*LAPTOP_PRODUCTION[[#This Row],[BACKJOB]]</f>
        <v>0</v>
      </c>
    </row>
    <row r="19" spans="1:19" x14ac:dyDescent="0.25">
      <c r="A19" s="33">
        <v>18</v>
      </c>
      <c r="B19" s="33" t="s">
        <v>25</v>
      </c>
      <c r="C19" s="33" t="s">
        <v>62</v>
      </c>
      <c r="D19" s="42">
        <v>2</v>
      </c>
      <c r="E19" s="42">
        <v>0</v>
      </c>
      <c r="F19" s="35">
        <v>2</v>
      </c>
      <c r="G19" s="46">
        <v>0</v>
      </c>
      <c r="H19" s="47">
        <v>0</v>
      </c>
      <c r="I19" s="47">
        <v>2</v>
      </c>
      <c r="J19" s="48">
        <v>0</v>
      </c>
      <c r="K19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19" s="36">
        <v>2500</v>
      </c>
      <c r="M19" s="37">
        <f>LAPTOP_PRODUCTION[[#This Row],[COST /PCS]]*LAPTOP_PRODUCTION[[#This Row],[TOTAL IN]]</f>
        <v>5000</v>
      </c>
      <c r="N19" s="38">
        <f>LAPTOP_PRODUCTION[[#This Row],[COST /PCS]]*LAPTOP_PRODUCTION[[#This Row],[CURRENT STOCKS]]</f>
        <v>5000</v>
      </c>
      <c r="O19" s="39">
        <v>3000</v>
      </c>
      <c r="P19" s="38">
        <f>LAPTOP_PRODUCTION[[#This Row],[CHROMEOS PRICE /PCS]]*LAPTOP_PRODUCTION[[#This Row],[CHROME OS]]</f>
        <v>0</v>
      </c>
      <c r="Q19" s="40">
        <v>3990</v>
      </c>
      <c r="R19" s="38">
        <f>LAPTOP_PRODUCTION[[#This Row],[WINDOWS PRICE /PCS]]*LAPTOP_PRODUCTION[[#This Row],[WINDOWS]]</f>
        <v>7980</v>
      </c>
      <c r="S19" s="37">
        <f>LAPTOP_PRODUCTION[[#This Row],[COST /PCS]]*LAPTOP_PRODUCTION[[#This Row],[BACKJOB]]</f>
        <v>0</v>
      </c>
    </row>
    <row r="20" spans="1:19" x14ac:dyDescent="0.25">
      <c r="A20" s="33">
        <v>19</v>
      </c>
      <c r="B20" s="33" t="s">
        <v>26</v>
      </c>
      <c r="C20" s="33" t="s">
        <v>62</v>
      </c>
      <c r="D20" s="42">
        <v>1</v>
      </c>
      <c r="E20" s="42">
        <v>0</v>
      </c>
      <c r="F20" s="35">
        <v>1</v>
      </c>
      <c r="G20" s="46">
        <v>0</v>
      </c>
      <c r="H20" s="47">
        <v>1</v>
      </c>
      <c r="I20" s="47">
        <v>0</v>
      </c>
      <c r="J20" s="48">
        <v>0</v>
      </c>
      <c r="K20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20" s="36">
        <v>2500</v>
      </c>
      <c r="M20" s="37">
        <f>LAPTOP_PRODUCTION[[#This Row],[COST /PCS]]*LAPTOP_PRODUCTION[[#This Row],[TOTAL IN]]</f>
        <v>2500</v>
      </c>
      <c r="N20" s="38">
        <f>LAPTOP_PRODUCTION[[#This Row],[COST /PCS]]*LAPTOP_PRODUCTION[[#This Row],[CURRENT STOCKS]]</f>
        <v>2500</v>
      </c>
      <c r="O20" s="39">
        <v>3000</v>
      </c>
      <c r="P20" s="38">
        <f>LAPTOP_PRODUCTION[[#This Row],[CHROMEOS PRICE /PCS]]*LAPTOP_PRODUCTION[[#This Row],[CHROME OS]]</f>
        <v>3000</v>
      </c>
      <c r="Q20" s="40">
        <v>3990</v>
      </c>
      <c r="R20" s="38">
        <f>LAPTOP_PRODUCTION[[#This Row],[WINDOWS PRICE /PCS]]*LAPTOP_PRODUCTION[[#This Row],[WINDOWS]]</f>
        <v>0</v>
      </c>
      <c r="S20" s="37">
        <f>LAPTOP_PRODUCTION[[#This Row],[COST /PCS]]*LAPTOP_PRODUCTION[[#This Row],[BACKJOB]]</f>
        <v>0</v>
      </c>
    </row>
    <row r="21" spans="1:19" x14ac:dyDescent="0.25">
      <c r="A21" s="33">
        <v>20</v>
      </c>
      <c r="B21" s="33" t="s">
        <v>27</v>
      </c>
      <c r="C21" s="33" t="s">
        <v>62</v>
      </c>
      <c r="D21" s="42">
        <v>6</v>
      </c>
      <c r="E21" s="42">
        <v>0</v>
      </c>
      <c r="F21" s="35">
        <v>6</v>
      </c>
      <c r="G21" s="46">
        <v>0</v>
      </c>
      <c r="H21" s="47">
        <v>6</v>
      </c>
      <c r="I21" s="47">
        <v>0</v>
      </c>
      <c r="J21" s="48">
        <v>0</v>
      </c>
      <c r="K21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21" s="36">
        <v>2500</v>
      </c>
      <c r="M21" s="37">
        <f>LAPTOP_PRODUCTION[[#This Row],[COST /PCS]]*LAPTOP_PRODUCTION[[#This Row],[TOTAL IN]]</f>
        <v>15000</v>
      </c>
      <c r="N21" s="38">
        <f>LAPTOP_PRODUCTION[[#This Row],[COST /PCS]]*LAPTOP_PRODUCTION[[#This Row],[CURRENT STOCKS]]</f>
        <v>15000</v>
      </c>
      <c r="O21" s="39">
        <v>3000</v>
      </c>
      <c r="P21" s="38">
        <f>LAPTOP_PRODUCTION[[#This Row],[CHROMEOS PRICE /PCS]]*LAPTOP_PRODUCTION[[#This Row],[CHROME OS]]</f>
        <v>18000</v>
      </c>
      <c r="Q21" s="40">
        <v>3990</v>
      </c>
      <c r="R21" s="38">
        <f>LAPTOP_PRODUCTION[[#This Row],[WINDOWS PRICE /PCS]]*LAPTOP_PRODUCTION[[#This Row],[WINDOWS]]</f>
        <v>0</v>
      </c>
      <c r="S21" s="37">
        <f>LAPTOP_PRODUCTION[[#This Row],[COST /PCS]]*LAPTOP_PRODUCTION[[#This Row],[BACKJOB]]</f>
        <v>0</v>
      </c>
    </row>
    <row r="22" spans="1:19" x14ac:dyDescent="0.25">
      <c r="A22" s="33">
        <v>21</v>
      </c>
      <c r="B22" s="33" t="s">
        <v>28</v>
      </c>
      <c r="C22" s="33" t="s">
        <v>62</v>
      </c>
      <c r="D22" s="42">
        <v>2</v>
      </c>
      <c r="E22" s="42">
        <v>0</v>
      </c>
      <c r="F22" s="35">
        <v>2</v>
      </c>
      <c r="G22" s="46">
        <v>0</v>
      </c>
      <c r="H22" s="47">
        <v>0</v>
      </c>
      <c r="I22" s="47">
        <v>2</v>
      </c>
      <c r="J22" s="48">
        <v>0</v>
      </c>
      <c r="K22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22" s="36">
        <v>2500</v>
      </c>
      <c r="M22" s="37">
        <f>LAPTOP_PRODUCTION[[#This Row],[COST /PCS]]*LAPTOP_PRODUCTION[[#This Row],[TOTAL IN]]</f>
        <v>5000</v>
      </c>
      <c r="N22" s="38">
        <f>LAPTOP_PRODUCTION[[#This Row],[COST /PCS]]*LAPTOP_PRODUCTION[[#This Row],[CURRENT STOCKS]]</f>
        <v>5000</v>
      </c>
      <c r="O22" s="39">
        <v>3000</v>
      </c>
      <c r="P22" s="38">
        <f>LAPTOP_PRODUCTION[[#This Row],[CHROMEOS PRICE /PCS]]*LAPTOP_PRODUCTION[[#This Row],[CHROME OS]]</f>
        <v>0</v>
      </c>
      <c r="Q22" s="40">
        <v>3990</v>
      </c>
      <c r="R22" s="38">
        <f>LAPTOP_PRODUCTION[[#This Row],[WINDOWS PRICE /PCS]]*LAPTOP_PRODUCTION[[#This Row],[WINDOWS]]</f>
        <v>7980</v>
      </c>
      <c r="S22" s="37">
        <f>LAPTOP_PRODUCTION[[#This Row],[COST /PCS]]*LAPTOP_PRODUCTION[[#This Row],[BACKJOB]]</f>
        <v>0</v>
      </c>
    </row>
    <row r="23" spans="1:19" x14ac:dyDescent="0.25">
      <c r="A23" s="33">
        <v>22</v>
      </c>
      <c r="B23" s="33" t="s">
        <v>29</v>
      </c>
      <c r="C23" s="33" t="s">
        <v>62</v>
      </c>
      <c r="D23" s="42">
        <v>99</v>
      </c>
      <c r="E23" s="42">
        <v>0</v>
      </c>
      <c r="F23" s="35">
        <v>99</v>
      </c>
      <c r="G23" s="46">
        <v>14</v>
      </c>
      <c r="H23" s="47">
        <v>13</v>
      </c>
      <c r="I23" s="47">
        <v>72</v>
      </c>
      <c r="J23" s="48">
        <v>0</v>
      </c>
      <c r="K23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23" s="36">
        <v>2500</v>
      </c>
      <c r="M23" s="37">
        <f>LAPTOP_PRODUCTION[[#This Row],[COST /PCS]]*LAPTOP_PRODUCTION[[#This Row],[TOTAL IN]]</f>
        <v>247500</v>
      </c>
      <c r="N23" s="38">
        <f>LAPTOP_PRODUCTION[[#This Row],[COST /PCS]]*LAPTOP_PRODUCTION[[#This Row],[CURRENT STOCKS]]</f>
        <v>247500</v>
      </c>
      <c r="O23" s="39">
        <v>3000</v>
      </c>
      <c r="P23" s="38">
        <f>LAPTOP_PRODUCTION[[#This Row],[CHROMEOS PRICE /PCS]]*LAPTOP_PRODUCTION[[#This Row],[CHROME OS]]</f>
        <v>39000</v>
      </c>
      <c r="Q23" s="40">
        <v>3990</v>
      </c>
      <c r="R23" s="38">
        <f>LAPTOP_PRODUCTION[[#This Row],[WINDOWS PRICE /PCS]]*LAPTOP_PRODUCTION[[#This Row],[WINDOWS]]</f>
        <v>287280</v>
      </c>
      <c r="S23" s="37">
        <f>LAPTOP_PRODUCTION[[#This Row],[COST /PCS]]*LAPTOP_PRODUCTION[[#This Row],[BACKJOB]]</f>
        <v>0</v>
      </c>
    </row>
    <row r="24" spans="1:19" x14ac:dyDescent="0.25">
      <c r="A24" s="33">
        <v>23</v>
      </c>
      <c r="B24" s="33" t="s">
        <v>30</v>
      </c>
      <c r="C24" s="33" t="s">
        <v>62</v>
      </c>
      <c r="D24" s="42">
        <v>9</v>
      </c>
      <c r="E24" s="42">
        <v>0</v>
      </c>
      <c r="F24" s="35">
        <v>9</v>
      </c>
      <c r="G24" s="46">
        <v>0</v>
      </c>
      <c r="H24" s="47">
        <v>7</v>
      </c>
      <c r="I24" s="47">
        <v>2</v>
      </c>
      <c r="J24" s="48">
        <v>0</v>
      </c>
      <c r="K24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24" s="36">
        <v>2500</v>
      </c>
      <c r="M24" s="37">
        <f>LAPTOP_PRODUCTION[[#This Row],[COST /PCS]]*LAPTOP_PRODUCTION[[#This Row],[TOTAL IN]]</f>
        <v>22500</v>
      </c>
      <c r="N24" s="38">
        <f>LAPTOP_PRODUCTION[[#This Row],[COST /PCS]]*LAPTOP_PRODUCTION[[#This Row],[CURRENT STOCKS]]</f>
        <v>22500</v>
      </c>
      <c r="O24" s="39">
        <v>3000</v>
      </c>
      <c r="P24" s="38">
        <f>LAPTOP_PRODUCTION[[#This Row],[CHROMEOS PRICE /PCS]]*LAPTOP_PRODUCTION[[#This Row],[CHROME OS]]</f>
        <v>21000</v>
      </c>
      <c r="Q24" s="40">
        <v>3990</v>
      </c>
      <c r="R24" s="38">
        <f>LAPTOP_PRODUCTION[[#This Row],[WINDOWS PRICE /PCS]]*LAPTOP_PRODUCTION[[#This Row],[WINDOWS]]</f>
        <v>7980</v>
      </c>
      <c r="S24" s="37">
        <f>LAPTOP_PRODUCTION[[#This Row],[COST /PCS]]*LAPTOP_PRODUCTION[[#This Row],[BACKJOB]]</f>
        <v>0</v>
      </c>
    </row>
    <row r="25" spans="1:19" x14ac:dyDescent="0.25">
      <c r="A25" s="33">
        <v>24</v>
      </c>
      <c r="B25" s="33" t="s">
        <v>31</v>
      </c>
      <c r="C25" s="33" t="s">
        <v>62</v>
      </c>
      <c r="D25" s="42">
        <v>2</v>
      </c>
      <c r="E25" s="42">
        <v>0</v>
      </c>
      <c r="F25" s="35">
        <v>2</v>
      </c>
      <c r="G25" s="46">
        <v>0</v>
      </c>
      <c r="H25" s="47">
        <v>1</v>
      </c>
      <c r="I25" s="47">
        <v>1</v>
      </c>
      <c r="J25" s="48">
        <v>0</v>
      </c>
      <c r="K25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25" s="36">
        <v>2500</v>
      </c>
      <c r="M25" s="37">
        <f>LAPTOP_PRODUCTION[[#This Row],[COST /PCS]]*LAPTOP_PRODUCTION[[#This Row],[TOTAL IN]]</f>
        <v>5000</v>
      </c>
      <c r="N25" s="38">
        <f>LAPTOP_PRODUCTION[[#This Row],[COST /PCS]]*LAPTOP_PRODUCTION[[#This Row],[CURRENT STOCKS]]</f>
        <v>5000</v>
      </c>
      <c r="O25" s="39">
        <v>3000</v>
      </c>
      <c r="P25" s="38">
        <f>LAPTOP_PRODUCTION[[#This Row],[CHROMEOS PRICE /PCS]]*LAPTOP_PRODUCTION[[#This Row],[CHROME OS]]</f>
        <v>3000</v>
      </c>
      <c r="Q25" s="40">
        <v>3990</v>
      </c>
      <c r="R25" s="38">
        <f>LAPTOP_PRODUCTION[[#This Row],[WINDOWS PRICE /PCS]]*LAPTOP_PRODUCTION[[#This Row],[WINDOWS]]</f>
        <v>3990</v>
      </c>
      <c r="S25" s="37">
        <f>LAPTOP_PRODUCTION[[#This Row],[COST /PCS]]*LAPTOP_PRODUCTION[[#This Row],[BACKJOB]]</f>
        <v>0</v>
      </c>
    </row>
    <row r="26" spans="1:19" x14ac:dyDescent="0.25">
      <c r="A26" s="33">
        <v>25</v>
      </c>
      <c r="B26" s="33" t="s">
        <v>32</v>
      </c>
      <c r="C26" s="33" t="s">
        <v>62</v>
      </c>
      <c r="D26" s="42">
        <v>8</v>
      </c>
      <c r="E26" s="42">
        <v>0</v>
      </c>
      <c r="F26" s="35">
        <v>8</v>
      </c>
      <c r="G26" s="46">
        <v>0</v>
      </c>
      <c r="H26" s="47">
        <v>1</v>
      </c>
      <c r="I26" s="47">
        <v>7</v>
      </c>
      <c r="J26" s="48">
        <v>0</v>
      </c>
      <c r="K26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26" s="36">
        <v>2500</v>
      </c>
      <c r="M26" s="37">
        <f>LAPTOP_PRODUCTION[[#This Row],[COST /PCS]]*LAPTOP_PRODUCTION[[#This Row],[TOTAL IN]]</f>
        <v>20000</v>
      </c>
      <c r="N26" s="38">
        <f>LAPTOP_PRODUCTION[[#This Row],[COST /PCS]]*LAPTOP_PRODUCTION[[#This Row],[CURRENT STOCKS]]</f>
        <v>20000</v>
      </c>
      <c r="O26" s="39">
        <v>3000</v>
      </c>
      <c r="P26" s="38">
        <f>LAPTOP_PRODUCTION[[#This Row],[CHROMEOS PRICE /PCS]]*LAPTOP_PRODUCTION[[#This Row],[CHROME OS]]</f>
        <v>3000</v>
      </c>
      <c r="Q26" s="40">
        <v>3990</v>
      </c>
      <c r="R26" s="38">
        <f>LAPTOP_PRODUCTION[[#This Row],[WINDOWS PRICE /PCS]]*LAPTOP_PRODUCTION[[#This Row],[WINDOWS]]</f>
        <v>27930</v>
      </c>
      <c r="S26" s="37">
        <f>LAPTOP_PRODUCTION[[#This Row],[COST /PCS]]*LAPTOP_PRODUCTION[[#This Row],[BACKJOB]]</f>
        <v>0</v>
      </c>
    </row>
    <row r="27" spans="1:19" x14ac:dyDescent="0.25">
      <c r="A27" s="33">
        <v>26</v>
      </c>
      <c r="B27" s="33" t="s">
        <v>33</v>
      </c>
      <c r="C27" s="33" t="s">
        <v>62</v>
      </c>
      <c r="D27" s="42">
        <v>4</v>
      </c>
      <c r="E27" s="42">
        <v>0</v>
      </c>
      <c r="F27" s="35">
        <v>4</v>
      </c>
      <c r="G27" s="46">
        <v>0</v>
      </c>
      <c r="H27" s="47">
        <v>0</v>
      </c>
      <c r="I27" s="47">
        <v>4</v>
      </c>
      <c r="J27" s="48">
        <v>0</v>
      </c>
      <c r="K27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27" s="36">
        <v>2500</v>
      </c>
      <c r="M27" s="37">
        <f>LAPTOP_PRODUCTION[[#This Row],[COST /PCS]]*LAPTOP_PRODUCTION[[#This Row],[TOTAL IN]]</f>
        <v>10000</v>
      </c>
      <c r="N27" s="38">
        <f>LAPTOP_PRODUCTION[[#This Row],[COST /PCS]]*LAPTOP_PRODUCTION[[#This Row],[CURRENT STOCKS]]</f>
        <v>10000</v>
      </c>
      <c r="O27" s="39">
        <v>3000</v>
      </c>
      <c r="P27" s="38">
        <f>LAPTOP_PRODUCTION[[#This Row],[CHROMEOS PRICE /PCS]]*LAPTOP_PRODUCTION[[#This Row],[CHROME OS]]</f>
        <v>0</v>
      </c>
      <c r="Q27" s="40">
        <v>3990</v>
      </c>
      <c r="R27" s="38">
        <f>LAPTOP_PRODUCTION[[#This Row],[WINDOWS PRICE /PCS]]*LAPTOP_PRODUCTION[[#This Row],[WINDOWS]]</f>
        <v>15960</v>
      </c>
      <c r="S27" s="37">
        <f>LAPTOP_PRODUCTION[[#This Row],[COST /PCS]]*LAPTOP_PRODUCTION[[#This Row],[BACKJOB]]</f>
        <v>0</v>
      </c>
    </row>
    <row r="28" spans="1:19" x14ac:dyDescent="0.25">
      <c r="A28" s="33">
        <v>27</v>
      </c>
      <c r="B28" s="33" t="s">
        <v>34</v>
      </c>
      <c r="C28" s="33" t="s">
        <v>62</v>
      </c>
      <c r="D28" s="42">
        <v>12</v>
      </c>
      <c r="E28" s="42">
        <v>0</v>
      </c>
      <c r="F28" s="35">
        <v>12</v>
      </c>
      <c r="G28" s="46">
        <v>1</v>
      </c>
      <c r="H28" s="47">
        <v>11</v>
      </c>
      <c r="I28" s="47">
        <v>0</v>
      </c>
      <c r="J28" s="48">
        <v>0</v>
      </c>
      <c r="K28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28" s="36">
        <v>2500</v>
      </c>
      <c r="M28" s="37">
        <f>LAPTOP_PRODUCTION[[#This Row],[COST /PCS]]*LAPTOP_PRODUCTION[[#This Row],[TOTAL IN]]</f>
        <v>30000</v>
      </c>
      <c r="N28" s="38">
        <f>LAPTOP_PRODUCTION[[#This Row],[COST /PCS]]*LAPTOP_PRODUCTION[[#This Row],[CURRENT STOCKS]]</f>
        <v>30000</v>
      </c>
      <c r="O28" s="39">
        <v>3000</v>
      </c>
      <c r="P28" s="38">
        <f>LAPTOP_PRODUCTION[[#This Row],[CHROMEOS PRICE /PCS]]*LAPTOP_PRODUCTION[[#This Row],[CHROME OS]]</f>
        <v>33000</v>
      </c>
      <c r="Q28" s="40">
        <v>3990</v>
      </c>
      <c r="R28" s="38">
        <f>LAPTOP_PRODUCTION[[#This Row],[WINDOWS PRICE /PCS]]*LAPTOP_PRODUCTION[[#This Row],[WINDOWS]]</f>
        <v>0</v>
      </c>
      <c r="S28" s="37">
        <f>LAPTOP_PRODUCTION[[#This Row],[COST /PCS]]*LAPTOP_PRODUCTION[[#This Row],[BACKJOB]]</f>
        <v>0</v>
      </c>
    </row>
    <row r="29" spans="1:19" x14ac:dyDescent="0.25">
      <c r="A29" s="33">
        <v>28</v>
      </c>
      <c r="B29" s="33" t="s">
        <v>35</v>
      </c>
      <c r="C29" s="33" t="s">
        <v>62</v>
      </c>
      <c r="D29" s="42">
        <v>5</v>
      </c>
      <c r="E29" s="42">
        <v>0</v>
      </c>
      <c r="F29" s="35">
        <v>5</v>
      </c>
      <c r="G29" s="46">
        <v>0</v>
      </c>
      <c r="H29" s="47">
        <v>0</v>
      </c>
      <c r="I29" s="47">
        <v>5</v>
      </c>
      <c r="J29" s="48">
        <v>0</v>
      </c>
      <c r="K29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29" s="36">
        <v>2500</v>
      </c>
      <c r="M29" s="37">
        <f>LAPTOP_PRODUCTION[[#This Row],[COST /PCS]]*LAPTOP_PRODUCTION[[#This Row],[TOTAL IN]]</f>
        <v>12500</v>
      </c>
      <c r="N29" s="38">
        <f>LAPTOP_PRODUCTION[[#This Row],[COST /PCS]]*LAPTOP_PRODUCTION[[#This Row],[CURRENT STOCKS]]</f>
        <v>12500</v>
      </c>
      <c r="O29" s="39">
        <v>3000</v>
      </c>
      <c r="P29" s="38">
        <f>LAPTOP_PRODUCTION[[#This Row],[CHROMEOS PRICE /PCS]]*LAPTOP_PRODUCTION[[#This Row],[CHROME OS]]</f>
        <v>0</v>
      </c>
      <c r="Q29" s="40">
        <v>3990</v>
      </c>
      <c r="R29" s="38">
        <f>LAPTOP_PRODUCTION[[#This Row],[WINDOWS PRICE /PCS]]*LAPTOP_PRODUCTION[[#This Row],[WINDOWS]]</f>
        <v>19950</v>
      </c>
      <c r="S29" s="37">
        <f>LAPTOP_PRODUCTION[[#This Row],[COST /PCS]]*LAPTOP_PRODUCTION[[#This Row],[BACKJOB]]</f>
        <v>0</v>
      </c>
    </row>
    <row r="30" spans="1:19" x14ac:dyDescent="0.25">
      <c r="A30" s="33">
        <v>29</v>
      </c>
      <c r="B30" s="33" t="s">
        <v>36</v>
      </c>
      <c r="C30" s="33" t="s">
        <v>62</v>
      </c>
      <c r="D30" s="42">
        <v>14</v>
      </c>
      <c r="E30" s="42">
        <v>0</v>
      </c>
      <c r="F30" s="35">
        <v>14</v>
      </c>
      <c r="G30" s="46">
        <v>5</v>
      </c>
      <c r="H30" s="47">
        <v>1</v>
      </c>
      <c r="I30" s="47">
        <v>8</v>
      </c>
      <c r="J30" s="48">
        <v>0</v>
      </c>
      <c r="K30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30" s="36">
        <v>2500</v>
      </c>
      <c r="M30" s="37">
        <f>LAPTOP_PRODUCTION[[#This Row],[COST /PCS]]*LAPTOP_PRODUCTION[[#This Row],[TOTAL IN]]</f>
        <v>35000</v>
      </c>
      <c r="N30" s="38">
        <f>LAPTOP_PRODUCTION[[#This Row],[COST /PCS]]*LAPTOP_PRODUCTION[[#This Row],[CURRENT STOCKS]]</f>
        <v>35000</v>
      </c>
      <c r="O30" s="39">
        <v>3000</v>
      </c>
      <c r="P30" s="38">
        <f>LAPTOP_PRODUCTION[[#This Row],[CHROMEOS PRICE /PCS]]*LAPTOP_PRODUCTION[[#This Row],[CHROME OS]]</f>
        <v>3000</v>
      </c>
      <c r="Q30" s="40">
        <v>3990</v>
      </c>
      <c r="R30" s="38">
        <f>LAPTOP_PRODUCTION[[#This Row],[WINDOWS PRICE /PCS]]*LAPTOP_PRODUCTION[[#This Row],[WINDOWS]]</f>
        <v>31920</v>
      </c>
      <c r="S30" s="37">
        <f>LAPTOP_PRODUCTION[[#This Row],[COST /PCS]]*LAPTOP_PRODUCTION[[#This Row],[BACKJOB]]</f>
        <v>0</v>
      </c>
    </row>
    <row r="31" spans="1:19" x14ac:dyDescent="0.25">
      <c r="A31" s="33">
        <v>30</v>
      </c>
      <c r="B31" s="33" t="s">
        <v>37</v>
      </c>
      <c r="C31" s="33" t="s">
        <v>62</v>
      </c>
      <c r="D31" s="42">
        <v>4</v>
      </c>
      <c r="E31" s="42">
        <v>0</v>
      </c>
      <c r="F31" s="35">
        <v>4</v>
      </c>
      <c r="G31" s="46">
        <v>4</v>
      </c>
      <c r="H31" s="47">
        <v>0</v>
      </c>
      <c r="I31" s="47">
        <v>0</v>
      </c>
      <c r="J31" s="48">
        <v>0</v>
      </c>
      <c r="K31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31" s="36">
        <v>2500</v>
      </c>
      <c r="M31" s="37">
        <f>LAPTOP_PRODUCTION[[#This Row],[COST /PCS]]*LAPTOP_PRODUCTION[[#This Row],[TOTAL IN]]</f>
        <v>10000</v>
      </c>
      <c r="N31" s="38">
        <f>LAPTOP_PRODUCTION[[#This Row],[COST /PCS]]*LAPTOP_PRODUCTION[[#This Row],[CURRENT STOCKS]]</f>
        <v>10000</v>
      </c>
      <c r="O31" s="39">
        <v>3000</v>
      </c>
      <c r="P31" s="38">
        <f>LAPTOP_PRODUCTION[[#This Row],[CHROMEOS PRICE /PCS]]*LAPTOP_PRODUCTION[[#This Row],[CHROME OS]]</f>
        <v>0</v>
      </c>
      <c r="Q31" s="40">
        <v>3990</v>
      </c>
      <c r="R31" s="38">
        <f>LAPTOP_PRODUCTION[[#This Row],[WINDOWS PRICE /PCS]]*LAPTOP_PRODUCTION[[#This Row],[WINDOWS]]</f>
        <v>0</v>
      </c>
      <c r="S31" s="37">
        <f>LAPTOP_PRODUCTION[[#This Row],[COST /PCS]]*LAPTOP_PRODUCTION[[#This Row],[BACKJOB]]</f>
        <v>0</v>
      </c>
    </row>
    <row r="32" spans="1:19" x14ac:dyDescent="0.25">
      <c r="A32" s="33">
        <v>31</v>
      </c>
      <c r="B32" s="33" t="s">
        <v>38</v>
      </c>
      <c r="C32" s="33" t="s">
        <v>62</v>
      </c>
      <c r="D32" s="42">
        <v>3</v>
      </c>
      <c r="E32" s="42">
        <v>0</v>
      </c>
      <c r="F32" s="35">
        <v>3</v>
      </c>
      <c r="G32" s="46">
        <v>3</v>
      </c>
      <c r="H32" s="47">
        <v>0</v>
      </c>
      <c r="I32" s="47">
        <v>0</v>
      </c>
      <c r="J32" s="48">
        <v>0</v>
      </c>
      <c r="K32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32" s="36">
        <v>2500</v>
      </c>
      <c r="M32" s="37">
        <f>LAPTOP_PRODUCTION[[#This Row],[COST /PCS]]*LAPTOP_PRODUCTION[[#This Row],[TOTAL IN]]</f>
        <v>7500</v>
      </c>
      <c r="N32" s="38">
        <f>LAPTOP_PRODUCTION[[#This Row],[COST /PCS]]*LAPTOP_PRODUCTION[[#This Row],[CURRENT STOCKS]]</f>
        <v>7500</v>
      </c>
      <c r="O32" s="39">
        <v>3000</v>
      </c>
      <c r="P32" s="38">
        <f>LAPTOP_PRODUCTION[[#This Row],[CHROMEOS PRICE /PCS]]*LAPTOP_PRODUCTION[[#This Row],[CHROME OS]]</f>
        <v>0</v>
      </c>
      <c r="Q32" s="40">
        <v>3990</v>
      </c>
      <c r="R32" s="38">
        <f>LAPTOP_PRODUCTION[[#This Row],[WINDOWS PRICE /PCS]]*LAPTOP_PRODUCTION[[#This Row],[WINDOWS]]</f>
        <v>0</v>
      </c>
      <c r="S32" s="37">
        <f>LAPTOP_PRODUCTION[[#This Row],[COST /PCS]]*LAPTOP_PRODUCTION[[#This Row],[BACKJOB]]</f>
        <v>0</v>
      </c>
    </row>
    <row r="33" spans="1:19" x14ac:dyDescent="0.25">
      <c r="A33" s="33">
        <v>32</v>
      </c>
      <c r="B33" s="33" t="s">
        <v>39</v>
      </c>
      <c r="C33" s="33" t="s">
        <v>62</v>
      </c>
      <c r="D33" s="42">
        <v>4</v>
      </c>
      <c r="E33" s="42">
        <v>0</v>
      </c>
      <c r="F33" s="35">
        <v>4</v>
      </c>
      <c r="G33" s="46">
        <v>1</v>
      </c>
      <c r="H33" s="47">
        <v>0</v>
      </c>
      <c r="I33" s="47">
        <v>3</v>
      </c>
      <c r="J33" s="48">
        <v>0</v>
      </c>
      <c r="K33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33" s="36">
        <v>2500</v>
      </c>
      <c r="M33" s="37">
        <f>LAPTOP_PRODUCTION[[#This Row],[COST /PCS]]*LAPTOP_PRODUCTION[[#This Row],[TOTAL IN]]</f>
        <v>10000</v>
      </c>
      <c r="N33" s="38">
        <f>LAPTOP_PRODUCTION[[#This Row],[COST /PCS]]*LAPTOP_PRODUCTION[[#This Row],[CURRENT STOCKS]]</f>
        <v>10000</v>
      </c>
      <c r="O33" s="39">
        <v>3000</v>
      </c>
      <c r="P33" s="38">
        <f>LAPTOP_PRODUCTION[[#This Row],[CHROMEOS PRICE /PCS]]*LAPTOP_PRODUCTION[[#This Row],[CHROME OS]]</f>
        <v>0</v>
      </c>
      <c r="Q33" s="40">
        <v>3990</v>
      </c>
      <c r="R33" s="38">
        <f>LAPTOP_PRODUCTION[[#This Row],[WINDOWS PRICE /PCS]]*LAPTOP_PRODUCTION[[#This Row],[WINDOWS]]</f>
        <v>11970</v>
      </c>
      <c r="S33" s="37">
        <f>LAPTOP_PRODUCTION[[#This Row],[COST /PCS]]*LAPTOP_PRODUCTION[[#This Row],[BACKJOB]]</f>
        <v>0</v>
      </c>
    </row>
    <row r="34" spans="1:19" x14ac:dyDescent="0.25">
      <c r="A34" s="33">
        <v>33</v>
      </c>
      <c r="B34" s="33" t="s">
        <v>40</v>
      </c>
      <c r="C34" s="33" t="s">
        <v>62</v>
      </c>
      <c r="D34" s="42">
        <v>13</v>
      </c>
      <c r="E34" s="42">
        <v>0</v>
      </c>
      <c r="F34" s="35">
        <v>13</v>
      </c>
      <c r="G34" s="46">
        <v>6</v>
      </c>
      <c r="H34" s="47">
        <v>7</v>
      </c>
      <c r="I34" s="47">
        <v>0</v>
      </c>
      <c r="J34" s="48">
        <v>0</v>
      </c>
      <c r="K34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34" s="36">
        <v>2500</v>
      </c>
      <c r="M34" s="37">
        <f>LAPTOP_PRODUCTION[[#This Row],[COST /PCS]]*LAPTOP_PRODUCTION[[#This Row],[TOTAL IN]]</f>
        <v>32500</v>
      </c>
      <c r="N34" s="38">
        <f>LAPTOP_PRODUCTION[[#This Row],[COST /PCS]]*LAPTOP_PRODUCTION[[#This Row],[CURRENT STOCKS]]</f>
        <v>32500</v>
      </c>
      <c r="O34" s="39">
        <v>3000</v>
      </c>
      <c r="P34" s="38">
        <f>LAPTOP_PRODUCTION[[#This Row],[CHROMEOS PRICE /PCS]]*LAPTOP_PRODUCTION[[#This Row],[CHROME OS]]</f>
        <v>21000</v>
      </c>
      <c r="Q34" s="40">
        <v>3990</v>
      </c>
      <c r="R34" s="38">
        <f>LAPTOP_PRODUCTION[[#This Row],[WINDOWS PRICE /PCS]]*LAPTOP_PRODUCTION[[#This Row],[WINDOWS]]</f>
        <v>0</v>
      </c>
      <c r="S34" s="37">
        <f>LAPTOP_PRODUCTION[[#This Row],[COST /PCS]]*LAPTOP_PRODUCTION[[#This Row],[BACKJOB]]</f>
        <v>0</v>
      </c>
    </row>
    <row r="35" spans="1:19" x14ac:dyDescent="0.25">
      <c r="A35" s="33">
        <v>34</v>
      </c>
      <c r="B35" s="33" t="s">
        <v>41</v>
      </c>
      <c r="C35" s="33" t="s">
        <v>62</v>
      </c>
      <c r="D35" s="42">
        <v>0</v>
      </c>
      <c r="E35" s="42">
        <v>0</v>
      </c>
      <c r="F35" s="35">
        <v>0</v>
      </c>
      <c r="G35" s="46">
        <v>0</v>
      </c>
      <c r="H35" s="47">
        <v>0</v>
      </c>
      <c r="I35" s="47">
        <v>0</v>
      </c>
      <c r="J35" s="48">
        <v>0</v>
      </c>
      <c r="K35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35" s="36">
        <v>2500</v>
      </c>
      <c r="M35" s="37">
        <f>LAPTOP_PRODUCTION[[#This Row],[COST /PCS]]*LAPTOP_PRODUCTION[[#This Row],[TOTAL IN]]</f>
        <v>0</v>
      </c>
      <c r="N35" s="38">
        <f>LAPTOP_PRODUCTION[[#This Row],[COST /PCS]]*LAPTOP_PRODUCTION[[#This Row],[CURRENT STOCKS]]</f>
        <v>0</v>
      </c>
      <c r="O35" s="39">
        <v>3000</v>
      </c>
      <c r="P35" s="38">
        <f>LAPTOP_PRODUCTION[[#This Row],[CHROMEOS PRICE /PCS]]*LAPTOP_PRODUCTION[[#This Row],[CHROME OS]]</f>
        <v>0</v>
      </c>
      <c r="Q35" s="40">
        <v>3990</v>
      </c>
      <c r="R35" s="38">
        <f>LAPTOP_PRODUCTION[[#This Row],[WINDOWS PRICE /PCS]]*LAPTOP_PRODUCTION[[#This Row],[WINDOWS]]</f>
        <v>0</v>
      </c>
      <c r="S35" s="37">
        <f>LAPTOP_PRODUCTION[[#This Row],[COST /PCS]]*LAPTOP_PRODUCTION[[#This Row],[BACKJOB]]</f>
        <v>0</v>
      </c>
    </row>
    <row r="36" spans="1:19" x14ac:dyDescent="0.25">
      <c r="A36" s="33">
        <v>35</v>
      </c>
      <c r="B36" s="33" t="s">
        <v>42</v>
      </c>
      <c r="C36" s="33" t="s">
        <v>62</v>
      </c>
      <c r="D36" s="42">
        <v>12</v>
      </c>
      <c r="E36" s="42">
        <v>0</v>
      </c>
      <c r="F36" s="35">
        <v>12</v>
      </c>
      <c r="G36" s="46">
        <v>7</v>
      </c>
      <c r="H36" s="47">
        <v>5</v>
      </c>
      <c r="I36" s="47">
        <v>0</v>
      </c>
      <c r="J36" s="48">
        <v>0</v>
      </c>
      <c r="K36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36" s="36">
        <v>2500</v>
      </c>
      <c r="M36" s="37">
        <f>LAPTOP_PRODUCTION[[#This Row],[COST /PCS]]*LAPTOP_PRODUCTION[[#This Row],[TOTAL IN]]</f>
        <v>30000</v>
      </c>
      <c r="N36" s="38">
        <f>LAPTOP_PRODUCTION[[#This Row],[COST /PCS]]*LAPTOP_PRODUCTION[[#This Row],[CURRENT STOCKS]]</f>
        <v>30000</v>
      </c>
      <c r="O36" s="39">
        <v>3000</v>
      </c>
      <c r="P36" s="38">
        <f>LAPTOP_PRODUCTION[[#This Row],[CHROMEOS PRICE /PCS]]*LAPTOP_PRODUCTION[[#This Row],[CHROME OS]]</f>
        <v>15000</v>
      </c>
      <c r="Q36" s="40">
        <v>3990</v>
      </c>
      <c r="R36" s="38">
        <f>LAPTOP_PRODUCTION[[#This Row],[WINDOWS PRICE /PCS]]*LAPTOP_PRODUCTION[[#This Row],[WINDOWS]]</f>
        <v>0</v>
      </c>
      <c r="S36" s="37">
        <f>LAPTOP_PRODUCTION[[#This Row],[COST /PCS]]*LAPTOP_PRODUCTION[[#This Row],[BACKJOB]]</f>
        <v>0</v>
      </c>
    </row>
    <row r="37" spans="1:19" x14ac:dyDescent="0.25">
      <c r="A37" s="33">
        <v>36</v>
      </c>
      <c r="B37" s="33" t="s">
        <v>43</v>
      </c>
      <c r="C37" s="33" t="s">
        <v>62</v>
      </c>
      <c r="D37" s="42">
        <v>111</v>
      </c>
      <c r="E37" s="42">
        <v>0</v>
      </c>
      <c r="F37" s="35">
        <v>111</v>
      </c>
      <c r="G37" s="46">
        <v>4</v>
      </c>
      <c r="H37" s="47">
        <v>107</v>
      </c>
      <c r="I37" s="47">
        <v>0</v>
      </c>
      <c r="J37" s="48">
        <v>0</v>
      </c>
      <c r="K37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37" s="36">
        <v>2500</v>
      </c>
      <c r="M37" s="37">
        <f>LAPTOP_PRODUCTION[[#This Row],[COST /PCS]]*LAPTOP_PRODUCTION[[#This Row],[TOTAL IN]]</f>
        <v>277500</v>
      </c>
      <c r="N37" s="38">
        <f>LAPTOP_PRODUCTION[[#This Row],[COST /PCS]]*LAPTOP_PRODUCTION[[#This Row],[CURRENT STOCKS]]</f>
        <v>277500</v>
      </c>
      <c r="O37" s="39">
        <v>3000</v>
      </c>
      <c r="P37" s="38">
        <f>LAPTOP_PRODUCTION[[#This Row],[CHROMEOS PRICE /PCS]]*LAPTOP_PRODUCTION[[#This Row],[CHROME OS]]</f>
        <v>321000</v>
      </c>
      <c r="Q37" s="40">
        <v>3990</v>
      </c>
      <c r="R37" s="38">
        <f>LAPTOP_PRODUCTION[[#This Row],[WINDOWS PRICE /PCS]]*LAPTOP_PRODUCTION[[#This Row],[WINDOWS]]</f>
        <v>0</v>
      </c>
      <c r="S37" s="37">
        <f>LAPTOP_PRODUCTION[[#This Row],[COST /PCS]]*LAPTOP_PRODUCTION[[#This Row],[BACKJOB]]</f>
        <v>0</v>
      </c>
    </row>
    <row r="38" spans="1:19" x14ac:dyDescent="0.25">
      <c r="A38" s="33">
        <v>37</v>
      </c>
      <c r="B38" s="33" t="s">
        <v>44</v>
      </c>
      <c r="C38" s="33" t="s">
        <v>62</v>
      </c>
      <c r="D38" s="42">
        <v>9</v>
      </c>
      <c r="E38" s="42">
        <v>0</v>
      </c>
      <c r="F38" s="35">
        <v>9</v>
      </c>
      <c r="G38" s="46">
        <v>5</v>
      </c>
      <c r="H38" s="47">
        <v>0</v>
      </c>
      <c r="I38" s="47">
        <v>4</v>
      </c>
      <c r="J38" s="48">
        <v>0</v>
      </c>
      <c r="K38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38" s="36">
        <v>2500</v>
      </c>
      <c r="M38" s="37">
        <f>LAPTOP_PRODUCTION[[#This Row],[COST /PCS]]*LAPTOP_PRODUCTION[[#This Row],[TOTAL IN]]</f>
        <v>22500</v>
      </c>
      <c r="N38" s="38">
        <f>LAPTOP_PRODUCTION[[#This Row],[COST /PCS]]*LAPTOP_PRODUCTION[[#This Row],[CURRENT STOCKS]]</f>
        <v>22500</v>
      </c>
      <c r="O38" s="39">
        <v>3000</v>
      </c>
      <c r="P38" s="38">
        <f>LAPTOP_PRODUCTION[[#This Row],[CHROMEOS PRICE /PCS]]*LAPTOP_PRODUCTION[[#This Row],[CHROME OS]]</f>
        <v>0</v>
      </c>
      <c r="Q38" s="40">
        <v>3990</v>
      </c>
      <c r="R38" s="38">
        <f>LAPTOP_PRODUCTION[[#This Row],[WINDOWS PRICE /PCS]]*LAPTOP_PRODUCTION[[#This Row],[WINDOWS]]</f>
        <v>15960</v>
      </c>
      <c r="S38" s="37">
        <f>LAPTOP_PRODUCTION[[#This Row],[COST /PCS]]*LAPTOP_PRODUCTION[[#This Row],[BACKJOB]]</f>
        <v>0</v>
      </c>
    </row>
    <row r="39" spans="1:19" x14ac:dyDescent="0.25">
      <c r="A39" s="33">
        <v>38</v>
      </c>
      <c r="B39" s="33" t="s">
        <v>45</v>
      </c>
      <c r="C39" s="33" t="s">
        <v>62</v>
      </c>
      <c r="D39" s="42">
        <v>3</v>
      </c>
      <c r="E39" s="42">
        <v>0</v>
      </c>
      <c r="F39" s="35">
        <v>3</v>
      </c>
      <c r="G39" s="46">
        <v>1</v>
      </c>
      <c r="H39" s="47">
        <v>2</v>
      </c>
      <c r="I39" s="47">
        <v>0</v>
      </c>
      <c r="J39" s="48">
        <v>0</v>
      </c>
      <c r="K39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39" s="36">
        <v>2500</v>
      </c>
      <c r="M39" s="37">
        <f>LAPTOP_PRODUCTION[[#This Row],[COST /PCS]]*LAPTOP_PRODUCTION[[#This Row],[TOTAL IN]]</f>
        <v>7500</v>
      </c>
      <c r="N39" s="38">
        <f>LAPTOP_PRODUCTION[[#This Row],[COST /PCS]]*LAPTOP_PRODUCTION[[#This Row],[CURRENT STOCKS]]</f>
        <v>7500</v>
      </c>
      <c r="O39" s="39">
        <v>3000</v>
      </c>
      <c r="P39" s="38">
        <f>LAPTOP_PRODUCTION[[#This Row],[CHROMEOS PRICE /PCS]]*LAPTOP_PRODUCTION[[#This Row],[CHROME OS]]</f>
        <v>6000</v>
      </c>
      <c r="Q39" s="40">
        <v>3990</v>
      </c>
      <c r="R39" s="38">
        <f>LAPTOP_PRODUCTION[[#This Row],[WINDOWS PRICE /PCS]]*LAPTOP_PRODUCTION[[#This Row],[WINDOWS]]</f>
        <v>0</v>
      </c>
      <c r="S39" s="37">
        <f>LAPTOP_PRODUCTION[[#This Row],[COST /PCS]]*LAPTOP_PRODUCTION[[#This Row],[BACKJOB]]</f>
        <v>0</v>
      </c>
    </row>
    <row r="40" spans="1:19" x14ac:dyDescent="0.25">
      <c r="A40" s="33">
        <v>39</v>
      </c>
      <c r="B40" s="33" t="s">
        <v>46</v>
      </c>
      <c r="C40" s="33" t="s">
        <v>62</v>
      </c>
      <c r="D40" s="42">
        <v>1</v>
      </c>
      <c r="E40" s="42">
        <v>0</v>
      </c>
      <c r="F40" s="35">
        <v>1</v>
      </c>
      <c r="G40" s="46">
        <v>0</v>
      </c>
      <c r="H40" s="47">
        <v>0</v>
      </c>
      <c r="I40" s="47">
        <v>1</v>
      </c>
      <c r="J40" s="48">
        <v>0</v>
      </c>
      <c r="K40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40" s="36">
        <v>2500</v>
      </c>
      <c r="M40" s="37">
        <f>LAPTOP_PRODUCTION[[#This Row],[COST /PCS]]*LAPTOP_PRODUCTION[[#This Row],[TOTAL IN]]</f>
        <v>2500</v>
      </c>
      <c r="N40" s="38">
        <f>LAPTOP_PRODUCTION[[#This Row],[COST /PCS]]*LAPTOP_PRODUCTION[[#This Row],[CURRENT STOCKS]]</f>
        <v>2500</v>
      </c>
      <c r="O40" s="39">
        <v>3000</v>
      </c>
      <c r="P40" s="38">
        <f>LAPTOP_PRODUCTION[[#This Row],[CHROMEOS PRICE /PCS]]*LAPTOP_PRODUCTION[[#This Row],[CHROME OS]]</f>
        <v>0</v>
      </c>
      <c r="Q40" s="40">
        <v>3990</v>
      </c>
      <c r="R40" s="38">
        <f>LAPTOP_PRODUCTION[[#This Row],[WINDOWS PRICE /PCS]]*LAPTOP_PRODUCTION[[#This Row],[WINDOWS]]</f>
        <v>3990</v>
      </c>
      <c r="S40" s="37">
        <f>LAPTOP_PRODUCTION[[#This Row],[COST /PCS]]*LAPTOP_PRODUCTION[[#This Row],[BACKJOB]]</f>
        <v>0</v>
      </c>
    </row>
    <row r="41" spans="1:19" x14ac:dyDescent="0.25">
      <c r="A41" s="33">
        <v>40</v>
      </c>
      <c r="B41" s="33" t="s">
        <v>47</v>
      </c>
      <c r="C41" s="33" t="s">
        <v>62</v>
      </c>
      <c r="D41" s="42">
        <v>2</v>
      </c>
      <c r="E41" s="42">
        <v>0</v>
      </c>
      <c r="F41" s="35">
        <v>2</v>
      </c>
      <c r="G41" s="46">
        <v>0</v>
      </c>
      <c r="H41" s="47">
        <v>2</v>
      </c>
      <c r="I41" s="47">
        <v>0</v>
      </c>
      <c r="J41" s="48">
        <v>0</v>
      </c>
      <c r="K41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41" s="36">
        <v>2500</v>
      </c>
      <c r="M41" s="37">
        <f>LAPTOP_PRODUCTION[[#This Row],[COST /PCS]]*LAPTOP_PRODUCTION[[#This Row],[TOTAL IN]]</f>
        <v>5000</v>
      </c>
      <c r="N41" s="38">
        <f>LAPTOP_PRODUCTION[[#This Row],[COST /PCS]]*LAPTOP_PRODUCTION[[#This Row],[CURRENT STOCKS]]</f>
        <v>5000</v>
      </c>
      <c r="O41" s="39">
        <v>3000</v>
      </c>
      <c r="P41" s="38">
        <f>LAPTOP_PRODUCTION[[#This Row],[CHROMEOS PRICE /PCS]]*LAPTOP_PRODUCTION[[#This Row],[CHROME OS]]</f>
        <v>6000</v>
      </c>
      <c r="Q41" s="40">
        <v>3990</v>
      </c>
      <c r="R41" s="38">
        <f>LAPTOP_PRODUCTION[[#This Row],[WINDOWS PRICE /PCS]]*LAPTOP_PRODUCTION[[#This Row],[WINDOWS]]</f>
        <v>0</v>
      </c>
      <c r="S41" s="37">
        <f>LAPTOP_PRODUCTION[[#This Row],[COST /PCS]]*LAPTOP_PRODUCTION[[#This Row],[BACKJOB]]</f>
        <v>0</v>
      </c>
    </row>
    <row r="42" spans="1:19" x14ac:dyDescent="0.25">
      <c r="A42" s="33">
        <v>41</v>
      </c>
      <c r="B42" s="33" t="s">
        <v>48</v>
      </c>
      <c r="C42" s="33" t="s">
        <v>62</v>
      </c>
      <c r="D42" s="42">
        <v>8</v>
      </c>
      <c r="E42" s="42">
        <v>0</v>
      </c>
      <c r="F42" s="35">
        <v>8</v>
      </c>
      <c r="G42" s="46">
        <v>0</v>
      </c>
      <c r="H42" s="47">
        <v>1</v>
      </c>
      <c r="I42" s="47">
        <v>7</v>
      </c>
      <c r="J42" s="48">
        <v>0</v>
      </c>
      <c r="K42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42" s="36">
        <v>2500</v>
      </c>
      <c r="M42" s="37">
        <f>LAPTOP_PRODUCTION[[#This Row],[COST /PCS]]*LAPTOP_PRODUCTION[[#This Row],[TOTAL IN]]</f>
        <v>20000</v>
      </c>
      <c r="N42" s="38">
        <f>LAPTOP_PRODUCTION[[#This Row],[COST /PCS]]*LAPTOP_PRODUCTION[[#This Row],[CURRENT STOCKS]]</f>
        <v>20000</v>
      </c>
      <c r="O42" s="39">
        <v>3000</v>
      </c>
      <c r="P42" s="38">
        <f>LAPTOP_PRODUCTION[[#This Row],[CHROMEOS PRICE /PCS]]*LAPTOP_PRODUCTION[[#This Row],[CHROME OS]]</f>
        <v>3000</v>
      </c>
      <c r="Q42" s="40">
        <v>3990</v>
      </c>
      <c r="R42" s="38">
        <f>LAPTOP_PRODUCTION[[#This Row],[WINDOWS PRICE /PCS]]*LAPTOP_PRODUCTION[[#This Row],[WINDOWS]]</f>
        <v>27930</v>
      </c>
      <c r="S42" s="37">
        <f>LAPTOP_PRODUCTION[[#This Row],[COST /PCS]]*LAPTOP_PRODUCTION[[#This Row],[BACKJOB]]</f>
        <v>0</v>
      </c>
    </row>
    <row r="43" spans="1:19" x14ac:dyDescent="0.25">
      <c r="A43" s="33">
        <v>42</v>
      </c>
      <c r="B43" s="33" t="s">
        <v>49</v>
      </c>
      <c r="C43" s="33" t="s">
        <v>62</v>
      </c>
      <c r="D43" s="42">
        <v>1</v>
      </c>
      <c r="E43" s="42">
        <v>0</v>
      </c>
      <c r="F43" s="35">
        <v>1</v>
      </c>
      <c r="G43" s="46">
        <v>1</v>
      </c>
      <c r="H43" s="47">
        <v>0</v>
      </c>
      <c r="I43" s="47">
        <v>0</v>
      </c>
      <c r="J43" s="48">
        <v>0</v>
      </c>
      <c r="K43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43" s="36">
        <v>2500</v>
      </c>
      <c r="M43" s="37">
        <f>LAPTOP_PRODUCTION[[#This Row],[COST /PCS]]*LAPTOP_PRODUCTION[[#This Row],[TOTAL IN]]</f>
        <v>2500</v>
      </c>
      <c r="N43" s="38">
        <f>LAPTOP_PRODUCTION[[#This Row],[COST /PCS]]*LAPTOP_PRODUCTION[[#This Row],[CURRENT STOCKS]]</f>
        <v>2500</v>
      </c>
      <c r="O43" s="39">
        <v>3000</v>
      </c>
      <c r="P43" s="38">
        <f>LAPTOP_PRODUCTION[[#This Row],[CHROMEOS PRICE /PCS]]*LAPTOP_PRODUCTION[[#This Row],[CHROME OS]]</f>
        <v>0</v>
      </c>
      <c r="Q43" s="40">
        <v>3990</v>
      </c>
      <c r="R43" s="38">
        <f>LAPTOP_PRODUCTION[[#This Row],[WINDOWS PRICE /PCS]]*LAPTOP_PRODUCTION[[#This Row],[WINDOWS]]</f>
        <v>0</v>
      </c>
      <c r="S43" s="37">
        <f>LAPTOP_PRODUCTION[[#This Row],[COST /PCS]]*LAPTOP_PRODUCTION[[#This Row],[BACKJOB]]</f>
        <v>0</v>
      </c>
    </row>
    <row r="44" spans="1:19" x14ac:dyDescent="0.25">
      <c r="A44" s="33">
        <v>43</v>
      </c>
      <c r="B44" s="33" t="s">
        <v>50</v>
      </c>
      <c r="C44" s="33" t="s">
        <v>62</v>
      </c>
      <c r="D44" s="42">
        <v>1</v>
      </c>
      <c r="E44" s="42">
        <v>0</v>
      </c>
      <c r="F44" s="35">
        <v>1</v>
      </c>
      <c r="G44" s="46">
        <v>1</v>
      </c>
      <c r="H44" s="47">
        <v>0</v>
      </c>
      <c r="I44" s="47">
        <v>0</v>
      </c>
      <c r="J44" s="48">
        <v>0</v>
      </c>
      <c r="K44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44" s="36">
        <v>2500</v>
      </c>
      <c r="M44" s="37">
        <f>LAPTOP_PRODUCTION[[#This Row],[COST /PCS]]*LAPTOP_PRODUCTION[[#This Row],[TOTAL IN]]</f>
        <v>2500</v>
      </c>
      <c r="N44" s="38">
        <f>LAPTOP_PRODUCTION[[#This Row],[COST /PCS]]*LAPTOP_PRODUCTION[[#This Row],[CURRENT STOCKS]]</f>
        <v>2500</v>
      </c>
      <c r="O44" s="39">
        <v>3000</v>
      </c>
      <c r="P44" s="38">
        <f>LAPTOP_PRODUCTION[[#This Row],[CHROMEOS PRICE /PCS]]*LAPTOP_PRODUCTION[[#This Row],[CHROME OS]]</f>
        <v>0</v>
      </c>
      <c r="Q44" s="40">
        <v>3990</v>
      </c>
      <c r="R44" s="38">
        <f>LAPTOP_PRODUCTION[[#This Row],[WINDOWS PRICE /PCS]]*LAPTOP_PRODUCTION[[#This Row],[WINDOWS]]</f>
        <v>0</v>
      </c>
      <c r="S44" s="37">
        <f>LAPTOP_PRODUCTION[[#This Row],[COST /PCS]]*LAPTOP_PRODUCTION[[#This Row],[BACKJOB]]</f>
        <v>0</v>
      </c>
    </row>
    <row r="45" spans="1:19" x14ac:dyDescent="0.25">
      <c r="A45" s="33">
        <v>44</v>
      </c>
      <c r="B45" s="33" t="s">
        <v>51</v>
      </c>
      <c r="C45" s="33" t="s">
        <v>62</v>
      </c>
      <c r="D45" s="42">
        <v>6</v>
      </c>
      <c r="E45" s="42">
        <v>0</v>
      </c>
      <c r="F45" s="35">
        <v>6</v>
      </c>
      <c r="G45" s="46">
        <v>0</v>
      </c>
      <c r="H45" s="47">
        <v>0</v>
      </c>
      <c r="I45" s="47">
        <v>6</v>
      </c>
      <c r="J45" s="48">
        <v>0</v>
      </c>
      <c r="K45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45" s="36">
        <v>2500</v>
      </c>
      <c r="M45" s="37">
        <f>LAPTOP_PRODUCTION[[#This Row],[COST /PCS]]*LAPTOP_PRODUCTION[[#This Row],[TOTAL IN]]</f>
        <v>15000</v>
      </c>
      <c r="N45" s="38">
        <f>LAPTOP_PRODUCTION[[#This Row],[COST /PCS]]*LAPTOP_PRODUCTION[[#This Row],[CURRENT STOCKS]]</f>
        <v>15000</v>
      </c>
      <c r="O45" s="39">
        <v>3000</v>
      </c>
      <c r="P45" s="38">
        <f>LAPTOP_PRODUCTION[[#This Row],[CHROMEOS PRICE /PCS]]*LAPTOP_PRODUCTION[[#This Row],[CHROME OS]]</f>
        <v>0</v>
      </c>
      <c r="Q45" s="40">
        <v>3990</v>
      </c>
      <c r="R45" s="38">
        <f>LAPTOP_PRODUCTION[[#This Row],[WINDOWS PRICE /PCS]]*LAPTOP_PRODUCTION[[#This Row],[WINDOWS]]</f>
        <v>23940</v>
      </c>
      <c r="S45" s="37">
        <f>LAPTOP_PRODUCTION[[#This Row],[COST /PCS]]*LAPTOP_PRODUCTION[[#This Row],[BACKJOB]]</f>
        <v>0</v>
      </c>
    </row>
    <row r="46" spans="1:19" x14ac:dyDescent="0.25">
      <c r="A46" s="33">
        <v>45</v>
      </c>
      <c r="B46" s="33" t="s">
        <v>52</v>
      </c>
      <c r="C46" s="33" t="s">
        <v>62</v>
      </c>
      <c r="D46" s="42">
        <v>2</v>
      </c>
      <c r="E46" s="42">
        <v>0</v>
      </c>
      <c r="F46" s="35">
        <v>2</v>
      </c>
      <c r="G46" s="46">
        <v>1</v>
      </c>
      <c r="H46" s="47">
        <v>1</v>
      </c>
      <c r="I46" s="47">
        <v>0</v>
      </c>
      <c r="J46" s="48">
        <v>0</v>
      </c>
      <c r="K46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46" s="36">
        <v>2500</v>
      </c>
      <c r="M46" s="37">
        <f>LAPTOP_PRODUCTION[[#This Row],[COST /PCS]]*LAPTOP_PRODUCTION[[#This Row],[TOTAL IN]]</f>
        <v>5000</v>
      </c>
      <c r="N46" s="38">
        <f>LAPTOP_PRODUCTION[[#This Row],[COST /PCS]]*LAPTOP_PRODUCTION[[#This Row],[CURRENT STOCKS]]</f>
        <v>5000</v>
      </c>
      <c r="O46" s="39">
        <v>3000</v>
      </c>
      <c r="P46" s="38">
        <f>LAPTOP_PRODUCTION[[#This Row],[CHROMEOS PRICE /PCS]]*LAPTOP_PRODUCTION[[#This Row],[CHROME OS]]</f>
        <v>3000</v>
      </c>
      <c r="Q46" s="40">
        <v>3990</v>
      </c>
      <c r="R46" s="38">
        <f>LAPTOP_PRODUCTION[[#This Row],[WINDOWS PRICE /PCS]]*LAPTOP_PRODUCTION[[#This Row],[WINDOWS]]</f>
        <v>0</v>
      </c>
      <c r="S46" s="37">
        <f>LAPTOP_PRODUCTION[[#This Row],[COST /PCS]]*LAPTOP_PRODUCTION[[#This Row],[BACKJOB]]</f>
        <v>0</v>
      </c>
    </row>
    <row r="47" spans="1:19" x14ac:dyDescent="0.25">
      <c r="A47" s="33">
        <v>46</v>
      </c>
      <c r="B47" s="33" t="s">
        <v>53</v>
      </c>
      <c r="C47" s="33" t="s">
        <v>62</v>
      </c>
      <c r="D47" s="42">
        <v>0</v>
      </c>
      <c r="E47" s="42">
        <v>0</v>
      </c>
      <c r="F47" s="35">
        <v>0</v>
      </c>
      <c r="G47" s="46">
        <v>0</v>
      </c>
      <c r="H47" s="47">
        <v>0</v>
      </c>
      <c r="I47" s="47">
        <v>0</v>
      </c>
      <c r="J47" s="48">
        <v>0</v>
      </c>
      <c r="K47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47" s="36">
        <v>2500</v>
      </c>
      <c r="M47" s="37">
        <f>LAPTOP_PRODUCTION[[#This Row],[COST /PCS]]*LAPTOP_PRODUCTION[[#This Row],[TOTAL IN]]</f>
        <v>0</v>
      </c>
      <c r="N47" s="38">
        <f>LAPTOP_PRODUCTION[[#This Row],[COST /PCS]]*LAPTOP_PRODUCTION[[#This Row],[CURRENT STOCKS]]</f>
        <v>0</v>
      </c>
      <c r="O47" s="39">
        <v>3000</v>
      </c>
      <c r="P47" s="38">
        <f>LAPTOP_PRODUCTION[[#This Row],[CHROMEOS PRICE /PCS]]*LAPTOP_PRODUCTION[[#This Row],[CHROME OS]]</f>
        <v>0</v>
      </c>
      <c r="Q47" s="40">
        <v>3990</v>
      </c>
      <c r="R47" s="38">
        <f>LAPTOP_PRODUCTION[[#This Row],[WINDOWS PRICE /PCS]]*LAPTOP_PRODUCTION[[#This Row],[WINDOWS]]</f>
        <v>0</v>
      </c>
      <c r="S47" s="37">
        <f>LAPTOP_PRODUCTION[[#This Row],[COST /PCS]]*LAPTOP_PRODUCTION[[#This Row],[BACKJOB]]</f>
        <v>0</v>
      </c>
    </row>
    <row r="48" spans="1:19" x14ac:dyDescent="0.25">
      <c r="A48" s="33">
        <v>47</v>
      </c>
      <c r="B48" s="33" t="s">
        <v>54</v>
      </c>
      <c r="C48" s="33" t="s">
        <v>62</v>
      </c>
      <c r="D48" s="42">
        <v>2</v>
      </c>
      <c r="E48" s="42">
        <v>0</v>
      </c>
      <c r="F48" s="35">
        <v>2</v>
      </c>
      <c r="G48" s="46">
        <v>2</v>
      </c>
      <c r="H48" s="47">
        <v>0</v>
      </c>
      <c r="I48" s="47">
        <v>0</v>
      </c>
      <c r="J48" s="48">
        <v>0</v>
      </c>
      <c r="K48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48" s="36">
        <v>2500</v>
      </c>
      <c r="M48" s="37">
        <f>LAPTOP_PRODUCTION[[#This Row],[COST /PCS]]*LAPTOP_PRODUCTION[[#This Row],[TOTAL IN]]</f>
        <v>5000</v>
      </c>
      <c r="N48" s="38">
        <f>LAPTOP_PRODUCTION[[#This Row],[COST /PCS]]*LAPTOP_PRODUCTION[[#This Row],[CURRENT STOCKS]]</f>
        <v>5000</v>
      </c>
      <c r="O48" s="39">
        <v>3000</v>
      </c>
      <c r="P48" s="38">
        <f>LAPTOP_PRODUCTION[[#This Row],[CHROMEOS PRICE /PCS]]*LAPTOP_PRODUCTION[[#This Row],[CHROME OS]]</f>
        <v>0</v>
      </c>
      <c r="Q48" s="40">
        <v>3990</v>
      </c>
      <c r="R48" s="38">
        <f>LAPTOP_PRODUCTION[[#This Row],[WINDOWS PRICE /PCS]]*LAPTOP_PRODUCTION[[#This Row],[WINDOWS]]</f>
        <v>0</v>
      </c>
      <c r="S48" s="37">
        <f>LAPTOP_PRODUCTION[[#This Row],[COST /PCS]]*LAPTOP_PRODUCTION[[#This Row],[BACKJOB]]</f>
        <v>0</v>
      </c>
    </row>
    <row r="49" spans="1:19" x14ac:dyDescent="0.25">
      <c r="A49" s="33">
        <v>48</v>
      </c>
      <c r="B49" s="33" t="s">
        <v>55</v>
      </c>
      <c r="C49" s="33" t="s">
        <v>62</v>
      </c>
      <c r="D49" s="42">
        <v>0</v>
      </c>
      <c r="E49" s="42">
        <v>0</v>
      </c>
      <c r="F49" s="35">
        <v>0</v>
      </c>
      <c r="G49" s="46">
        <v>0</v>
      </c>
      <c r="H49" s="47">
        <v>0</v>
      </c>
      <c r="I49" s="47">
        <v>0</v>
      </c>
      <c r="J49" s="48">
        <v>0</v>
      </c>
      <c r="K49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49" s="36">
        <v>2500</v>
      </c>
      <c r="M49" s="37">
        <f>LAPTOP_PRODUCTION[[#This Row],[COST /PCS]]*LAPTOP_PRODUCTION[[#This Row],[TOTAL IN]]</f>
        <v>0</v>
      </c>
      <c r="N49" s="38">
        <f>LAPTOP_PRODUCTION[[#This Row],[COST /PCS]]*LAPTOP_PRODUCTION[[#This Row],[CURRENT STOCKS]]</f>
        <v>0</v>
      </c>
      <c r="O49" s="39">
        <v>3000</v>
      </c>
      <c r="P49" s="38">
        <f>LAPTOP_PRODUCTION[[#This Row],[CHROMEOS PRICE /PCS]]*LAPTOP_PRODUCTION[[#This Row],[CHROME OS]]</f>
        <v>0</v>
      </c>
      <c r="Q49" s="40">
        <v>3990</v>
      </c>
      <c r="R49" s="38">
        <f>LAPTOP_PRODUCTION[[#This Row],[WINDOWS PRICE /PCS]]*LAPTOP_PRODUCTION[[#This Row],[WINDOWS]]</f>
        <v>0</v>
      </c>
      <c r="S49" s="37">
        <f>LAPTOP_PRODUCTION[[#This Row],[COST /PCS]]*LAPTOP_PRODUCTION[[#This Row],[BACKJOB]]</f>
        <v>0</v>
      </c>
    </row>
    <row r="50" spans="1:19" x14ac:dyDescent="0.25">
      <c r="A50" s="33">
        <v>49</v>
      </c>
      <c r="B50" s="33" t="s">
        <v>56</v>
      </c>
      <c r="C50" s="33" t="s">
        <v>62</v>
      </c>
      <c r="D50" s="42">
        <v>21</v>
      </c>
      <c r="E50" s="42">
        <v>0</v>
      </c>
      <c r="F50" s="35">
        <v>21</v>
      </c>
      <c r="G50" s="46">
        <v>21</v>
      </c>
      <c r="H50" s="47">
        <v>0</v>
      </c>
      <c r="I50" s="47">
        <v>0</v>
      </c>
      <c r="J50" s="48">
        <v>0</v>
      </c>
      <c r="K50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50" s="36">
        <v>2500</v>
      </c>
      <c r="M50" s="37">
        <f>LAPTOP_PRODUCTION[[#This Row],[COST /PCS]]*LAPTOP_PRODUCTION[[#This Row],[TOTAL IN]]</f>
        <v>52500</v>
      </c>
      <c r="N50" s="38">
        <f>LAPTOP_PRODUCTION[[#This Row],[COST /PCS]]*LAPTOP_PRODUCTION[[#This Row],[CURRENT STOCKS]]</f>
        <v>52500</v>
      </c>
      <c r="O50" s="39">
        <v>3000</v>
      </c>
      <c r="P50" s="38">
        <f>LAPTOP_PRODUCTION[[#This Row],[CHROMEOS PRICE /PCS]]*LAPTOP_PRODUCTION[[#This Row],[CHROME OS]]</f>
        <v>0</v>
      </c>
      <c r="Q50" s="40">
        <v>3990</v>
      </c>
      <c r="R50" s="38">
        <f>LAPTOP_PRODUCTION[[#This Row],[WINDOWS PRICE /PCS]]*LAPTOP_PRODUCTION[[#This Row],[WINDOWS]]</f>
        <v>0</v>
      </c>
      <c r="S50" s="37">
        <f>LAPTOP_PRODUCTION[[#This Row],[COST /PCS]]*LAPTOP_PRODUCTION[[#This Row],[BACKJOB]]</f>
        <v>0</v>
      </c>
    </row>
    <row r="51" spans="1:19" x14ac:dyDescent="0.25">
      <c r="A51" s="33">
        <v>50</v>
      </c>
      <c r="B51" s="33" t="s">
        <v>57</v>
      </c>
      <c r="C51" s="33" t="s">
        <v>62</v>
      </c>
      <c r="D51" s="42">
        <v>16</v>
      </c>
      <c r="E51" s="42">
        <v>0</v>
      </c>
      <c r="F51" s="35">
        <v>16</v>
      </c>
      <c r="G51" s="46">
        <v>16</v>
      </c>
      <c r="H51" s="47">
        <v>0</v>
      </c>
      <c r="I51" s="47">
        <v>0</v>
      </c>
      <c r="J51" s="48">
        <v>0</v>
      </c>
      <c r="K51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51" s="36">
        <v>2500</v>
      </c>
      <c r="M51" s="37">
        <f>LAPTOP_PRODUCTION[[#This Row],[COST /PCS]]*LAPTOP_PRODUCTION[[#This Row],[TOTAL IN]]</f>
        <v>40000</v>
      </c>
      <c r="N51" s="38">
        <f>LAPTOP_PRODUCTION[[#This Row],[COST /PCS]]*LAPTOP_PRODUCTION[[#This Row],[CURRENT STOCKS]]</f>
        <v>40000</v>
      </c>
      <c r="O51" s="39">
        <v>3000</v>
      </c>
      <c r="P51" s="38">
        <f>LAPTOP_PRODUCTION[[#This Row],[CHROMEOS PRICE /PCS]]*LAPTOP_PRODUCTION[[#This Row],[CHROME OS]]</f>
        <v>0</v>
      </c>
      <c r="Q51" s="40">
        <v>3990</v>
      </c>
      <c r="R51" s="38">
        <f>LAPTOP_PRODUCTION[[#This Row],[WINDOWS PRICE /PCS]]*LAPTOP_PRODUCTION[[#This Row],[WINDOWS]]</f>
        <v>0</v>
      </c>
      <c r="S51" s="37">
        <f>LAPTOP_PRODUCTION[[#This Row],[COST /PCS]]*LAPTOP_PRODUCTION[[#This Row],[BACKJOB]]</f>
        <v>0</v>
      </c>
    </row>
    <row r="52" spans="1:19" x14ac:dyDescent="0.25">
      <c r="A52" s="33">
        <v>51</v>
      </c>
      <c r="B52" s="33" t="s">
        <v>58</v>
      </c>
      <c r="C52" s="33" t="s">
        <v>62</v>
      </c>
      <c r="D52" s="42">
        <v>2</v>
      </c>
      <c r="E52" s="42">
        <v>0</v>
      </c>
      <c r="F52" s="35">
        <v>2</v>
      </c>
      <c r="G52" s="46">
        <v>1</v>
      </c>
      <c r="H52" s="47">
        <v>0</v>
      </c>
      <c r="I52" s="47">
        <v>1</v>
      </c>
      <c r="J52" s="48">
        <v>0</v>
      </c>
      <c r="K52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52" s="36">
        <v>2500</v>
      </c>
      <c r="M52" s="37">
        <f>LAPTOP_PRODUCTION[[#This Row],[COST /PCS]]*LAPTOP_PRODUCTION[[#This Row],[TOTAL IN]]</f>
        <v>5000</v>
      </c>
      <c r="N52" s="38">
        <f>LAPTOP_PRODUCTION[[#This Row],[COST /PCS]]*LAPTOP_PRODUCTION[[#This Row],[CURRENT STOCKS]]</f>
        <v>5000</v>
      </c>
      <c r="O52" s="39">
        <v>3000</v>
      </c>
      <c r="P52" s="38">
        <f>LAPTOP_PRODUCTION[[#This Row],[CHROMEOS PRICE /PCS]]*LAPTOP_PRODUCTION[[#This Row],[CHROME OS]]</f>
        <v>0</v>
      </c>
      <c r="Q52" s="40">
        <v>3990</v>
      </c>
      <c r="R52" s="38">
        <f>LAPTOP_PRODUCTION[[#This Row],[WINDOWS PRICE /PCS]]*LAPTOP_PRODUCTION[[#This Row],[WINDOWS]]</f>
        <v>3990</v>
      </c>
      <c r="S52" s="37">
        <f>LAPTOP_PRODUCTION[[#This Row],[COST /PCS]]*LAPTOP_PRODUCTION[[#This Row],[BACKJOB]]</f>
        <v>0</v>
      </c>
    </row>
    <row r="53" spans="1:19" ht="15.75" thickBot="1" x14ac:dyDescent="0.3">
      <c r="A53" s="33">
        <v>52</v>
      </c>
      <c r="B53" s="33" t="s">
        <v>59</v>
      </c>
      <c r="C53" s="33" t="s">
        <v>62</v>
      </c>
      <c r="D53" s="42">
        <v>0</v>
      </c>
      <c r="E53" s="42">
        <v>0</v>
      </c>
      <c r="F53" s="35">
        <v>0</v>
      </c>
      <c r="G53" s="49">
        <v>0</v>
      </c>
      <c r="H53" s="50">
        <v>0</v>
      </c>
      <c r="I53" s="50">
        <v>0</v>
      </c>
      <c r="J53" s="51">
        <v>0</v>
      </c>
      <c r="K53" s="35">
        <f>IF(MIN(LAPTOP_PRODUCTION[[#This Row],[ON PROCESS]:[WINDOWS]]) &lt; 0,
    SUM(LAPTOP_PRODUCTION[[#This Row],[ON PROCESS]:[WINDOWS]], LAPTOP_PRODUCTION[[#This Row],[TOTAL OUT]], LAPTOP_PRODUCTION[[#This Row],[BACKJOB]], -LAPTOP_PRODUCTION[[#This Row],[TOTAL IN]] -MIN(LAPTOP_PRODUCTION[[#This Row],[ON PROCESS]:[WINDOWS]])),
    SUM(LAPTOP_PRODUCTION[[#This Row],[ON PROCESS]:[WINDOWS]], LAPTOP_PRODUCTION[[#This Row],[TOTAL OUT]], LAPTOP_PRODUCTION[[#This Row],[BACKJOB]], -LAPTOP_PRODUCTION[[#This Row],[TOTAL IN]])
)</f>
        <v>0</v>
      </c>
      <c r="L53" s="36">
        <v>2500</v>
      </c>
      <c r="M53" s="37">
        <f>LAPTOP_PRODUCTION[[#This Row],[COST /PCS]]*LAPTOP_PRODUCTION[[#This Row],[TOTAL IN]]</f>
        <v>0</v>
      </c>
      <c r="N53" s="38">
        <f>LAPTOP_PRODUCTION[[#This Row],[COST /PCS]]*LAPTOP_PRODUCTION[[#This Row],[CURRENT STOCKS]]</f>
        <v>0</v>
      </c>
      <c r="O53" s="39">
        <v>3000</v>
      </c>
      <c r="P53" s="38">
        <f>LAPTOP_PRODUCTION[[#This Row],[CHROMEOS PRICE /PCS]]*LAPTOP_PRODUCTION[[#This Row],[CHROME OS]]</f>
        <v>0</v>
      </c>
      <c r="Q53" s="40">
        <v>3990</v>
      </c>
      <c r="R53" s="38">
        <f>LAPTOP_PRODUCTION[[#This Row],[WINDOWS PRICE /PCS]]*LAPTOP_PRODUCTION[[#This Row],[WINDOWS]]</f>
        <v>0</v>
      </c>
      <c r="S53" s="37">
        <f>LAPTOP_PRODUCTION[[#This Row],[COST /PCS]]*LAPTOP_PRODUCTION[[#This Row],[BACKJOB]]</f>
        <v>0</v>
      </c>
    </row>
    <row r="54" spans="1:19" x14ac:dyDescent="0.25">
      <c r="B54" s="33" t="str">
        <f>_xlfn.CONCAT("COUNT: ", SUBTOTAL(103,LAPTOP_PRODUCTION[NAME]))</f>
        <v>COUNT: 52</v>
      </c>
      <c r="D54" s="35">
        <f>SUBTOTAL(109,LAPTOP_PRODUCTION[TOTAL IN])</f>
        <v>1159</v>
      </c>
      <c r="E54" s="35">
        <f>SUBTOTAL(109,LAPTOP_PRODUCTION[TOTAL OUT])</f>
        <v>0</v>
      </c>
      <c r="F54" s="35">
        <f>SUBTOTAL(109,LAPTOP_PRODUCTION[CURRENT STOCKS])</f>
        <v>1159</v>
      </c>
      <c r="G54" s="35">
        <f>SUBTOTAL(109,LAPTOP_PRODUCTION[ON PROCESS])</f>
        <v>488</v>
      </c>
      <c r="H54" s="35">
        <f>SUBTOTAL(109,LAPTOP_PRODUCTION[CHROME OS])</f>
        <v>382</v>
      </c>
      <c r="I54" s="35">
        <f>SUBTOTAL(109,LAPTOP_PRODUCTION[WINDOWS])</f>
        <v>289</v>
      </c>
      <c r="J54" s="35">
        <f>SUBTOTAL(109,LAPTOP_PRODUCTION[BACKJOB])</f>
        <v>0</v>
      </c>
      <c r="K54" s="41"/>
      <c r="L54" s="37">
        <f>AVERAGE(LAPTOP_PRODUCTION[COST /PCS])</f>
        <v>2500</v>
      </c>
      <c r="M54" s="37">
        <f>SUM(LAPTOP_PRODUCTION[TOTAL IN COST])</f>
        <v>2897500</v>
      </c>
      <c r="N54" s="38">
        <f>SUM(LAPTOP_PRODUCTION[CURRENT STOCK COST])</f>
        <v>2897500</v>
      </c>
      <c r="O54" s="37">
        <f>SUBTOTAL(101,LAPTOP_PRODUCTION[CHROMEOS PRICE /PCS])</f>
        <v>3000</v>
      </c>
      <c r="P54" s="38">
        <f>SUBTOTAL(109,LAPTOP_PRODUCTION[TOTAL CHROMEOS PRICE])</f>
        <v>1146000</v>
      </c>
      <c r="Q54" s="37">
        <f>SUBTOTAL(101,LAPTOP_PRODUCTION[WINDOWS PRICE /PCS])</f>
        <v>3990</v>
      </c>
      <c r="R54" s="37">
        <f>SUBTOTAL(109,LAPTOP_PRODUCTION[TOTAL WINDOWS PRICE])</f>
        <v>1153110</v>
      </c>
      <c r="S54" s="37">
        <f>SUBTOTAL(109,LAPTOP_PRODUCTION[BACKJOP COST])</f>
        <v>0</v>
      </c>
    </row>
  </sheetData>
  <conditionalFormatting sqref="K2:K53">
    <cfRule type="colorScale" priority="2">
      <colorScale>
        <cfvo type="num" val="0"/>
        <cfvo type="percentile" val="50"/>
        <cfvo type="num" val="100"/>
        <color theme="9" tint="0.39997558519241921"/>
        <color rgb="FFFFEB84"/>
        <color theme="5" tint="0.39997558519241921"/>
      </colorScale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CFEB7464-6D11-45FE-9C13-31FE144CD0CD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2"/>
              <x14:cfIcon iconSet="3Symbols" iconId="1"/>
              <x14:cfIcon iconSet="3Symbols" iconId="0"/>
            </x14:iconSet>
          </x14:cfRule>
          <xm:sqref>K2:K53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15B7C-9699-4C8E-AF3F-9D11FD7A38CF}">
  <sheetPr codeName="Sheet9"/>
  <dimension ref="A1:K59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9" sqref="C29:C42"/>
    </sheetView>
  </sheetViews>
  <sheetFormatPr defaultColWidth="16.7109375" defaultRowHeight="15.75" customHeight="1" x14ac:dyDescent="0.2"/>
  <cols>
    <col min="1" max="1" width="5.7109375" style="28" bestFit="1" customWidth="1"/>
    <col min="2" max="2" width="21.7109375" style="28" bestFit="1" customWidth="1"/>
    <col min="3" max="3" width="9.5703125" style="28" bestFit="1" customWidth="1"/>
    <col min="4" max="4" width="15.42578125" style="29" bestFit="1" customWidth="1"/>
    <col min="5" max="5" width="15.85546875" style="29" bestFit="1" customWidth="1"/>
    <col min="6" max="6" width="26.42578125" style="29" bestFit="1" customWidth="1"/>
    <col min="7" max="7" width="16" style="29" bestFit="1" customWidth="1"/>
    <col min="8" max="8" width="17.85546875" style="28" customWidth="1"/>
    <col min="9" max="9" width="23" style="28" customWidth="1"/>
    <col min="10" max="10" width="29.5703125" style="28" bestFit="1" customWidth="1"/>
    <col min="11" max="11" width="20.7109375" style="28" bestFit="1" customWidth="1"/>
    <col min="12" max="16384" width="16.7109375" style="28"/>
  </cols>
  <sheetData>
    <row r="1" spans="1:11" s="56" customFormat="1" ht="15.75" customHeight="1" x14ac:dyDescent="0.2">
      <c r="A1" s="56"/>
      <c r="B1" s="56"/>
      <c r="C1" s="56"/>
      <c r="D1" s="57"/>
      <c r="E1" s="56"/>
      <c r="F1" s="57"/>
      <c r="G1" s="57"/>
      <c r="H1" s="52" t="s">
        <v>78</v>
      </c>
      <c r="I1" s="52" t="s">
        <v>76</v>
      </c>
      <c r="J1" s="54" t="s">
        <v>77</v>
      </c>
      <c r="K1" s="56" t="s">
        <v>84</v>
      </c>
    </row>
    <row r="2" spans="1:11" ht="15.75" customHeight="1" x14ac:dyDescent="0.25">
      <c r="A2" s="28"/>
      <c r="B2" s="55"/>
      <c r="C2" s="55"/>
      <c r="D2" s="32"/>
      <c r="E2" s="28"/>
      <c r="F2" s="32"/>
      <c r="G2" s="32"/>
      <c r="H2" s="61">
        <v>100</v>
      </c>
      <c r="I2" s="62">
        <f>STOCKS_OFFICE_2[[#This Row],[COST /PCS]]*STOCKS_OFFICE_2[[#This Row],[TOTAL IN]]</f>
        <v>2400</v>
      </c>
      <c r="J2" s="63">
        <f>IFERROR(LAPTOP_PRODUCTION[[#This Row],[COST /PCS]]*LAPTOP_PRODUCTION[[#This Row],[CURRENT STOCKS]], "")</f>
        <v>20000</v>
      </c>
      <c r="K2" s="62">
        <f>IFERROR(STOCKS_OFFICE_2[[#This Row],[COST /PCS]]*STOCKS_OFFICE_2[[#This Row],[BACKJOB]], "")</f>
        <v>0</v>
      </c>
    </row>
    <row r="3" spans="1:11" ht="15.75" customHeight="1" x14ac:dyDescent="0.25">
      <c r="A3" s="28"/>
      <c r="B3" s="55"/>
      <c r="C3" s="55"/>
      <c r="D3" s="32"/>
      <c r="E3" s="28"/>
      <c r="F3" s="32"/>
      <c r="G3" s="32"/>
      <c r="H3" s="61">
        <v>100</v>
      </c>
      <c r="I3" s="62">
        <f>STOCKS_OFFICE_2[[#This Row],[COST /PCS]]*STOCKS_OFFICE_2[[#This Row],[TOTAL IN]]</f>
        <v>6300</v>
      </c>
      <c r="J3" s="63">
        <f>IFERROR(LAPTOP_PRODUCTION[[#This Row],[COST /PCS]]*LAPTOP_PRODUCTION[[#This Row],[CURRENT STOCKS]], "")</f>
        <v>337500</v>
      </c>
      <c r="K3" s="62">
        <f>IFERROR(STOCKS_OFFICE_2[[#This Row],[COST /PCS]]*STOCKS_OFFICE_2[[#This Row],[BACKJOB]], "")</f>
        <v>0</v>
      </c>
    </row>
    <row r="4" spans="1:11" ht="15.75" customHeight="1" x14ac:dyDescent="0.25">
      <c r="A4" s="28"/>
      <c r="B4" s="55"/>
      <c r="C4" s="55"/>
      <c r="D4" s="32"/>
      <c r="E4" s="28"/>
      <c r="F4" s="32"/>
      <c r="G4" s="32"/>
      <c r="H4" s="61">
        <v>100</v>
      </c>
      <c r="I4" s="62">
        <f>STOCKS_OFFICE_2[[#This Row],[COST /PCS]]*STOCKS_OFFICE_2[[#This Row],[TOTAL IN]]</f>
        <v>1800</v>
      </c>
      <c r="J4" s="63">
        <f>IFERROR(LAPTOP_PRODUCTION[[#This Row],[COST /PCS]]*LAPTOP_PRODUCTION[[#This Row],[CURRENT STOCKS]], "")</f>
        <v>207500</v>
      </c>
      <c r="K4" s="62">
        <f>IFERROR(STOCKS_OFFICE_2[[#This Row],[COST /PCS]]*STOCKS_OFFICE_2[[#This Row],[BACKJOB]], "")</f>
        <v>0</v>
      </c>
    </row>
    <row r="5" spans="1:11" ht="15.75" customHeight="1" x14ac:dyDescent="0.25">
      <c r="A5" s="28"/>
      <c r="B5" s="55"/>
      <c r="C5" s="55"/>
      <c r="D5" s="32"/>
      <c r="E5" s="28"/>
      <c r="F5" s="32"/>
      <c r="G5" s="32"/>
      <c r="H5" s="61">
        <v>100</v>
      </c>
      <c r="I5" s="62">
        <f>STOCKS_OFFICE_2[[#This Row],[COST /PCS]]*STOCKS_OFFICE_2[[#This Row],[TOTAL IN]]</f>
        <v>7700</v>
      </c>
      <c r="J5" s="63">
        <f>IFERROR(LAPTOP_PRODUCTION[[#This Row],[COST /PCS]]*LAPTOP_PRODUCTION[[#This Row],[CURRENT STOCKS]], "")</f>
        <v>165000</v>
      </c>
      <c r="K5" s="62">
        <f>IFERROR(STOCKS_OFFICE_2[[#This Row],[COST /PCS]]*STOCKS_OFFICE_2[[#This Row],[BACKJOB]], "")</f>
        <v>0</v>
      </c>
    </row>
    <row r="6" spans="1:11" ht="15.75" customHeight="1" x14ac:dyDescent="0.25">
      <c r="A6" s="28"/>
      <c r="B6" s="55"/>
      <c r="C6" s="55"/>
      <c r="D6" s="32"/>
      <c r="E6" s="28"/>
      <c r="F6" s="32"/>
      <c r="G6" s="32"/>
      <c r="H6" s="61">
        <v>100</v>
      </c>
      <c r="I6" s="62">
        <f>STOCKS_OFFICE_2[[#This Row],[COST /PCS]]*STOCKS_OFFICE_2[[#This Row],[TOTAL IN]]</f>
        <v>4300</v>
      </c>
      <c r="J6" s="63">
        <f>IFERROR(LAPTOP_PRODUCTION[[#This Row],[COST /PCS]]*LAPTOP_PRODUCTION[[#This Row],[CURRENT STOCKS]], "")</f>
        <v>37500</v>
      </c>
      <c r="K6" s="62">
        <f>IFERROR(STOCKS_OFFICE_2[[#This Row],[COST /PCS]]*STOCKS_OFFICE_2[[#This Row],[BACKJOB]], "")</f>
        <v>0</v>
      </c>
    </row>
    <row r="7" spans="1:11" ht="15.75" customHeight="1" x14ac:dyDescent="0.25">
      <c r="A7" s="28"/>
      <c r="B7" s="55"/>
      <c r="C7" s="55"/>
      <c r="D7" s="32"/>
      <c r="E7" s="28"/>
      <c r="F7" s="32"/>
      <c r="G7" s="32"/>
      <c r="H7" s="61">
        <v>100</v>
      </c>
      <c r="I7" s="62">
        <f>STOCKS_OFFICE_2[[#This Row],[COST /PCS]]*STOCKS_OFFICE_2[[#This Row],[TOTAL IN]]</f>
        <v>3500</v>
      </c>
      <c r="J7" s="63">
        <f>IFERROR(LAPTOP_PRODUCTION[[#This Row],[COST /PCS]]*LAPTOP_PRODUCTION[[#This Row],[CURRENT STOCKS]], "")</f>
        <v>337500</v>
      </c>
      <c r="K7" s="62">
        <f>IFERROR(STOCKS_OFFICE_2[[#This Row],[COST /PCS]]*STOCKS_OFFICE_2[[#This Row],[BACKJOB]], "")</f>
        <v>0</v>
      </c>
    </row>
    <row r="8" spans="1:11" ht="15.75" customHeight="1" x14ac:dyDescent="0.25">
      <c r="A8" s="28"/>
      <c r="B8" s="55"/>
      <c r="C8" s="55"/>
      <c r="D8" s="32"/>
      <c r="E8" s="28"/>
      <c r="F8" s="32"/>
      <c r="G8" s="32"/>
      <c r="H8" s="61">
        <v>100</v>
      </c>
      <c r="I8" s="62">
        <f>STOCKS_OFFICE_2[[#This Row],[COST /PCS]]*STOCKS_OFFICE_2[[#This Row],[TOTAL IN]]</f>
        <v>4100</v>
      </c>
      <c r="J8" s="63">
        <f>IFERROR(LAPTOP_PRODUCTION[[#This Row],[COST /PCS]]*LAPTOP_PRODUCTION[[#This Row],[CURRENT STOCKS]], "")</f>
        <v>385000</v>
      </c>
      <c r="K8" s="62">
        <f>IFERROR(STOCKS_OFFICE_2[[#This Row],[COST /PCS]]*STOCKS_OFFICE_2[[#This Row],[BACKJOB]], "")</f>
        <v>0</v>
      </c>
    </row>
    <row r="9" spans="1:11" ht="15.75" customHeight="1" x14ac:dyDescent="0.25">
      <c r="A9" s="28"/>
      <c r="B9" s="55"/>
      <c r="C9" s="55"/>
      <c r="D9" s="32"/>
      <c r="E9" s="28"/>
      <c r="F9" s="32"/>
      <c r="G9" s="32"/>
      <c r="H9" s="61">
        <v>100</v>
      </c>
      <c r="I9" s="62">
        <f>STOCKS_OFFICE_2[[#This Row],[COST /PCS]]*STOCKS_OFFICE_2[[#This Row],[TOTAL IN]]</f>
        <v>9500</v>
      </c>
      <c r="J9" s="63">
        <f>IFERROR(LAPTOP_PRODUCTION[[#This Row],[COST /PCS]]*LAPTOP_PRODUCTION[[#This Row],[CURRENT STOCKS]], "")</f>
        <v>155000</v>
      </c>
      <c r="K9" s="62">
        <f>IFERROR(STOCKS_OFFICE_2[[#This Row],[COST /PCS]]*STOCKS_OFFICE_2[[#This Row],[BACKJOB]], "")</f>
        <v>0</v>
      </c>
    </row>
    <row r="10" spans="1:11" ht="15.75" customHeight="1" x14ac:dyDescent="0.25">
      <c r="A10" s="28"/>
      <c r="B10" s="55"/>
      <c r="C10" s="55"/>
      <c r="D10" s="32"/>
      <c r="E10" s="28"/>
      <c r="F10" s="32"/>
      <c r="G10" s="32"/>
      <c r="H10" s="61">
        <v>100</v>
      </c>
      <c r="I10" s="62">
        <f>STOCKS_OFFICE_2[[#This Row],[COST /PCS]]*STOCKS_OFFICE_2[[#This Row],[TOTAL IN]]</f>
        <v>9300</v>
      </c>
      <c r="J10" s="63">
        <f>IFERROR(LAPTOP_PRODUCTION[[#This Row],[COST /PCS]]*LAPTOP_PRODUCTION[[#This Row],[CURRENT STOCKS]], "")</f>
        <v>17500</v>
      </c>
      <c r="K10" s="62">
        <f>IFERROR(STOCKS_OFFICE_2[[#This Row],[COST /PCS]]*STOCKS_OFFICE_2[[#This Row],[BACKJOB]], "")</f>
        <v>0</v>
      </c>
    </row>
    <row r="11" spans="1:11" ht="15.75" customHeight="1" x14ac:dyDescent="0.25">
      <c r="A11" s="28"/>
      <c r="B11" s="55"/>
      <c r="C11" s="55"/>
      <c r="D11" s="32"/>
      <c r="E11" s="28"/>
      <c r="F11" s="32"/>
      <c r="G11" s="32"/>
      <c r="H11" s="61">
        <v>100</v>
      </c>
      <c r="I11" s="62">
        <f>STOCKS_OFFICE_2[[#This Row],[COST /PCS]]*STOCKS_OFFICE_2[[#This Row],[TOTAL IN]]</f>
        <v>8700</v>
      </c>
      <c r="J11" s="63">
        <f>IFERROR(LAPTOP_PRODUCTION[[#This Row],[COST /PCS]]*LAPTOP_PRODUCTION[[#This Row],[CURRENT STOCKS]], "")</f>
        <v>12500</v>
      </c>
      <c r="K11" s="62">
        <f>IFERROR(STOCKS_OFFICE_2[[#This Row],[COST /PCS]]*STOCKS_OFFICE_2[[#This Row],[BACKJOB]], "")</f>
        <v>0</v>
      </c>
    </row>
    <row r="12" spans="1:11" ht="15.75" customHeight="1" x14ac:dyDescent="0.25">
      <c r="A12" s="28"/>
      <c r="B12" s="55"/>
      <c r="C12" s="55"/>
      <c r="D12" s="32"/>
      <c r="E12" s="28"/>
      <c r="F12" s="32"/>
      <c r="G12" s="32"/>
      <c r="H12" s="61">
        <v>100</v>
      </c>
      <c r="I12" s="62">
        <f>STOCKS_OFFICE_2[[#This Row],[COST /PCS]]*STOCKS_OFFICE_2[[#This Row],[TOTAL IN]]</f>
        <v>30200</v>
      </c>
      <c r="J12" s="63">
        <f>IFERROR(LAPTOP_PRODUCTION[[#This Row],[COST /PCS]]*LAPTOP_PRODUCTION[[#This Row],[CURRENT STOCKS]], "")</f>
        <v>37500</v>
      </c>
      <c r="K12" s="62">
        <f>IFERROR(STOCKS_OFFICE_2[[#This Row],[COST /PCS]]*STOCKS_OFFICE_2[[#This Row],[BACKJOB]], "")</f>
        <v>0</v>
      </c>
    </row>
    <row r="13" spans="1:11" ht="15.75" customHeight="1" x14ac:dyDescent="0.25">
      <c r="A13" s="28"/>
      <c r="B13" s="55"/>
      <c r="C13" s="55"/>
      <c r="D13" s="32"/>
      <c r="E13" s="28"/>
      <c r="F13" s="32"/>
      <c r="G13" s="32"/>
      <c r="H13" s="61">
        <v>100</v>
      </c>
      <c r="I13" s="62">
        <f>STOCKS_OFFICE_2[[#This Row],[COST /PCS]]*STOCKS_OFFICE_2[[#This Row],[TOTAL IN]]</f>
        <v>6000</v>
      </c>
      <c r="J13" s="63">
        <f>IFERROR(LAPTOP_PRODUCTION[[#This Row],[COST /PCS]]*LAPTOP_PRODUCTION[[#This Row],[CURRENT STOCKS]], "")</f>
        <v>92500</v>
      </c>
      <c r="K13" s="62">
        <f>IFERROR(STOCKS_OFFICE_2[[#This Row],[COST /PCS]]*STOCKS_OFFICE_2[[#This Row],[BACKJOB]], "")</f>
        <v>0</v>
      </c>
    </row>
    <row r="14" spans="1:11" ht="15.75" customHeight="1" x14ac:dyDescent="0.25">
      <c r="A14" s="28"/>
      <c r="B14" s="55"/>
      <c r="C14" s="55"/>
      <c r="D14" s="32"/>
      <c r="E14" s="28"/>
      <c r="F14" s="32"/>
      <c r="G14" s="32"/>
      <c r="H14" s="61">
        <v>100</v>
      </c>
      <c r="I14" s="62">
        <f>STOCKS_OFFICE_2[[#This Row],[COST /PCS]]*STOCKS_OFFICE_2[[#This Row],[TOTAL IN]]</f>
        <v>12900</v>
      </c>
      <c r="J14" s="63">
        <f>IFERROR(LAPTOP_PRODUCTION[[#This Row],[COST /PCS]]*LAPTOP_PRODUCTION[[#This Row],[CURRENT STOCKS]], "")</f>
        <v>27500</v>
      </c>
      <c r="K14" s="62">
        <f>IFERROR(STOCKS_OFFICE_2[[#This Row],[COST /PCS]]*STOCKS_OFFICE_2[[#This Row],[BACKJOB]], "")</f>
        <v>0</v>
      </c>
    </row>
    <row r="15" spans="1:11" ht="15.75" customHeight="1" x14ac:dyDescent="0.25">
      <c r="A15" s="28"/>
      <c r="B15" s="55"/>
      <c r="C15" s="55"/>
      <c r="D15" s="32"/>
      <c r="E15" s="28"/>
      <c r="F15" s="32"/>
      <c r="G15" s="32"/>
      <c r="H15" s="61">
        <v>100</v>
      </c>
      <c r="I15" s="62">
        <f>STOCKS_OFFICE_2[[#This Row],[COST /PCS]]*STOCKS_OFFICE_2[[#This Row],[TOTAL IN]]</f>
        <v>22800</v>
      </c>
      <c r="J15" s="63">
        <f>IFERROR(LAPTOP_PRODUCTION[[#This Row],[COST /PCS]]*LAPTOP_PRODUCTION[[#This Row],[CURRENT STOCKS]], "")</f>
        <v>67500</v>
      </c>
      <c r="K15" s="62">
        <f>IFERROR(STOCKS_OFFICE_2[[#This Row],[COST /PCS]]*STOCKS_OFFICE_2[[#This Row],[BACKJOB]], "")</f>
        <v>0</v>
      </c>
    </row>
    <row r="16" spans="1:11" ht="15.75" customHeight="1" x14ac:dyDescent="0.25">
      <c r="A16" s="28"/>
      <c r="B16" s="55"/>
      <c r="C16" s="55"/>
      <c r="D16" s="32"/>
      <c r="E16" s="28"/>
      <c r="F16" s="32"/>
      <c r="G16" s="32"/>
      <c r="H16" s="61">
        <v>100</v>
      </c>
      <c r="I16" s="62">
        <f>STOCKS_OFFICE_2[[#This Row],[COST /PCS]]*STOCKS_OFFICE_2[[#This Row],[TOTAL IN]]</f>
        <v>16100</v>
      </c>
      <c r="J16" s="63">
        <f>IFERROR(LAPTOP_PRODUCTION[[#This Row],[COST /PCS]]*LAPTOP_PRODUCTION[[#This Row],[CURRENT STOCKS]], "")</f>
        <v>17500</v>
      </c>
      <c r="K16" s="62">
        <f>IFERROR(STOCKS_OFFICE_2[[#This Row],[COST /PCS]]*STOCKS_OFFICE_2[[#This Row],[BACKJOB]], "")</f>
        <v>0</v>
      </c>
    </row>
    <row r="17" spans="1:11" ht="15.75" customHeight="1" x14ac:dyDescent="0.25">
      <c r="A17" s="28"/>
      <c r="B17" s="55"/>
      <c r="C17" s="55"/>
      <c r="D17" s="32"/>
      <c r="E17" s="28"/>
      <c r="F17" s="32"/>
      <c r="G17" s="32"/>
      <c r="H17" s="61">
        <v>100</v>
      </c>
      <c r="I17" s="62">
        <f>STOCKS_OFFICE_2[[#This Row],[COST /PCS]]*STOCKS_OFFICE_2[[#This Row],[TOTAL IN]]</f>
        <v>8600</v>
      </c>
      <c r="J17" s="63">
        <f>IFERROR(LAPTOP_PRODUCTION[[#This Row],[COST /PCS]]*LAPTOP_PRODUCTION[[#This Row],[CURRENT STOCKS]], "")</f>
        <v>5000</v>
      </c>
      <c r="K17" s="62">
        <f>IFERROR(STOCKS_OFFICE_2[[#This Row],[COST /PCS]]*STOCKS_OFFICE_2[[#This Row],[BACKJOB]], "")</f>
        <v>0</v>
      </c>
    </row>
    <row r="18" spans="1:11" ht="15.75" hidden="1" customHeight="1" x14ac:dyDescent="0.25">
      <c r="A18" s="28"/>
      <c r="B18" s="55"/>
      <c r="C18" s="55"/>
      <c r="D18" s="32"/>
      <c r="E18" s="28"/>
      <c r="F18" s="32"/>
      <c r="G18" s="32"/>
      <c r="H18" s="61">
        <v>100</v>
      </c>
      <c r="I18" s="62">
        <f>STOCKS_OFFICE_2[[#This Row],[COST /PCS]]*STOCKS_OFFICE_2[[#This Row],[TOTAL IN]]</f>
        <v>0</v>
      </c>
      <c r="J18" s="63">
        <f>IFERROR(LAPTOP_PRODUCTION[[#This Row],[COST /PCS]]*LAPTOP_PRODUCTION[[#This Row],[CURRENT STOCKS]], "")</f>
        <v>12500</v>
      </c>
      <c r="K18" s="62">
        <f>IFERROR(STOCKS_OFFICE_2[[#This Row],[COST /PCS]]*STOCKS_OFFICE_2[[#This Row],[BACKJOB]], "")</f>
        <v>0</v>
      </c>
    </row>
    <row r="19" spans="1:11" ht="15.75" hidden="1" customHeight="1" x14ac:dyDescent="0.25">
      <c r="A19" s="28"/>
      <c r="B19" s="55"/>
      <c r="C19" s="55"/>
      <c r="D19" s="32"/>
      <c r="E19" s="28"/>
      <c r="F19" s="32"/>
      <c r="G19" s="32"/>
      <c r="H19" s="61">
        <v>100</v>
      </c>
      <c r="I19" s="62">
        <f>STOCKS_OFFICE_2[[#This Row],[COST /PCS]]*STOCKS_OFFICE_2[[#This Row],[TOTAL IN]]</f>
        <v>0</v>
      </c>
      <c r="J19" s="63">
        <f>IFERROR(LAPTOP_PRODUCTION[[#This Row],[COST /PCS]]*LAPTOP_PRODUCTION[[#This Row],[CURRENT STOCKS]], "")</f>
        <v>5000</v>
      </c>
      <c r="K19" s="62">
        <f>IFERROR(STOCKS_OFFICE_2[[#This Row],[COST /PCS]]*STOCKS_OFFICE_2[[#This Row],[BACKJOB]], "")</f>
        <v>0</v>
      </c>
    </row>
    <row r="20" spans="1:11" ht="15.75" hidden="1" customHeight="1" x14ac:dyDescent="0.25">
      <c r="A20" s="28"/>
      <c r="B20" s="55"/>
      <c r="C20" s="55"/>
      <c r="D20" s="32"/>
      <c r="E20" s="28"/>
      <c r="F20" s="32"/>
      <c r="G20" s="32"/>
      <c r="H20" s="61">
        <v>100</v>
      </c>
      <c r="I20" s="62">
        <f>STOCKS_OFFICE_2[[#This Row],[COST /PCS]]*STOCKS_OFFICE_2[[#This Row],[TOTAL IN]]</f>
        <v>0</v>
      </c>
      <c r="J20" s="63">
        <f>IFERROR(LAPTOP_PRODUCTION[[#This Row],[COST /PCS]]*LAPTOP_PRODUCTION[[#This Row],[CURRENT STOCKS]], "")</f>
        <v>2500</v>
      </c>
      <c r="K20" s="62">
        <f>IFERROR(STOCKS_OFFICE_2[[#This Row],[COST /PCS]]*STOCKS_OFFICE_2[[#This Row],[BACKJOB]], "")</f>
        <v>0</v>
      </c>
    </row>
    <row r="21" spans="1:11" ht="15.75" customHeight="1" x14ac:dyDescent="0.25">
      <c r="A21" s="28"/>
      <c r="B21" s="55"/>
      <c r="C21" s="55"/>
      <c r="D21" s="32"/>
      <c r="E21" s="28"/>
      <c r="F21" s="32"/>
      <c r="G21" s="32"/>
      <c r="H21" s="61">
        <v>100</v>
      </c>
      <c r="I21" s="62">
        <f>STOCKS_OFFICE_2[[#This Row],[COST /PCS]]*STOCKS_OFFICE_2[[#This Row],[TOTAL IN]]</f>
        <v>4400</v>
      </c>
      <c r="J21" s="63">
        <f>IFERROR(LAPTOP_PRODUCTION[[#This Row],[COST /PCS]]*LAPTOP_PRODUCTION[[#This Row],[CURRENT STOCKS]], "")</f>
        <v>15000</v>
      </c>
      <c r="K21" s="62">
        <f>IFERROR(STOCKS_OFFICE_2[[#This Row],[COST /PCS]]*STOCKS_OFFICE_2[[#This Row],[BACKJOB]], "")</f>
        <v>0</v>
      </c>
    </row>
    <row r="22" spans="1:11" ht="15.75" hidden="1" customHeight="1" x14ac:dyDescent="0.25">
      <c r="A22" s="28"/>
      <c r="B22" s="55"/>
      <c r="C22" s="55"/>
      <c r="D22" s="32"/>
      <c r="E22" s="28"/>
      <c r="F22" s="32"/>
      <c r="G22" s="32"/>
      <c r="H22" s="61">
        <v>100</v>
      </c>
      <c r="I22" s="62">
        <f>STOCKS_OFFICE_2[[#This Row],[COST /PCS]]*STOCKS_OFFICE_2[[#This Row],[TOTAL IN]]</f>
        <v>0</v>
      </c>
      <c r="J22" s="63">
        <f>IFERROR(LAPTOP_PRODUCTION[[#This Row],[COST /PCS]]*LAPTOP_PRODUCTION[[#This Row],[CURRENT STOCKS]], "")</f>
        <v>5000</v>
      </c>
      <c r="K22" s="62">
        <f>IFERROR(STOCKS_OFFICE_2[[#This Row],[COST /PCS]]*STOCKS_OFFICE_2[[#This Row],[BACKJOB]], "")</f>
        <v>0</v>
      </c>
    </row>
    <row r="23" spans="1:11" ht="15.75" hidden="1" customHeight="1" x14ac:dyDescent="0.25">
      <c r="A23" s="28"/>
      <c r="B23" s="55"/>
      <c r="C23" s="55"/>
      <c r="D23" s="32"/>
      <c r="E23" s="28"/>
      <c r="F23" s="32"/>
      <c r="G23" s="32"/>
      <c r="H23" s="61">
        <v>100</v>
      </c>
      <c r="I23" s="62">
        <f>STOCKS_OFFICE_2[[#This Row],[COST /PCS]]*STOCKS_OFFICE_2[[#This Row],[TOTAL IN]]</f>
        <v>0</v>
      </c>
      <c r="J23" s="63">
        <f>IFERROR(LAPTOP_PRODUCTION[[#This Row],[COST /PCS]]*LAPTOP_PRODUCTION[[#This Row],[CURRENT STOCKS]], "")</f>
        <v>247500</v>
      </c>
      <c r="K23" s="62">
        <f>IFERROR(STOCKS_OFFICE_2[[#This Row],[COST /PCS]]*STOCKS_OFFICE_2[[#This Row],[BACKJOB]], "")</f>
        <v>0</v>
      </c>
    </row>
    <row r="24" spans="1:11" ht="15.75" hidden="1" customHeight="1" x14ac:dyDescent="0.25">
      <c r="A24" s="28"/>
      <c r="B24" s="55"/>
      <c r="C24" s="55"/>
      <c r="D24" s="32"/>
      <c r="E24" s="28"/>
      <c r="F24" s="32"/>
      <c r="G24" s="32"/>
      <c r="H24" s="61">
        <v>100</v>
      </c>
      <c r="I24" s="62">
        <f>STOCKS_OFFICE_2[[#This Row],[COST /PCS]]*STOCKS_OFFICE_2[[#This Row],[TOTAL IN]]</f>
        <v>0</v>
      </c>
      <c r="J24" s="63">
        <f>IFERROR(LAPTOP_PRODUCTION[[#This Row],[COST /PCS]]*LAPTOP_PRODUCTION[[#This Row],[CURRENT STOCKS]], "")</f>
        <v>22500</v>
      </c>
      <c r="K24" s="62">
        <f>IFERROR(STOCKS_OFFICE_2[[#This Row],[COST /PCS]]*STOCKS_OFFICE_2[[#This Row],[BACKJOB]], "")</f>
        <v>0</v>
      </c>
    </row>
    <row r="25" spans="1:11" ht="15.75" hidden="1" customHeight="1" x14ac:dyDescent="0.25">
      <c r="A25" s="28"/>
      <c r="B25" s="55"/>
      <c r="C25" s="55"/>
      <c r="D25" s="32"/>
      <c r="E25" s="28"/>
      <c r="F25" s="32"/>
      <c r="G25" s="32"/>
      <c r="H25" s="61">
        <v>100</v>
      </c>
      <c r="I25" s="62">
        <f>STOCKS_OFFICE_2[[#This Row],[COST /PCS]]*STOCKS_OFFICE_2[[#This Row],[TOTAL IN]]</f>
        <v>0</v>
      </c>
      <c r="J25" s="63">
        <f>IFERROR(LAPTOP_PRODUCTION[[#This Row],[COST /PCS]]*LAPTOP_PRODUCTION[[#This Row],[CURRENT STOCKS]], "")</f>
        <v>5000</v>
      </c>
      <c r="K25" s="62">
        <f>IFERROR(STOCKS_OFFICE_2[[#This Row],[COST /PCS]]*STOCKS_OFFICE_2[[#This Row],[BACKJOB]], "")</f>
        <v>0</v>
      </c>
    </row>
    <row r="26" spans="1:11" ht="15.75" hidden="1" customHeight="1" x14ac:dyDescent="0.25">
      <c r="A26" s="28"/>
      <c r="B26" s="55"/>
      <c r="C26" s="55"/>
      <c r="D26" s="32"/>
      <c r="E26" s="28"/>
      <c r="F26" s="32"/>
      <c r="G26" s="32"/>
      <c r="H26" s="61">
        <v>100</v>
      </c>
      <c r="I26" s="62">
        <f>STOCKS_OFFICE_2[[#This Row],[COST /PCS]]*STOCKS_OFFICE_2[[#This Row],[TOTAL IN]]</f>
        <v>0</v>
      </c>
      <c r="J26" s="63">
        <f>IFERROR(LAPTOP_PRODUCTION[[#This Row],[COST /PCS]]*LAPTOP_PRODUCTION[[#This Row],[CURRENT STOCKS]], "")</f>
        <v>20000</v>
      </c>
      <c r="K26" s="62">
        <f>IFERROR(STOCKS_OFFICE_2[[#This Row],[COST /PCS]]*STOCKS_OFFICE_2[[#This Row],[BACKJOB]], "")</f>
        <v>0</v>
      </c>
    </row>
    <row r="27" spans="1:11" ht="15.75" hidden="1" customHeight="1" x14ac:dyDescent="0.25">
      <c r="A27" s="28"/>
      <c r="B27" s="55"/>
      <c r="C27" s="55"/>
      <c r="D27" s="32"/>
      <c r="E27" s="28"/>
      <c r="F27" s="32"/>
      <c r="G27" s="32"/>
      <c r="H27" s="61">
        <v>100</v>
      </c>
      <c r="I27" s="62">
        <f>STOCKS_OFFICE_2[[#This Row],[COST /PCS]]*STOCKS_OFFICE_2[[#This Row],[TOTAL IN]]</f>
        <v>0</v>
      </c>
      <c r="J27" s="63">
        <f>IFERROR(LAPTOP_PRODUCTION[[#This Row],[COST /PCS]]*LAPTOP_PRODUCTION[[#This Row],[CURRENT STOCKS]], "")</f>
        <v>10000</v>
      </c>
      <c r="K27" s="62">
        <f>IFERROR(STOCKS_OFFICE_2[[#This Row],[COST /PCS]]*STOCKS_OFFICE_2[[#This Row],[BACKJOB]], "")</f>
        <v>0</v>
      </c>
    </row>
    <row r="28" spans="1:11" ht="15.75" hidden="1" customHeight="1" x14ac:dyDescent="0.25">
      <c r="A28" s="28"/>
      <c r="B28" s="55"/>
      <c r="C28" s="55"/>
      <c r="D28" s="32"/>
      <c r="E28" s="28"/>
      <c r="F28" s="32"/>
      <c r="G28" s="32"/>
      <c r="H28" s="61">
        <v>100</v>
      </c>
      <c r="I28" s="62">
        <f>STOCKS_OFFICE_2[[#This Row],[COST /PCS]]*STOCKS_OFFICE_2[[#This Row],[TOTAL IN]]</f>
        <v>0</v>
      </c>
      <c r="J28" s="63">
        <f>IFERROR(LAPTOP_PRODUCTION[[#This Row],[COST /PCS]]*LAPTOP_PRODUCTION[[#This Row],[CURRENT STOCKS]], "")</f>
        <v>30000</v>
      </c>
      <c r="K28" s="62">
        <f>IFERROR(STOCKS_OFFICE_2[[#This Row],[COST /PCS]]*STOCKS_OFFICE_2[[#This Row],[BACKJOB]], "")</f>
        <v>0</v>
      </c>
    </row>
    <row r="29" spans="1:11" ht="15.75" customHeight="1" x14ac:dyDescent="0.25">
      <c r="A29" s="28"/>
      <c r="B29" s="55"/>
      <c r="C29" s="55"/>
      <c r="D29" s="32"/>
      <c r="E29" s="28"/>
      <c r="F29" s="32"/>
      <c r="G29" s="32"/>
      <c r="H29" s="61">
        <v>100</v>
      </c>
      <c r="I29" s="62">
        <f>STOCKS_OFFICE_2[[#This Row],[COST /PCS]]*STOCKS_OFFICE_2[[#This Row],[TOTAL IN]]</f>
        <v>5900</v>
      </c>
      <c r="J29" s="63">
        <f>IFERROR(LAPTOP_PRODUCTION[[#This Row],[COST /PCS]]*LAPTOP_PRODUCTION[[#This Row],[CURRENT STOCKS]], "")</f>
        <v>12500</v>
      </c>
      <c r="K29" s="62">
        <f>IFERROR(STOCKS_OFFICE_2[[#This Row],[COST /PCS]]*STOCKS_OFFICE_2[[#This Row],[BACKJOB]], "")</f>
        <v>0</v>
      </c>
    </row>
    <row r="30" spans="1:11" ht="15.75" hidden="1" customHeight="1" x14ac:dyDescent="0.25">
      <c r="A30" s="28"/>
      <c r="B30" s="55"/>
      <c r="C30" s="55"/>
      <c r="D30" s="32"/>
      <c r="E30" s="28"/>
      <c r="F30" s="32"/>
      <c r="G30" s="32"/>
      <c r="H30" s="61">
        <v>100</v>
      </c>
      <c r="I30" s="62">
        <f>STOCKS_OFFICE_2[[#This Row],[COST /PCS]]*STOCKS_OFFICE_2[[#This Row],[TOTAL IN]]</f>
        <v>0</v>
      </c>
      <c r="J30" s="63">
        <f>IFERROR(LAPTOP_PRODUCTION[[#This Row],[COST /PCS]]*LAPTOP_PRODUCTION[[#This Row],[CURRENT STOCKS]], "")</f>
        <v>35000</v>
      </c>
      <c r="K30" s="62">
        <f>IFERROR(STOCKS_OFFICE_2[[#This Row],[COST /PCS]]*STOCKS_OFFICE_2[[#This Row],[BACKJOB]], "")</f>
        <v>0</v>
      </c>
    </row>
    <row r="31" spans="1:11" ht="15.75" hidden="1" customHeight="1" x14ac:dyDescent="0.25">
      <c r="A31" s="28"/>
      <c r="B31" s="55"/>
      <c r="C31" s="55"/>
      <c r="D31" s="32"/>
      <c r="E31" s="28"/>
      <c r="F31" s="32"/>
      <c r="G31" s="32"/>
      <c r="H31" s="61">
        <v>100</v>
      </c>
      <c r="I31" s="62">
        <f>STOCKS_OFFICE_2[[#This Row],[COST /PCS]]*STOCKS_OFFICE_2[[#This Row],[TOTAL IN]]</f>
        <v>0</v>
      </c>
      <c r="J31" s="63">
        <f>IFERROR(LAPTOP_PRODUCTION[[#This Row],[COST /PCS]]*LAPTOP_PRODUCTION[[#This Row],[CURRENT STOCKS]], "")</f>
        <v>10000</v>
      </c>
      <c r="K31" s="62">
        <f>IFERROR(STOCKS_OFFICE_2[[#This Row],[COST /PCS]]*STOCKS_OFFICE_2[[#This Row],[BACKJOB]], "")</f>
        <v>0</v>
      </c>
    </row>
    <row r="32" spans="1:11" ht="15.75" hidden="1" customHeight="1" x14ac:dyDescent="0.25">
      <c r="A32" s="28"/>
      <c r="B32" s="55"/>
      <c r="C32" s="55"/>
      <c r="D32" s="32"/>
      <c r="E32" s="28"/>
      <c r="F32" s="32"/>
      <c r="G32" s="32"/>
      <c r="H32" s="61">
        <v>100</v>
      </c>
      <c r="I32" s="62">
        <f>STOCKS_OFFICE_2[[#This Row],[COST /PCS]]*STOCKS_OFFICE_2[[#This Row],[TOTAL IN]]</f>
        <v>0</v>
      </c>
      <c r="J32" s="63">
        <f>IFERROR(LAPTOP_PRODUCTION[[#This Row],[COST /PCS]]*LAPTOP_PRODUCTION[[#This Row],[CURRENT STOCKS]], "")</f>
        <v>7500</v>
      </c>
      <c r="K32" s="62">
        <f>IFERROR(STOCKS_OFFICE_2[[#This Row],[COST /PCS]]*STOCKS_OFFICE_2[[#This Row],[BACKJOB]], "")</f>
        <v>0</v>
      </c>
    </row>
    <row r="33" spans="1:11" ht="15.75" hidden="1" customHeight="1" x14ac:dyDescent="0.25">
      <c r="A33" s="28"/>
      <c r="B33" s="55"/>
      <c r="C33" s="55"/>
      <c r="D33" s="32"/>
      <c r="E33" s="28"/>
      <c r="F33" s="32"/>
      <c r="G33" s="32"/>
      <c r="H33" s="61">
        <v>100</v>
      </c>
      <c r="I33" s="62">
        <f>STOCKS_OFFICE_2[[#This Row],[COST /PCS]]*STOCKS_OFFICE_2[[#This Row],[TOTAL IN]]</f>
        <v>0</v>
      </c>
      <c r="J33" s="63">
        <f>IFERROR(LAPTOP_PRODUCTION[[#This Row],[COST /PCS]]*LAPTOP_PRODUCTION[[#This Row],[CURRENT STOCKS]], "")</f>
        <v>10000</v>
      </c>
      <c r="K33" s="62">
        <f>IFERROR(STOCKS_OFFICE_2[[#This Row],[COST /PCS]]*STOCKS_OFFICE_2[[#This Row],[BACKJOB]], "")</f>
        <v>0</v>
      </c>
    </row>
    <row r="34" spans="1:11" ht="15.75" hidden="1" customHeight="1" x14ac:dyDescent="0.25">
      <c r="A34" s="28"/>
      <c r="B34" s="55"/>
      <c r="C34" s="55"/>
      <c r="D34" s="32"/>
      <c r="E34" s="28"/>
      <c r="F34" s="32"/>
      <c r="G34" s="32"/>
      <c r="H34" s="61">
        <v>100</v>
      </c>
      <c r="I34" s="62">
        <f>STOCKS_OFFICE_2[[#This Row],[COST /PCS]]*STOCKS_OFFICE_2[[#This Row],[TOTAL IN]]</f>
        <v>0</v>
      </c>
      <c r="J34" s="63">
        <f>IFERROR(LAPTOP_PRODUCTION[[#This Row],[COST /PCS]]*LAPTOP_PRODUCTION[[#This Row],[CURRENT STOCKS]], "")</f>
        <v>32500</v>
      </c>
      <c r="K34" s="62">
        <f>IFERROR(STOCKS_OFFICE_2[[#This Row],[COST /PCS]]*STOCKS_OFFICE_2[[#This Row],[BACKJOB]], "")</f>
        <v>0</v>
      </c>
    </row>
    <row r="35" spans="1:11" ht="15.75" hidden="1" customHeight="1" x14ac:dyDescent="0.25">
      <c r="A35" s="28"/>
      <c r="B35" s="55"/>
      <c r="C35" s="55"/>
      <c r="D35" s="32"/>
      <c r="E35" s="28"/>
      <c r="F35" s="32"/>
      <c r="G35" s="32"/>
      <c r="H35" s="61">
        <v>100</v>
      </c>
      <c r="I35" s="62">
        <f>STOCKS_OFFICE_2[[#This Row],[COST /PCS]]*STOCKS_OFFICE_2[[#This Row],[TOTAL IN]]</f>
        <v>0</v>
      </c>
      <c r="J35" s="63">
        <f>IFERROR(LAPTOP_PRODUCTION[[#This Row],[COST /PCS]]*LAPTOP_PRODUCTION[[#This Row],[CURRENT STOCKS]], "")</f>
        <v>0</v>
      </c>
      <c r="K35" s="62">
        <f>IFERROR(STOCKS_OFFICE_2[[#This Row],[COST /PCS]]*STOCKS_OFFICE_2[[#This Row],[BACKJOB]], "")</f>
        <v>0</v>
      </c>
    </row>
    <row r="36" spans="1:11" ht="15.75" hidden="1" customHeight="1" x14ac:dyDescent="0.25">
      <c r="A36" s="28"/>
      <c r="B36" s="55"/>
      <c r="C36" s="55"/>
      <c r="D36" s="32"/>
      <c r="E36" s="28"/>
      <c r="F36" s="32"/>
      <c r="G36" s="32"/>
      <c r="H36" s="61">
        <v>100</v>
      </c>
      <c r="I36" s="62">
        <f>STOCKS_OFFICE_2[[#This Row],[COST /PCS]]*STOCKS_OFFICE_2[[#This Row],[TOTAL IN]]</f>
        <v>0</v>
      </c>
      <c r="J36" s="63">
        <f>IFERROR(LAPTOP_PRODUCTION[[#This Row],[COST /PCS]]*LAPTOP_PRODUCTION[[#This Row],[CURRENT STOCKS]], "")</f>
        <v>30000</v>
      </c>
      <c r="K36" s="62">
        <f>IFERROR(STOCKS_OFFICE_2[[#This Row],[COST /PCS]]*STOCKS_OFFICE_2[[#This Row],[BACKJOB]], "")</f>
        <v>0</v>
      </c>
    </row>
    <row r="37" spans="1:11" ht="15.75" hidden="1" customHeight="1" x14ac:dyDescent="0.25">
      <c r="A37" s="28"/>
      <c r="B37" s="55"/>
      <c r="C37" s="55"/>
      <c r="D37" s="32"/>
      <c r="E37" s="28"/>
      <c r="F37" s="32"/>
      <c r="G37" s="32"/>
      <c r="H37" s="61">
        <v>100</v>
      </c>
      <c r="I37" s="62">
        <f>STOCKS_OFFICE_2[[#This Row],[COST /PCS]]*STOCKS_OFFICE_2[[#This Row],[TOTAL IN]]</f>
        <v>0</v>
      </c>
      <c r="J37" s="63">
        <f>IFERROR(LAPTOP_PRODUCTION[[#This Row],[COST /PCS]]*LAPTOP_PRODUCTION[[#This Row],[CURRENT STOCKS]], "")</f>
        <v>277500</v>
      </c>
      <c r="K37" s="62">
        <f>IFERROR(STOCKS_OFFICE_2[[#This Row],[COST /PCS]]*STOCKS_OFFICE_2[[#This Row],[BACKJOB]], "")</f>
        <v>0</v>
      </c>
    </row>
    <row r="38" spans="1:11" ht="15.75" hidden="1" customHeight="1" x14ac:dyDescent="0.25">
      <c r="A38" s="28"/>
      <c r="B38" s="55"/>
      <c r="C38" s="55"/>
      <c r="D38" s="32"/>
      <c r="E38" s="28"/>
      <c r="F38" s="32"/>
      <c r="G38" s="32"/>
      <c r="H38" s="61">
        <v>100</v>
      </c>
      <c r="I38" s="62">
        <f>STOCKS_OFFICE_2[[#This Row],[COST /PCS]]*STOCKS_OFFICE_2[[#This Row],[TOTAL IN]]</f>
        <v>0</v>
      </c>
      <c r="J38" s="63">
        <f>IFERROR(LAPTOP_PRODUCTION[[#This Row],[COST /PCS]]*LAPTOP_PRODUCTION[[#This Row],[CURRENT STOCKS]], "")</f>
        <v>22500</v>
      </c>
      <c r="K38" s="62">
        <f>IFERROR(STOCKS_OFFICE_2[[#This Row],[COST /PCS]]*STOCKS_OFFICE_2[[#This Row],[BACKJOB]], "")</f>
        <v>0</v>
      </c>
    </row>
    <row r="39" spans="1:11" ht="15.75" customHeight="1" x14ac:dyDescent="0.25">
      <c r="A39" s="28"/>
      <c r="B39" s="55"/>
      <c r="C39" s="55"/>
      <c r="D39" s="32"/>
      <c r="E39" s="28"/>
      <c r="F39" s="32"/>
      <c r="G39" s="32"/>
      <c r="H39" s="61">
        <v>100</v>
      </c>
      <c r="I39" s="62">
        <f>STOCKS_OFFICE_2[[#This Row],[COST /PCS]]*STOCKS_OFFICE_2[[#This Row],[TOTAL IN]]</f>
        <v>94600</v>
      </c>
      <c r="J39" s="63">
        <f>IFERROR(LAPTOP_PRODUCTION[[#This Row],[COST /PCS]]*LAPTOP_PRODUCTION[[#This Row],[CURRENT STOCKS]], "")</f>
        <v>7500</v>
      </c>
      <c r="K39" s="62">
        <f>IFERROR(STOCKS_OFFICE_2[[#This Row],[COST /PCS]]*STOCKS_OFFICE_2[[#This Row],[BACKJOB]], "")</f>
        <v>0</v>
      </c>
    </row>
    <row r="40" spans="1:11" ht="15.75" hidden="1" customHeight="1" x14ac:dyDescent="0.25">
      <c r="A40" s="28"/>
      <c r="B40" s="55"/>
      <c r="C40" s="55"/>
      <c r="D40" s="32"/>
      <c r="E40" s="28"/>
      <c r="F40" s="32"/>
      <c r="G40" s="32"/>
      <c r="H40" s="61">
        <v>100</v>
      </c>
      <c r="I40" s="62">
        <f>STOCKS_OFFICE_2[[#This Row],[COST /PCS]]*STOCKS_OFFICE_2[[#This Row],[TOTAL IN]]</f>
        <v>0</v>
      </c>
      <c r="J40" s="63">
        <f>IFERROR(LAPTOP_PRODUCTION[[#This Row],[COST /PCS]]*LAPTOP_PRODUCTION[[#This Row],[CURRENT STOCKS]], "")</f>
        <v>2500</v>
      </c>
      <c r="K40" s="62">
        <f>IFERROR(STOCKS_OFFICE_2[[#This Row],[COST /PCS]]*STOCKS_OFFICE_2[[#This Row],[BACKJOB]], "")</f>
        <v>0</v>
      </c>
    </row>
    <row r="41" spans="1:11" ht="15.75" hidden="1" customHeight="1" x14ac:dyDescent="0.25">
      <c r="A41" s="28"/>
      <c r="B41" s="55"/>
      <c r="C41" s="55"/>
      <c r="D41" s="32"/>
      <c r="E41" s="28"/>
      <c r="F41" s="32"/>
      <c r="G41" s="32"/>
      <c r="H41" s="61">
        <v>100</v>
      </c>
      <c r="I41" s="62">
        <f>STOCKS_OFFICE_2[[#This Row],[COST /PCS]]*STOCKS_OFFICE_2[[#This Row],[TOTAL IN]]</f>
        <v>0</v>
      </c>
      <c r="J41" s="63">
        <f>IFERROR(LAPTOP_PRODUCTION[[#This Row],[COST /PCS]]*LAPTOP_PRODUCTION[[#This Row],[CURRENT STOCKS]], "")</f>
        <v>5000</v>
      </c>
      <c r="K41" s="62">
        <f>IFERROR(STOCKS_OFFICE_2[[#This Row],[COST /PCS]]*STOCKS_OFFICE_2[[#This Row],[BACKJOB]], "")</f>
        <v>0</v>
      </c>
    </row>
    <row r="42" spans="1:11" ht="15.75" customHeight="1" x14ac:dyDescent="0.25">
      <c r="A42" s="28"/>
      <c r="B42" s="55"/>
      <c r="C42" s="55"/>
      <c r="D42" s="32"/>
      <c r="E42" s="28"/>
      <c r="F42" s="32"/>
      <c r="G42" s="32"/>
      <c r="H42" s="61">
        <v>100</v>
      </c>
      <c r="I42" s="62">
        <f>STOCKS_OFFICE_2[[#This Row],[COST /PCS]]*STOCKS_OFFICE_2[[#This Row],[TOTAL IN]]</f>
        <v>8900</v>
      </c>
      <c r="J42" s="63">
        <f>IFERROR(LAPTOP_PRODUCTION[[#This Row],[COST /PCS]]*LAPTOP_PRODUCTION[[#This Row],[CURRENT STOCKS]], "")</f>
        <v>20000</v>
      </c>
      <c r="K42" s="62">
        <f>IFERROR(STOCKS_OFFICE_2[[#This Row],[COST /PCS]]*STOCKS_OFFICE_2[[#This Row],[BACKJOB]], "")</f>
        <v>0</v>
      </c>
    </row>
    <row r="43" spans="1:11" ht="15.75" customHeight="1" x14ac:dyDescent="0.25">
      <c r="A43" s="28"/>
      <c r="B43" s="55"/>
      <c r="C43" s="55"/>
      <c r="D43" s="32"/>
      <c r="E43" s="28"/>
      <c r="F43" s="32"/>
      <c r="G43" s="32"/>
      <c r="H43" s="61">
        <v>100</v>
      </c>
      <c r="I43" s="62">
        <f>STOCKS_OFFICE_2[[#This Row],[COST /PCS]]*STOCKS_OFFICE_2[[#This Row],[TOTAL IN]]</f>
        <v>8700</v>
      </c>
      <c r="J43" s="63">
        <f>IFERROR(LAPTOP_PRODUCTION[[#This Row],[COST /PCS]]*LAPTOP_PRODUCTION[[#This Row],[CURRENT STOCKS]], "")</f>
        <v>2500</v>
      </c>
      <c r="K43" s="62">
        <f>IFERROR(STOCKS_OFFICE_2[[#This Row],[COST /PCS]]*STOCKS_OFFICE_2[[#This Row],[BACKJOB]], "")</f>
        <v>0</v>
      </c>
    </row>
    <row r="44" spans="1:11" ht="15.75" hidden="1" customHeight="1" x14ac:dyDescent="0.25">
      <c r="A44" s="28"/>
      <c r="B44" s="55"/>
      <c r="C44" s="55"/>
      <c r="D44" s="32"/>
      <c r="E44" s="28"/>
      <c r="F44" s="32"/>
      <c r="G44" s="32"/>
      <c r="H44" s="61">
        <v>100</v>
      </c>
      <c r="I44" s="62">
        <f>STOCKS_OFFICE_2[[#This Row],[COST /PCS]]*STOCKS_OFFICE_2[[#This Row],[TOTAL IN]]</f>
        <v>0</v>
      </c>
      <c r="J44" s="63">
        <f>IFERROR(LAPTOP_PRODUCTION[[#This Row],[COST /PCS]]*LAPTOP_PRODUCTION[[#This Row],[CURRENT STOCKS]], "")</f>
        <v>2500</v>
      </c>
      <c r="K44" s="62">
        <f>IFERROR(STOCKS_OFFICE_2[[#This Row],[COST /PCS]]*STOCKS_OFFICE_2[[#This Row],[BACKJOB]], "")</f>
        <v>0</v>
      </c>
    </row>
    <row r="45" spans="1:11" ht="15.75" hidden="1" customHeight="1" x14ac:dyDescent="0.25">
      <c r="A45" s="28"/>
      <c r="B45" s="55"/>
      <c r="C45" s="55"/>
      <c r="D45" s="32"/>
      <c r="E45" s="28"/>
      <c r="F45" s="32"/>
      <c r="G45" s="32"/>
      <c r="H45" s="61">
        <v>100</v>
      </c>
      <c r="I45" s="62">
        <f>STOCKS_OFFICE_2[[#This Row],[COST /PCS]]*STOCKS_OFFICE_2[[#This Row],[TOTAL IN]]</f>
        <v>0</v>
      </c>
      <c r="J45" s="63">
        <f>IFERROR(LAPTOP_PRODUCTION[[#This Row],[COST /PCS]]*LAPTOP_PRODUCTION[[#This Row],[CURRENT STOCKS]], "")</f>
        <v>15000</v>
      </c>
      <c r="K45" s="62">
        <f>IFERROR(STOCKS_OFFICE_2[[#This Row],[COST /PCS]]*STOCKS_OFFICE_2[[#This Row],[BACKJOB]], "")</f>
        <v>0</v>
      </c>
    </row>
    <row r="46" spans="1:11" ht="15.75" hidden="1" customHeight="1" x14ac:dyDescent="0.25">
      <c r="A46" s="28"/>
      <c r="B46" s="55"/>
      <c r="C46" s="55"/>
      <c r="D46" s="32"/>
      <c r="E46" s="28"/>
      <c r="F46" s="32"/>
      <c r="G46" s="32"/>
      <c r="H46" s="61">
        <v>100</v>
      </c>
      <c r="I46" s="62">
        <f>STOCKS_OFFICE_2[[#This Row],[COST /PCS]]*STOCKS_OFFICE_2[[#This Row],[TOTAL IN]]</f>
        <v>0</v>
      </c>
      <c r="J46" s="63">
        <f>IFERROR(LAPTOP_PRODUCTION[[#This Row],[COST /PCS]]*LAPTOP_PRODUCTION[[#This Row],[CURRENT STOCKS]], "")</f>
        <v>5000</v>
      </c>
      <c r="K46" s="62">
        <f>IFERROR(STOCKS_OFFICE_2[[#This Row],[COST /PCS]]*STOCKS_OFFICE_2[[#This Row],[BACKJOB]], "")</f>
        <v>0</v>
      </c>
    </row>
    <row r="47" spans="1:11" ht="15.75" customHeight="1" x14ac:dyDescent="0.25">
      <c r="A47" s="28"/>
      <c r="B47" s="55"/>
      <c r="C47" s="55"/>
      <c r="D47" s="32"/>
      <c r="E47" s="28"/>
      <c r="F47" s="32"/>
      <c r="G47" s="32"/>
      <c r="H47" s="61">
        <v>100</v>
      </c>
      <c r="I47" s="62">
        <f>STOCKS_OFFICE_2[[#This Row],[COST /PCS]]*STOCKS_OFFICE_2[[#This Row],[TOTAL IN]]</f>
        <v>4800</v>
      </c>
      <c r="J47" s="63">
        <f>IFERROR(LAPTOP_PRODUCTION[[#This Row],[COST /PCS]]*LAPTOP_PRODUCTION[[#This Row],[CURRENT STOCKS]], "")</f>
        <v>0</v>
      </c>
      <c r="K47" s="62">
        <f>IFERROR(STOCKS_OFFICE_2[[#This Row],[COST /PCS]]*STOCKS_OFFICE_2[[#This Row],[BACKJOB]], "")</f>
        <v>0</v>
      </c>
    </row>
    <row r="48" spans="1:11" ht="15.75" customHeight="1" x14ac:dyDescent="0.25">
      <c r="A48" s="28"/>
      <c r="B48" s="55"/>
      <c r="C48" s="55"/>
      <c r="D48" s="32"/>
      <c r="E48" s="28"/>
      <c r="F48" s="32"/>
      <c r="G48" s="32"/>
      <c r="H48" s="61">
        <v>100</v>
      </c>
      <c r="I48" s="62">
        <f>STOCKS_OFFICE_2[[#This Row],[COST /PCS]]*STOCKS_OFFICE_2[[#This Row],[TOTAL IN]]</f>
        <v>3100</v>
      </c>
      <c r="J48" s="63">
        <f>IFERROR(LAPTOP_PRODUCTION[[#This Row],[COST /PCS]]*LAPTOP_PRODUCTION[[#This Row],[CURRENT STOCKS]], "")</f>
        <v>5000</v>
      </c>
      <c r="K48" s="62">
        <f>IFERROR(STOCKS_OFFICE_2[[#This Row],[COST /PCS]]*STOCKS_OFFICE_2[[#This Row],[BACKJOB]], "")</f>
        <v>0</v>
      </c>
    </row>
    <row r="49" spans="1:11" ht="15.75" customHeight="1" x14ac:dyDescent="0.25">
      <c r="A49" s="28"/>
      <c r="B49" s="55"/>
      <c r="C49" s="55"/>
      <c r="D49" s="32"/>
      <c r="E49" s="28"/>
      <c r="F49" s="32"/>
      <c r="G49" s="32"/>
      <c r="H49" s="61">
        <v>100</v>
      </c>
      <c r="I49" s="62">
        <f>STOCKS_OFFICE_2[[#This Row],[COST /PCS]]*STOCKS_OFFICE_2[[#This Row],[TOTAL IN]]</f>
        <v>8400</v>
      </c>
      <c r="J49" s="63">
        <f>IFERROR(LAPTOP_PRODUCTION[[#This Row],[COST /PCS]]*LAPTOP_PRODUCTION[[#This Row],[CURRENT STOCKS]], "")</f>
        <v>0</v>
      </c>
      <c r="K49" s="62">
        <f>IFERROR(STOCKS_OFFICE_2[[#This Row],[COST /PCS]]*STOCKS_OFFICE_2[[#This Row],[BACKJOB]], "")</f>
        <v>0</v>
      </c>
    </row>
    <row r="50" spans="1:11" ht="15.75" customHeight="1" x14ac:dyDescent="0.25">
      <c r="A50" s="28"/>
      <c r="B50" s="55"/>
      <c r="C50" s="55"/>
      <c r="D50" s="32"/>
      <c r="E50" s="28"/>
      <c r="F50" s="32"/>
      <c r="G50" s="32"/>
      <c r="H50" s="61">
        <v>100</v>
      </c>
      <c r="I50" s="62">
        <f>STOCKS_OFFICE_2[[#This Row],[COST /PCS]]*STOCKS_OFFICE_2[[#This Row],[TOTAL IN]]</f>
        <v>800</v>
      </c>
      <c r="J50" s="63">
        <f>IFERROR(LAPTOP_PRODUCTION[[#This Row],[COST /PCS]]*LAPTOP_PRODUCTION[[#This Row],[CURRENT STOCKS]], "")</f>
        <v>52500</v>
      </c>
      <c r="K50" s="62">
        <f>IFERROR(STOCKS_OFFICE_2[[#This Row],[COST /PCS]]*STOCKS_OFFICE_2[[#This Row],[BACKJOB]], "")</f>
        <v>0</v>
      </c>
    </row>
    <row r="51" spans="1:11" ht="15.75" customHeight="1" x14ac:dyDescent="0.25">
      <c r="A51" s="28"/>
      <c r="B51" s="55"/>
      <c r="C51" s="55"/>
      <c r="D51" s="32"/>
      <c r="E51" s="28"/>
      <c r="F51" s="32"/>
      <c r="G51" s="32"/>
      <c r="H51" s="61">
        <v>100</v>
      </c>
      <c r="I51" s="62">
        <f>STOCKS_OFFICE_2[[#This Row],[COST /PCS]]*STOCKS_OFFICE_2[[#This Row],[TOTAL IN]]</f>
        <v>300</v>
      </c>
      <c r="J51" s="63">
        <f>IFERROR(LAPTOP_PRODUCTION[[#This Row],[COST /PCS]]*LAPTOP_PRODUCTION[[#This Row],[CURRENT STOCKS]], "")</f>
        <v>40000</v>
      </c>
      <c r="K51" s="62">
        <f>IFERROR(STOCKS_OFFICE_2[[#This Row],[COST /PCS]]*STOCKS_OFFICE_2[[#This Row],[BACKJOB]], "")</f>
        <v>0</v>
      </c>
    </row>
    <row r="52" spans="1:11" ht="15.75" customHeight="1" x14ac:dyDescent="0.25">
      <c r="A52" s="28"/>
      <c r="B52" s="55"/>
      <c r="C52" s="55"/>
      <c r="D52" s="32"/>
      <c r="E52" s="28"/>
      <c r="F52" s="32"/>
      <c r="G52" s="32"/>
      <c r="H52" s="61">
        <v>100</v>
      </c>
      <c r="I52" s="62">
        <f>STOCKS_OFFICE_2[[#This Row],[COST /PCS]]*STOCKS_OFFICE_2[[#This Row],[TOTAL IN]]</f>
        <v>1300</v>
      </c>
      <c r="J52" s="63">
        <f>IFERROR(LAPTOP_PRODUCTION[[#This Row],[COST /PCS]]*LAPTOP_PRODUCTION[[#This Row],[CURRENT STOCKS]], "")</f>
        <v>5000</v>
      </c>
      <c r="K52" s="62">
        <f>IFERROR(STOCKS_OFFICE_2[[#This Row],[COST /PCS]]*STOCKS_OFFICE_2[[#This Row],[BACKJOB]], "")</f>
        <v>0</v>
      </c>
    </row>
    <row r="53" spans="1:11" ht="15.75" customHeight="1" x14ac:dyDescent="0.25">
      <c r="A53" s="28"/>
      <c r="B53" s="55"/>
      <c r="C53" s="55"/>
      <c r="D53" s="32"/>
      <c r="E53" s="28"/>
      <c r="F53" s="32"/>
      <c r="G53" s="32"/>
      <c r="H53" s="61">
        <v>100</v>
      </c>
      <c r="I53" s="62">
        <f>STOCKS_OFFICE_2[[#This Row],[COST /PCS]]*STOCKS_OFFICE_2[[#This Row],[TOTAL IN]]</f>
        <v>300</v>
      </c>
      <c r="J53" s="63">
        <f>IFERROR(LAPTOP_PRODUCTION[[#This Row],[COST /PCS]]*LAPTOP_PRODUCTION[[#This Row],[CURRENT STOCKS]], "")</f>
        <v>0</v>
      </c>
      <c r="K53" s="62">
        <f>IFERROR(STOCKS_OFFICE_2[[#This Row],[COST /PCS]]*STOCKS_OFFICE_2[[#This Row],[BACKJOB]], "")</f>
        <v>0</v>
      </c>
    </row>
    <row r="54" spans="1:11" ht="15.75" hidden="1" customHeight="1" x14ac:dyDescent="0.25">
      <c r="A54" s="28"/>
      <c r="B54" s="55"/>
      <c r="C54" s="55"/>
      <c r="D54" s="32"/>
      <c r="E54" s="28"/>
      <c r="F54" s="32"/>
      <c r="G54" s="32"/>
      <c r="H54" s="61">
        <v>100</v>
      </c>
      <c r="I54" s="62">
        <f>STOCKS_OFFICE_2[[#This Row],[COST /PCS]]*STOCKS_OFFICE_2[[#This Row],[TOTAL IN]]</f>
        <v>0</v>
      </c>
      <c r="J54" s="63" t="str">
        <f>IFERROR(LAPTOP_PRODUCTION[[#This Row],[COST /PCS]]*LAPTOP_PRODUCTION[[#This Row],[CURRENT STOCKS]], "")</f>
        <v/>
      </c>
      <c r="K54" s="62">
        <f>IFERROR(STOCKS_OFFICE_2[[#This Row],[COST /PCS]]*STOCKS_OFFICE_2[[#This Row],[BACKJOB]], "")</f>
        <v>0</v>
      </c>
    </row>
    <row r="55" spans="1:11" ht="15.75" customHeight="1" x14ac:dyDescent="0.25">
      <c r="A55" s="28"/>
      <c r="B55" s="55"/>
      <c r="C55" s="55"/>
      <c r="D55" s="32"/>
      <c r="E55" s="28"/>
      <c r="F55" s="32"/>
      <c r="G55" s="32"/>
      <c r="H55" s="61">
        <v>100</v>
      </c>
      <c r="I55" s="62">
        <f>STOCKS_OFFICE_2[[#This Row],[COST /PCS]]*STOCKS_OFFICE_2[[#This Row],[TOTAL IN]]</f>
        <v>2200</v>
      </c>
      <c r="J55" s="63" t="str">
        <f>IFERROR(LAPTOP_PRODUCTION[[#This Row],[COST /PCS]]*LAPTOP_PRODUCTION[[#This Row],[CURRENT STOCKS]], "")</f>
        <v/>
      </c>
      <c r="K55" s="62">
        <f>IFERROR(STOCKS_OFFICE_2[[#This Row],[COST /PCS]]*STOCKS_OFFICE_2[[#This Row],[BACKJOB]], "")</f>
        <v>0</v>
      </c>
    </row>
    <row r="56" spans="1:11" ht="15.75" hidden="1" customHeight="1" x14ac:dyDescent="0.25">
      <c r="A56" s="28"/>
      <c r="B56" s="55"/>
      <c r="C56" s="55"/>
      <c r="D56" s="32"/>
      <c r="E56" s="28"/>
      <c r="F56" s="32"/>
      <c r="G56" s="32"/>
      <c r="H56" s="61">
        <v>100</v>
      </c>
      <c r="I56" s="62">
        <f>STOCKS_OFFICE_2[[#This Row],[COST /PCS]]*STOCKS_OFFICE_2[[#This Row],[TOTAL IN]]</f>
        <v>0</v>
      </c>
      <c r="J56" s="63" t="str">
        <f>IFERROR(LAPTOP_PRODUCTION[[#This Row],[COST /PCS]]*LAPTOP_PRODUCTION[[#This Row],[CURRENT STOCKS]], "")</f>
        <v/>
      </c>
      <c r="K56" s="62">
        <f>IFERROR(STOCKS_OFFICE_2[[#This Row],[COST /PCS]]*STOCKS_OFFICE_2[[#This Row],[BACKJOB]], "")</f>
        <v>0</v>
      </c>
    </row>
    <row r="57" spans="1:11" ht="15.75" hidden="1" customHeight="1" x14ac:dyDescent="0.25">
      <c r="A57" s="28"/>
      <c r="B57" s="55"/>
      <c r="C57" s="55"/>
      <c r="D57" s="32"/>
      <c r="E57" s="28"/>
      <c r="F57" s="32"/>
      <c r="G57" s="32"/>
      <c r="H57" s="61">
        <v>100</v>
      </c>
      <c r="I57" s="62">
        <f>STOCKS_OFFICE_2[[#This Row],[COST /PCS]]*STOCKS_OFFICE_2[[#This Row],[TOTAL IN]]</f>
        <v>0</v>
      </c>
      <c r="J57" s="63" t="str">
        <f>IFERROR(LAPTOP_PRODUCTION[[#This Row],[COST /PCS]]*LAPTOP_PRODUCTION[[#This Row],[CURRENT STOCKS]], "")</f>
        <v/>
      </c>
      <c r="K57" s="62">
        <f>IFERROR(STOCKS_OFFICE_2[[#This Row],[COST /PCS]]*STOCKS_OFFICE_2[[#This Row],[BACKJOB]], "")</f>
        <v>0</v>
      </c>
    </row>
    <row r="58" spans="1:11" ht="15.75" customHeight="1" x14ac:dyDescent="0.2">
      <c r="B58" s="55" t="str">
        <f>_xlfn.CONCAT("COUNT: ", SUBTOTAL(103,STOCKS_OFFICE_2[NAME]))</f>
        <v>COUNT: 29</v>
      </c>
      <c r="C58" s="55"/>
      <c r="D58" s="32">
        <f>SUBTOTAL(109,STOCKS_OFFICE_2[TOTAL IN])</f>
        <v>2979</v>
      </c>
      <c r="E58" s="29">
        <f>SUBTOTAL(109,STOCKS_OFFICE_2[TOTAL OUT])</f>
        <v>528</v>
      </c>
      <c r="F58" s="32">
        <f>SUBTOTAL(109,STOCKS_OFFICE_2[CURRENT STOCKS])</f>
        <v>2451</v>
      </c>
      <c r="G58" s="32">
        <f>SUBTOTAL(109,STOCKS_OFFICE_2[BACKJOB])</f>
        <v>0</v>
      </c>
      <c r="H58" s="62">
        <f>SUBTOTAL(101,STOCKS_OFFICE_2[COST /PCS])</f>
        <v>100</v>
      </c>
      <c r="I58" s="62">
        <f>SUBTOTAL(109,STOCKS_OFFICE_2[TOTAL IN COST])</f>
        <v>297900</v>
      </c>
      <c r="J58" s="62">
        <f>SUBTOTAL(109,STOCKS_OFFICE_2[CURRENT STOCK COST])</f>
        <v>2082500</v>
      </c>
      <c r="K58" s="62">
        <f>SUM(STOCKS_OFFICE_2[BACKJOB COST])</f>
        <v>0</v>
      </c>
    </row>
    <row r="59" spans="1:11" ht="15.75" customHeight="1" x14ac:dyDescent="0.25">
      <c r="D59" s="64">
        <f>SUM(STOCKS_OFFICE_2[TOTAL IN])</f>
        <v>2979</v>
      </c>
      <c r="E59" s="64">
        <f>SUM(STOCKS_OFFICE_2[TOTAL OUT])</f>
        <v>528</v>
      </c>
      <c r="F59" s="64">
        <f>SUM(STOCKS_OFFICE_2[CURRENT STOCKS])</f>
        <v>2451</v>
      </c>
      <c r="G59" s="64" t="str">
        <f>IFERROR(AVERAGE(STOCKS_OFFICE_2[BACKJOB]),"")</f>
        <v/>
      </c>
      <c r="H59" s="31">
        <f>SUM(STOCKS_OFFICE_2[COST /PCS])</f>
        <v>5600</v>
      </c>
      <c r="I59" s="31">
        <f>SUM(STOCKS_OFFICE_2[TOTAL IN COST])</f>
        <v>297900</v>
      </c>
      <c r="J59" s="31">
        <f>SUM(STOCKS_OFFICE_2[CURRENT STOCK COST])</f>
        <v>2897500</v>
      </c>
      <c r="K59" s="31">
        <f>SUM(STOCKS_OFFICE_2[BACKJOB COST])</f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75AB9-A9A8-4880-90A6-546E78806923}">
  <dimension ref="A1:T4"/>
  <sheetViews>
    <sheetView tabSelected="1" topLeftCell="B1" zoomScale="115" zoomScaleNormal="115" workbookViewId="0">
      <selection activeCell="F31" sqref="F31"/>
    </sheetView>
  </sheetViews>
  <sheetFormatPr defaultRowHeight="14.25" x14ac:dyDescent="0.2"/>
  <cols>
    <col min="1" max="1" width="10.5703125" style="58" bestFit="1" customWidth="1"/>
    <col min="2" max="2" width="23" style="28" bestFit="1" customWidth="1"/>
    <col min="3" max="3" width="12.5703125" style="28" bestFit="1" customWidth="1"/>
    <col min="4" max="4" width="22" style="30" bestFit="1" customWidth="1"/>
    <col min="5" max="5" width="18.7109375" style="30" bestFit="1" customWidth="1"/>
    <col min="6" max="6" width="23.42578125" style="30" bestFit="1" customWidth="1"/>
    <col min="7" max="7" width="16.85546875" style="30" bestFit="1" customWidth="1"/>
    <col min="8" max="8" width="10.7109375" style="30" bestFit="1" customWidth="1"/>
    <col min="9" max="9" width="19" style="30" bestFit="1" customWidth="1"/>
    <col min="10" max="10" width="22.140625" style="30" bestFit="1" customWidth="1"/>
    <col min="11" max="11" width="14.7109375" style="28" bestFit="1" customWidth="1"/>
    <col min="12" max="12" width="20" style="28" bestFit="1" customWidth="1"/>
    <col min="13" max="13" width="13.28515625" style="28" bestFit="1" customWidth="1"/>
    <col min="14" max="14" width="11.7109375" style="28" bestFit="1" customWidth="1"/>
    <col min="15" max="15" width="13.7109375" style="28" bestFit="1" customWidth="1"/>
    <col min="16" max="16" width="16.85546875" style="28" bestFit="1" customWidth="1"/>
    <col min="17" max="19" width="13.7109375" style="28" bestFit="1" customWidth="1"/>
    <col min="20" max="20" width="12.28515625" style="28" bestFit="1" customWidth="1"/>
    <col min="21" max="16384" width="9.140625" style="28"/>
  </cols>
  <sheetData>
    <row r="1" spans="1:20" s="56" customFormat="1" x14ac:dyDescent="0.2">
      <c r="A1" s="59"/>
      <c r="B1" s="56"/>
      <c r="C1" s="56"/>
      <c r="D1" s="60"/>
      <c r="E1" s="60"/>
      <c r="F1" s="60"/>
      <c r="G1" s="56"/>
      <c r="H1" s="60"/>
      <c r="I1" s="60"/>
      <c r="J1" s="60"/>
      <c r="K1" s="60"/>
      <c r="L1" s="60"/>
      <c r="M1" s="56"/>
      <c r="N1" s="56"/>
      <c r="O1" s="56"/>
      <c r="P1" s="56"/>
      <c r="Q1" s="56"/>
      <c r="R1" s="56"/>
      <c r="S1" s="56"/>
      <c r="T1" s="56"/>
    </row>
    <row r="2" spans="1:20" x14ac:dyDescent="0.2">
      <c r="A2" s="58"/>
      <c r="B2" s="28"/>
      <c r="C2" s="28"/>
      <c r="D2" s="30"/>
      <c r="E2" s="30"/>
      <c r="F2" s="30"/>
      <c r="G2" s="28"/>
      <c r="K2" s="30"/>
      <c r="L2" s="30"/>
      <c r="Q2" s="28"/>
      <c r="T2" s="28"/>
    </row>
    <row r="3" spans="1:20" x14ac:dyDescent="0.2">
      <c r="A3" s="58"/>
      <c r="B3" s="28"/>
      <c r="C3" s="28"/>
      <c r="D3" s="30"/>
      <c r="F3" s="30"/>
      <c r="G3" s="28"/>
      <c r="J3" s="30"/>
      <c r="K3" s="30"/>
      <c r="L3" s="30"/>
      <c r="P3" s="28"/>
      <c r="T3" s="28"/>
    </row>
    <row r="4" spans="1:20" x14ac:dyDescent="0.2">
      <c r="A4" s="58"/>
      <c r="B4" s="28"/>
      <c r="C4" s="28"/>
      <c r="D4" s="30"/>
      <c r="G4" s="28"/>
      <c r="K4" s="30"/>
      <c r="L4" s="30"/>
      <c r="P4" s="28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948B5-2310-44E7-985F-58F3FBCB4C06}">
  <dimension ref="A1:I397"/>
  <sheetViews>
    <sheetView workbookViewId="0">
      <selection activeCell="H12" sqref="H12"/>
    </sheetView>
  </sheetViews>
  <sheetFormatPr defaultRowHeight="15" x14ac:dyDescent="0.25"/>
  <cols>
    <col min="1" max="1" width="7.85546875" bestFit="1" customWidth="1"/>
    <col min="2" max="2" width="11" customWidth="1"/>
    <col min="3" max="3" width="8.85546875" customWidth="1"/>
    <col min="4" max="9" width="16" customWidth="1"/>
  </cols>
  <sheetData>
    <row r="1" spans="1:9" x14ac:dyDescent="0.25">
      <c r="A1" t="s">
        <v>98</v>
      </c>
      <c r="B1" t="s">
        <v>97</v>
      </c>
      <c r="C1" t="s">
        <v>103</v>
      </c>
      <c r="D1" t="s">
        <v>99</v>
      </c>
      <c r="E1" t="s">
        <v>100</v>
      </c>
      <c r="F1" t="s">
        <v>75</v>
      </c>
      <c r="G1" t="s">
        <v>101</v>
      </c>
      <c r="H1" t="s">
        <v>102</v>
      </c>
      <c r="I1" t="s">
        <v>74</v>
      </c>
    </row>
    <row r="2" spans="1:9" x14ac:dyDescent="0.25">
      <c r="A2">
        <v>2025</v>
      </c>
      <c r="B2" t="s">
        <v>104</v>
      </c>
      <c r="C2">
        <v>1</v>
      </c>
    </row>
    <row r="3" spans="1:9" x14ac:dyDescent="0.25">
      <c r="A3">
        <v>2025</v>
      </c>
      <c r="B3" t="s">
        <v>104</v>
      </c>
      <c r="C3">
        <v>2</v>
      </c>
    </row>
    <row r="4" spans="1:9" x14ac:dyDescent="0.25">
      <c r="A4">
        <v>2025</v>
      </c>
      <c r="B4" t="s">
        <v>104</v>
      </c>
      <c r="C4">
        <v>3</v>
      </c>
    </row>
    <row r="5" spans="1:9" x14ac:dyDescent="0.25">
      <c r="A5">
        <v>2025</v>
      </c>
      <c r="B5" t="s">
        <v>104</v>
      </c>
      <c r="C5">
        <v>4</v>
      </c>
    </row>
    <row r="6" spans="1:9" x14ac:dyDescent="0.25">
      <c r="A6">
        <v>2025</v>
      </c>
      <c r="B6" t="s">
        <v>104</v>
      </c>
      <c r="C6">
        <v>5</v>
      </c>
    </row>
    <row r="7" spans="1:9" x14ac:dyDescent="0.25">
      <c r="A7">
        <v>2025</v>
      </c>
      <c r="B7" t="s">
        <v>104</v>
      </c>
      <c r="C7">
        <v>6</v>
      </c>
    </row>
    <row r="8" spans="1:9" x14ac:dyDescent="0.25">
      <c r="A8">
        <v>2025</v>
      </c>
      <c r="B8" t="s">
        <v>104</v>
      </c>
      <c r="C8">
        <v>7</v>
      </c>
    </row>
    <row r="9" spans="1:9" x14ac:dyDescent="0.25">
      <c r="A9">
        <v>2025</v>
      </c>
      <c r="B9" t="s">
        <v>104</v>
      </c>
      <c r="C9">
        <v>8</v>
      </c>
    </row>
    <row r="10" spans="1:9" x14ac:dyDescent="0.25">
      <c r="A10">
        <v>2025</v>
      </c>
      <c r="B10" t="s">
        <v>104</v>
      </c>
      <c r="C10">
        <v>9</v>
      </c>
    </row>
    <row r="11" spans="1:9" x14ac:dyDescent="0.25">
      <c r="A11">
        <v>2025</v>
      </c>
      <c r="B11" t="s">
        <v>104</v>
      </c>
      <c r="C11">
        <v>10</v>
      </c>
    </row>
    <row r="12" spans="1:9" x14ac:dyDescent="0.25">
      <c r="A12">
        <v>2025</v>
      </c>
      <c r="B12" t="s">
        <v>104</v>
      </c>
      <c r="C12">
        <v>11</v>
      </c>
    </row>
    <row r="13" spans="1:9" x14ac:dyDescent="0.25">
      <c r="A13">
        <v>2025</v>
      </c>
      <c r="B13" t="s">
        <v>104</v>
      </c>
      <c r="C13">
        <v>12</v>
      </c>
    </row>
    <row r="14" spans="1:9" x14ac:dyDescent="0.25">
      <c r="A14">
        <v>2025</v>
      </c>
      <c r="B14" t="s">
        <v>104</v>
      </c>
      <c r="C14">
        <v>13</v>
      </c>
    </row>
    <row r="15" spans="1:9" x14ac:dyDescent="0.25">
      <c r="A15">
        <v>2025</v>
      </c>
      <c r="B15" t="s">
        <v>104</v>
      </c>
      <c r="C15">
        <v>14</v>
      </c>
    </row>
    <row r="16" spans="1:9" x14ac:dyDescent="0.25">
      <c r="A16">
        <v>2025</v>
      </c>
      <c r="B16" t="s">
        <v>104</v>
      </c>
      <c r="C16">
        <v>15</v>
      </c>
    </row>
    <row r="17" spans="1:3" x14ac:dyDescent="0.25">
      <c r="A17">
        <v>2025</v>
      </c>
      <c r="B17" t="s">
        <v>104</v>
      </c>
      <c r="C17">
        <v>16</v>
      </c>
    </row>
    <row r="18" spans="1:3" x14ac:dyDescent="0.25">
      <c r="A18">
        <v>2025</v>
      </c>
      <c r="B18" t="s">
        <v>104</v>
      </c>
      <c r="C18">
        <v>17</v>
      </c>
    </row>
    <row r="19" spans="1:3" x14ac:dyDescent="0.25">
      <c r="A19">
        <v>2025</v>
      </c>
      <c r="B19" t="s">
        <v>104</v>
      </c>
      <c r="C19">
        <v>18</v>
      </c>
    </row>
    <row r="20" spans="1:3" x14ac:dyDescent="0.25">
      <c r="A20">
        <v>2025</v>
      </c>
      <c r="B20" t="s">
        <v>104</v>
      </c>
      <c r="C20">
        <v>19</v>
      </c>
    </row>
    <row r="21" spans="1:3" x14ac:dyDescent="0.25">
      <c r="A21">
        <v>2025</v>
      </c>
      <c r="B21" t="s">
        <v>104</v>
      </c>
      <c r="C21">
        <v>20</v>
      </c>
    </row>
    <row r="22" spans="1:3" x14ac:dyDescent="0.25">
      <c r="A22">
        <v>2025</v>
      </c>
      <c r="B22" t="s">
        <v>104</v>
      </c>
      <c r="C22">
        <v>21</v>
      </c>
    </row>
    <row r="23" spans="1:3" x14ac:dyDescent="0.25">
      <c r="A23">
        <v>2025</v>
      </c>
      <c r="B23" t="s">
        <v>104</v>
      </c>
      <c r="C23">
        <v>22</v>
      </c>
    </row>
    <row r="24" spans="1:3" x14ac:dyDescent="0.25">
      <c r="A24">
        <v>2025</v>
      </c>
      <c r="B24" t="s">
        <v>104</v>
      </c>
      <c r="C24">
        <v>23</v>
      </c>
    </row>
    <row r="25" spans="1:3" x14ac:dyDescent="0.25">
      <c r="A25">
        <v>2025</v>
      </c>
      <c r="B25" t="s">
        <v>104</v>
      </c>
      <c r="C25">
        <v>24</v>
      </c>
    </row>
    <row r="26" spans="1:3" x14ac:dyDescent="0.25">
      <c r="A26">
        <v>2025</v>
      </c>
      <c r="B26" t="s">
        <v>104</v>
      </c>
      <c r="C26">
        <v>25</v>
      </c>
    </row>
    <row r="27" spans="1:3" x14ac:dyDescent="0.25">
      <c r="A27">
        <v>2025</v>
      </c>
      <c r="B27" t="s">
        <v>104</v>
      </c>
      <c r="C27">
        <v>26</v>
      </c>
    </row>
    <row r="28" spans="1:3" x14ac:dyDescent="0.25">
      <c r="A28">
        <v>2025</v>
      </c>
      <c r="B28" t="s">
        <v>104</v>
      </c>
      <c r="C28">
        <v>27</v>
      </c>
    </row>
    <row r="29" spans="1:3" x14ac:dyDescent="0.25">
      <c r="A29">
        <v>2025</v>
      </c>
      <c r="B29" t="s">
        <v>104</v>
      </c>
      <c r="C29">
        <v>28</v>
      </c>
    </row>
    <row r="30" spans="1:3" x14ac:dyDescent="0.25">
      <c r="A30">
        <v>2025</v>
      </c>
      <c r="B30" t="s">
        <v>104</v>
      </c>
      <c r="C30">
        <v>29</v>
      </c>
    </row>
    <row r="31" spans="1:3" x14ac:dyDescent="0.25">
      <c r="A31">
        <v>2025</v>
      </c>
      <c r="B31" t="s">
        <v>104</v>
      </c>
      <c r="C31">
        <v>30</v>
      </c>
    </row>
    <row r="32" spans="1:3" x14ac:dyDescent="0.25">
      <c r="A32">
        <v>2025</v>
      </c>
      <c r="B32" t="s">
        <v>104</v>
      </c>
      <c r="C32">
        <v>31</v>
      </c>
    </row>
    <row r="33" spans="1:3" x14ac:dyDescent="0.25">
      <c r="A33">
        <v>2025</v>
      </c>
      <c r="B33" t="s">
        <v>105</v>
      </c>
      <c r="C33">
        <v>1</v>
      </c>
    </row>
    <row r="34" spans="1:3" x14ac:dyDescent="0.25">
      <c r="A34">
        <v>2025</v>
      </c>
      <c r="B34" t="s">
        <v>105</v>
      </c>
      <c r="C34">
        <v>2</v>
      </c>
    </row>
    <row r="35" spans="1:3" x14ac:dyDescent="0.25">
      <c r="A35">
        <v>2025</v>
      </c>
      <c r="B35" t="s">
        <v>105</v>
      </c>
      <c r="C35">
        <v>3</v>
      </c>
    </row>
    <row r="36" spans="1:3" x14ac:dyDescent="0.25">
      <c r="A36">
        <v>2025</v>
      </c>
      <c r="B36" t="s">
        <v>105</v>
      </c>
      <c r="C36">
        <v>4</v>
      </c>
    </row>
    <row r="37" spans="1:3" x14ac:dyDescent="0.25">
      <c r="A37">
        <v>2025</v>
      </c>
      <c r="B37" t="s">
        <v>105</v>
      </c>
      <c r="C37">
        <v>5</v>
      </c>
    </row>
    <row r="38" spans="1:3" x14ac:dyDescent="0.25">
      <c r="A38">
        <v>2025</v>
      </c>
      <c r="B38" t="s">
        <v>105</v>
      </c>
      <c r="C38">
        <v>6</v>
      </c>
    </row>
    <row r="39" spans="1:3" x14ac:dyDescent="0.25">
      <c r="A39">
        <v>2025</v>
      </c>
      <c r="B39" t="s">
        <v>105</v>
      </c>
      <c r="C39">
        <v>7</v>
      </c>
    </row>
    <row r="40" spans="1:3" x14ac:dyDescent="0.25">
      <c r="A40">
        <v>2025</v>
      </c>
      <c r="B40" t="s">
        <v>105</v>
      </c>
      <c r="C40">
        <v>8</v>
      </c>
    </row>
    <row r="41" spans="1:3" x14ac:dyDescent="0.25">
      <c r="A41">
        <v>2025</v>
      </c>
      <c r="B41" t="s">
        <v>105</v>
      </c>
      <c r="C41">
        <v>9</v>
      </c>
    </row>
    <row r="42" spans="1:3" x14ac:dyDescent="0.25">
      <c r="A42">
        <v>2025</v>
      </c>
      <c r="B42" t="s">
        <v>105</v>
      </c>
      <c r="C42">
        <v>10</v>
      </c>
    </row>
    <row r="43" spans="1:3" x14ac:dyDescent="0.25">
      <c r="A43">
        <v>2025</v>
      </c>
      <c r="B43" t="s">
        <v>105</v>
      </c>
      <c r="C43">
        <v>11</v>
      </c>
    </row>
    <row r="44" spans="1:3" x14ac:dyDescent="0.25">
      <c r="A44">
        <v>2025</v>
      </c>
      <c r="B44" t="s">
        <v>105</v>
      </c>
      <c r="C44">
        <v>12</v>
      </c>
    </row>
    <row r="45" spans="1:3" x14ac:dyDescent="0.25">
      <c r="A45">
        <v>2025</v>
      </c>
      <c r="B45" t="s">
        <v>105</v>
      </c>
      <c r="C45">
        <v>13</v>
      </c>
    </row>
    <row r="46" spans="1:3" x14ac:dyDescent="0.25">
      <c r="A46">
        <v>2025</v>
      </c>
      <c r="B46" t="s">
        <v>105</v>
      </c>
      <c r="C46">
        <v>14</v>
      </c>
    </row>
    <row r="47" spans="1:3" x14ac:dyDescent="0.25">
      <c r="A47">
        <v>2025</v>
      </c>
      <c r="B47" t="s">
        <v>105</v>
      </c>
      <c r="C47">
        <v>15</v>
      </c>
    </row>
    <row r="48" spans="1:3" x14ac:dyDescent="0.25">
      <c r="A48">
        <v>2025</v>
      </c>
      <c r="B48" t="s">
        <v>105</v>
      </c>
      <c r="C48">
        <v>16</v>
      </c>
    </row>
    <row r="49" spans="1:3" x14ac:dyDescent="0.25">
      <c r="A49">
        <v>2025</v>
      </c>
      <c r="B49" t="s">
        <v>105</v>
      </c>
      <c r="C49">
        <v>17</v>
      </c>
    </row>
    <row r="50" spans="1:3" x14ac:dyDescent="0.25">
      <c r="A50">
        <v>2025</v>
      </c>
      <c r="B50" t="s">
        <v>105</v>
      </c>
      <c r="C50">
        <v>18</v>
      </c>
    </row>
    <row r="51" spans="1:3" x14ac:dyDescent="0.25">
      <c r="A51">
        <v>2025</v>
      </c>
      <c r="B51" t="s">
        <v>105</v>
      </c>
      <c r="C51">
        <v>19</v>
      </c>
    </row>
    <row r="52" spans="1:3" x14ac:dyDescent="0.25">
      <c r="A52">
        <v>2025</v>
      </c>
      <c r="B52" t="s">
        <v>105</v>
      </c>
      <c r="C52">
        <v>20</v>
      </c>
    </row>
    <row r="53" spans="1:3" x14ac:dyDescent="0.25">
      <c r="A53">
        <v>2025</v>
      </c>
      <c r="B53" t="s">
        <v>105</v>
      </c>
      <c r="C53">
        <v>21</v>
      </c>
    </row>
    <row r="54" spans="1:3" x14ac:dyDescent="0.25">
      <c r="A54">
        <v>2025</v>
      </c>
      <c r="B54" t="s">
        <v>105</v>
      </c>
      <c r="C54">
        <v>22</v>
      </c>
    </row>
    <row r="55" spans="1:3" x14ac:dyDescent="0.25">
      <c r="A55">
        <v>2025</v>
      </c>
      <c r="B55" t="s">
        <v>105</v>
      </c>
      <c r="C55">
        <v>23</v>
      </c>
    </row>
    <row r="56" spans="1:3" x14ac:dyDescent="0.25">
      <c r="A56">
        <v>2025</v>
      </c>
      <c r="B56" t="s">
        <v>105</v>
      </c>
      <c r="C56">
        <v>24</v>
      </c>
    </row>
    <row r="57" spans="1:3" x14ac:dyDescent="0.25">
      <c r="A57">
        <v>2025</v>
      </c>
      <c r="B57" t="s">
        <v>105</v>
      </c>
      <c r="C57">
        <v>25</v>
      </c>
    </row>
    <row r="58" spans="1:3" x14ac:dyDescent="0.25">
      <c r="A58">
        <v>2025</v>
      </c>
      <c r="B58" t="s">
        <v>105</v>
      </c>
      <c r="C58">
        <v>26</v>
      </c>
    </row>
    <row r="59" spans="1:3" x14ac:dyDescent="0.25">
      <c r="A59">
        <v>2025</v>
      </c>
      <c r="B59" t="s">
        <v>105</v>
      </c>
      <c r="C59">
        <v>27</v>
      </c>
    </row>
    <row r="60" spans="1:3" x14ac:dyDescent="0.25">
      <c r="A60">
        <v>2025</v>
      </c>
      <c r="B60" t="s">
        <v>105</v>
      </c>
      <c r="C60">
        <v>28</v>
      </c>
    </row>
    <row r="61" spans="1:3" x14ac:dyDescent="0.25">
      <c r="A61">
        <v>2025</v>
      </c>
      <c r="B61" t="s">
        <v>106</v>
      </c>
      <c r="C61">
        <v>1</v>
      </c>
    </row>
    <row r="62" spans="1:3" x14ac:dyDescent="0.25">
      <c r="A62">
        <v>2025</v>
      </c>
      <c r="B62" t="s">
        <v>106</v>
      </c>
      <c r="C62">
        <v>2</v>
      </c>
    </row>
    <row r="63" spans="1:3" x14ac:dyDescent="0.25">
      <c r="A63">
        <v>2025</v>
      </c>
      <c r="B63" t="s">
        <v>106</v>
      </c>
      <c r="C63">
        <v>3</v>
      </c>
    </row>
    <row r="64" spans="1:3" x14ac:dyDescent="0.25">
      <c r="A64">
        <v>2025</v>
      </c>
      <c r="B64" t="s">
        <v>106</v>
      </c>
      <c r="C64">
        <v>4</v>
      </c>
    </row>
    <row r="65" spans="1:3" x14ac:dyDescent="0.25">
      <c r="A65">
        <v>2025</v>
      </c>
      <c r="B65" t="s">
        <v>106</v>
      </c>
      <c r="C65">
        <v>5</v>
      </c>
    </row>
    <row r="66" spans="1:3" x14ac:dyDescent="0.25">
      <c r="A66">
        <v>2025</v>
      </c>
      <c r="B66" t="s">
        <v>106</v>
      </c>
      <c r="C66">
        <v>6</v>
      </c>
    </row>
    <row r="67" spans="1:3" x14ac:dyDescent="0.25">
      <c r="A67">
        <v>2025</v>
      </c>
      <c r="B67" t="s">
        <v>106</v>
      </c>
      <c r="C67">
        <v>7</v>
      </c>
    </row>
    <row r="68" spans="1:3" x14ac:dyDescent="0.25">
      <c r="A68">
        <v>2025</v>
      </c>
      <c r="B68" t="s">
        <v>106</v>
      </c>
      <c r="C68">
        <v>8</v>
      </c>
    </row>
    <row r="69" spans="1:3" x14ac:dyDescent="0.25">
      <c r="A69">
        <v>2025</v>
      </c>
      <c r="B69" t="s">
        <v>106</v>
      </c>
      <c r="C69">
        <v>9</v>
      </c>
    </row>
    <row r="70" spans="1:3" x14ac:dyDescent="0.25">
      <c r="A70">
        <v>2025</v>
      </c>
      <c r="B70" t="s">
        <v>106</v>
      </c>
      <c r="C70">
        <v>10</v>
      </c>
    </row>
    <row r="71" spans="1:3" x14ac:dyDescent="0.25">
      <c r="A71">
        <v>2025</v>
      </c>
      <c r="B71" t="s">
        <v>106</v>
      </c>
      <c r="C71">
        <v>11</v>
      </c>
    </row>
    <row r="72" spans="1:3" x14ac:dyDescent="0.25">
      <c r="A72">
        <v>2025</v>
      </c>
      <c r="B72" t="s">
        <v>106</v>
      </c>
      <c r="C72">
        <v>12</v>
      </c>
    </row>
    <row r="73" spans="1:3" x14ac:dyDescent="0.25">
      <c r="A73">
        <v>2025</v>
      </c>
      <c r="B73" t="s">
        <v>106</v>
      </c>
      <c r="C73">
        <v>13</v>
      </c>
    </row>
    <row r="74" spans="1:3" x14ac:dyDescent="0.25">
      <c r="A74">
        <v>2025</v>
      </c>
      <c r="B74" t="s">
        <v>106</v>
      </c>
      <c r="C74">
        <v>14</v>
      </c>
    </row>
    <row r="75" spans="1:3" x14ac:dyDescent="0.25">
      <c r="A75">
        <v>2025</v>
      </c>
      <c r="B75" t="s">
        <v>106</v>
      </c>
      <c r="C75">
        <v>15</v>
      </c>
    </row>
    <row r="76" spans="1:3" x14ac:dyDescent="0.25">
      <c r="A76">
        <v>2025</v>
      </c>
      <c r="B76" t="s">
        <v>106</v>
      </c>
      <c r="C76">
        <v>16</v>
      </c>
    </row>
    <row r="77" spans="1:3" x14ac:dyDescent="0.25">
      <c r="A77">
        <v>2025</v>
      </c>
      <c r="B77" t="s">
        <v>106</v>
      </c>
      <c r="C77">
        <v>17</v>
      </c>
    </row>
    <row r="78" spans="1:3" x14ac:dyDescent="0.25">
      <c r="A78">
        <v>2025</v>
      </c>
      <c r="B78" t="s">
        <v>106</v>
      </c>
      <c r="C78">
        <v>18</v>
      </c>
    </row>
    <row r="79" spans="1:3" x14ac:dyDescent="0.25">
      <c r="A79">
        <v>2025</v>
      </c>
      <c r="B79" t="s">
        <v>106</v>
      </c>
      <c r="C79">
        <v>19</v>
      </c>
    </row>
    <row r="80" spans="1:3" x14ac:dyDescent="0.25">
      <c r="A80">
        <v>2025</v>
      </c>
      <c r="B80" t="s">
        <v>106</v>
      </c>
      <c r="C80">
        <v>20</v>
      </c>
    </row>
    <row r="81" spans="1:3" x14ac:dyDescent="0.25">
      <c r="A81">
        <v>2025</v>
      </c>
      <c r="B81" t="s">
        <v>106</v>
      </c>
      <c r="C81">
        <v>21</v>
      </c>
    </row>
    <row r="82" spans="1:3" x14ac:dyDescent="0.25">
      <c r="A82">
        <v>2025</v>
      </c>
      <c r="B82" t="s">
        <v>106</v>
      </c>
      <c r="C82">
        <v>22</v>
      </c>
    </row>
    <row r="83" spans="1:3" x14ac:dyDescent="0.25">
      <c r="A83">
        <v>2025</v>
      </c>
      <c r="B83" t="s">
        <v>106</v>
      </c>
      <c r="C83">
        <v>23</v>
      </c>
    </row>
    <row r="84" spans="1:3" x14ac:dyDescent="0.25">
      <c r="A84">
        <v>2025</v>
      </c>
      <c r="B84" t="s">
        <v>106</v>
      </c>
      <c r="C84">
        <v>24</v>
      </c>
    </row>
    <row r="85" spans="1:3" x14ac:dyDescent="0.25">
      <c r="A85">
        <v>2025</v>
      </c>
      <c r="B85" t="s">
        <v>106</v>
      </c>
      <c r="C85">
        <v>25</v>
      </c>
    </row>
    <row r="86" spans="1:3" x14ac:dyDescent="0.25">
      <c r="A86">
        <v>2025</v>
      </c>
      <c r="B86" t="s">
        <v>106</v>
      </c>
      <c r="C86">
        <v>26</v>
      </c>
    </row>
    <row r="87" spans="1:3" x14ac:dyDescent="0.25">
      <c r="A87">
        <v>2025</v>
      </c>
      <c r="B87" t="s">
        <v>106</v>
      </c>
      <c r="C87">
        <v>27</v>
      </c>
    </row>
    <row r="88" spans="1:3" x14ac:dyDescent="0.25">
      <c r="A88">
        <v>2025</v>
      </c>
      <c r="B88" t="s">
        <v>106</v>
      </c>
      <c r="C88">
        <v>28</v>
      </c>
    </row>
    <row r="89" spans="1:3" x14ac:dyDescent="0.25">
      <c r="A89">
        <v>2025</v>
      </c>
      <c r="B89" t="s">
        <v>106</v>
      </c>
      <c r="C89">
        <v>29</v>
      </c>
    </row>
    <row r="90" spans="1:3" x14ac:dyDescent="0.25">
      <c r="A90">
        <v>2025</v>
      </c>
      <c r="B90" t="s">
        <v>106</v>
      </c>
      <c r="C90">
        <v>30</v>
      </c>
    </row>
    <row r="91" spans="1:3" x14ac:dyDescent="0.25">
      <c r="A91">
        <v>2025</v>
      </c>
      <c r="B91" t="s">
        <v>106</v>
      </c>
      <c r="C91">
        <v>31</v>
      </c>
    </row>
    <row r="92" spans="1:3" x14ac:dyDescent="0.25">
      <c r="A92">
        <v>2025</v>
      </c>
      <c r="B92" t="s">
        <v>107</v>
      </c>
      <c r="C92">
        <v>1</v>
      </c>
    </row>
    <row r="93" spans="1:3" x14ac:dyDescent="0.25">
      <c r="A93">
        <v>2025</v>
      </c>
      <c r="B93" t="s">
        <v>107</v>
      </c>
      <c r="C93">
        <v>2</v>
      </c>
    </row>
    <row r="94" spans="1:3" x14ac:dyDescent="0.25">
      <c r="A94">
        <v>2025</v>
      </c>
      <c r="B94" t="s">
        <v>107</v>
      </c>
      <c r="C94">
        <v>3</v>
      </c>
    </row>
    <row r="95" spans="1:3" x14ac:dyDescent="0.25">
      <c r="A95">
        <v>2025</v>
      </c>
      <c r="B95" t="s">
        <v>107</v>
      </c>
      <c r="C95">
        <v>4</v>
      </c>
    </row>
    <row r="96" spans="1:3" x14ac:dyDescent="0.25">
      <c r="A96">
        <v>2025</v>
      </c>
      <c r="B96" t="s">
        <v>107</v>
      </c>
      <c r="C96">
        <v>5</v>
      </c>
    </row>
    <row r="97" spans="1:3" x14ac:dyDescent="0.25">
      <c r="A97">
        <v>2025</v>
      </c>
      <c r="B97" t="s">
        <v>107</v>
      </c>
      <c r="C97">
        <v>6</v>
      </c>
    </row>
    <row r="98" spans="1:3" x14ac:dyDescent="0.25">
      <c r="A98">
        <v>2025</v>
      </c>
      <c r="B98" t="s">
        <v>107</v>
      </c>
      <c r="C98">
        <v>7</v>
      </c>
    </row>
    <row r="99" spans="1:3" x14ac:dyDescent="0.25">
      <c r="A99">
        <v>2025</v>
      </c>
      <c r="B99" t="s">
        <v>107</v>
      </c>
      <c r="C99">
        <v>8</v>
      </c>
    </row>
    <row r="100" spans="1:3" x14ac:dyDescent="0.25">
      <c r="A100">
        <v>2025</v>
      </c>
      <c r="B100" t="s">
        <v>107</v>
      </c>
      <c r="C100">
        <v>9</v>
      </c>
    </row>
    <row r="101" spans="1:3" x14ac:dyDescent="0.25">
      <c r="A101">
        <v>2025</v>
      </c>
      <c r="B101" t="s">
        <v>107</v>
      </c>
      <c r="C101">
        <v>10</v>
      </c>
    </row>
    <row r="102" spans="1:3" x14ac:dyDescent="0.25">
      <c r="A102">
        <v>2025</v>
      </c>
      <c r="B102" t="s">
        <v>107</v>
      </c>
      <c r="C102">
        <v>11</v>
      </c>
    </row>
    <row r="103" spans="1:3" x14ac:dyDescent="0.25">
      <c r="A103">
        <v>2025</v>
      </c>
      <c r="B103" t="s">
        <v>107</v>
      </c>
      <c r="C103">
        <v>12</v>
      </c>
    </row>
    <row r="104" spans="1:3" x14ac:dyDescent="0.25">
      <c r="A104">
        <v>2025</v>
      </c>
      <c r="B104" t="s">
        <v>107</v>
      </c>
      <c r="C104">
        <v>13</v>
      </c>
    </row>
    <row r="105" spans="1:3" x14ac:dyDescent="0.25">
      <c r="A105">
        <v>2025</v>
      </c>
      <c r="B105" t="s">
        <v>107</v>
      </c>
      <c r="C105">
        <v>14</v>
      </c>
    </row>
    <row r="106" spans="1:3" x14ac:dyDescent="0.25">
      <c r="A106">
        <v>2025</v>
      </c>
      <c r="B106" t="s">
        <v>107</v>
      </c>
      <c r="C106">
        <v>15</v>
      </c>
    </row>
    <row r="107" spans="1:3" x14ac:dyDescent="0.25">
      <c r="A107">
        <v>2025</v>
      </c>
      <c r="B107" t="s">
        <v>107</v>
      </c>
      <c r="C107">
        <v>16</v>
      </c>
    </row>
    <row r="108" spans="1:3" x14ac:dyDescent="0.25">
      <c r="A108">
        <v>2025</v>
      </c>
      <c r="B108" t="s">
        <v>107</v>
      </c>
      <c r="C108">
        <v>17</v>
      </c>
    </row>
    <row r="109" spans="1:3" x14ac:dyDescent="0.25">
      <c r="A109">
        <v>2025</v>
      </c>
      <c r="B109" t="s">
        <v>107</v>
      </c>
      <c r="C109">
        <v>18</v>
      </c>
    </row>
    <row r="110" spans="1:3" x14ac:dyDescent="0.25">
      <c r="A110">
        <v>2025</v>
      </c>
      <c r="B110" t="s">
        <v>107</v>
      </c>
      <c r="C110">
        <v>19</v>
      </c>
    </row>
    <row r="111" spans="1:3" x14ac:dyDescent="0.25">
      <c r="A111">
        <v>2025</v>
      </c>
      <c r="B111" t="s">
        <v>107</v>
      </c>
      <c r="C111">
        <v>20</v>
      </c>
    </row>
    <row r="112" spans="1:3" x14ac:dyDescent="0.25">
      <c r="A112">
        <v>2025</v>
      </c>
      <c r="B112" t="s">
        <v>107</v>
      </c>
      <c r="C112">
        <v>21</v>
      </c>
    </row>
    <row r="113" spans="1:3" x14ac:dyDescent="0.25">
      <c r="A113">
        <v>2025</v>
      </c>
      <c r="B113" t="s">
        <v>107</v>
      </c>
      <c r="C113">
        <v>22</v>
      </c>
    </row>
    <row r="114" spans="1:3" x14ac:dyDescent="0.25">
      <c r="A114">
        <v>2025</v>
      </c>
      <c r="B114" t="s">
        <v>107</v>
      </c>
      <c r="C114">
        <v>23</v>
      </c>
    </row>
    <row r="115" spans="1:3" x14ac:dyDescent="0.25">
      <c r="A115">
        <v>2025</v>
      </c>
      <c r="B115" t="s">
        <v>107</v>
      </c>
      <c r="C115">
        <v>24</v>
      </c>
    </row>
    <row r="116" spans="1:3" x14ac:dyDescent="0.25">
      <c r="A116">
        <v>2025</v>
      </c>
      <c r="B116" t="s">
        <v>107</v>
      </c>
      <c r="C116">
        <v>25</v>
      </c>
    </row>
    <row r="117" spans="1:3" x14ac:dyDescent="0.25">
      <c r="A117">
        <v>2025</v>
      </c>
      <c r="B117" t="s">
        <v>107</v>
      </c>
      <c r="C117">
        <v>26</v>
      </c>
    </row>
    <row r="118" spans="1:3" x14ac:dyDescent="0.25">
      <c r="A118">
        <v>2025</v>
      </c>
      <c r="B118" t="s">
        <v>107</v>
      </c>
      <c r="C118">
        <v>27</v>
      </c>
    </row>
    <row r="119" spans="1:3" x14ac:dyDescent="0.25">
      <c r="A119">
        <v>2025</v>
      </c>
      <c r="B119" t="s">
        <v>107</v>
      </c>
      <c r="C119">
        <v>28</v>
      </c>
    </row>
    <row r="120" spans="1:3" x14ac:dyDescent="0.25">
      <c r="A120">
        <v>2025</v>
      </c>
      <c r="B120" t="s">
        <v>107</v>
      </c>
      <c r="C120">
        <v>29</v>
      </c>
    </row>
    <row r="121" spans="1:3" x14ac:dyDescent="0.25">
      <c r="A121">
        <v>2025</v>
      </c>
      <c r="B121" t="s">
        <v>107</v>
      </c>
      <c r="C121">
        <v>30</v>
      </c>
    </row>
    <row r="122" spans="1:3" x14ac:dyDescent="0.25">
      <c r="A122">
        <v>2025</v>
      </c>
      <c r="B122" t="s">
        <v>108</v>
      </c>
      <c r="C122">
        <v>1</v>
      </c>
    </row>
    <row r="123" spans="1:3" x14ac:dyDescent="0.25">
      <c r="A123">
        <v>2025</v>
      </c>
      <c r="B123" t="s">
        <v>108</v>
      </c>
      <c r="C123">
        <v>2</v>
      </c>
    </row>
    <row r="124" spans="1:3" x14ac:dyDescent="0.25">
      <c r="A124">
        <v>2025</v>
      </c>
      <c r="B124" t="s">
        <v>108</v>
      </c>
      <c r="C124">
        <v>3</v>
      </c>
    </row>
    <row r="125" spans="1:3" x14ac:dyDescent="0.25">
      <c r="A125">
        <v>2025</v>
      </c>
      <c r="B125" t="s">
        <v>108</v>
      </c>
      <c r="C125">
        <v>4</v>
      </c>
    </row>
    <row r="126" spans="1:3" x14ac:dyDescent="0.25">
      <c r="A126">
        <v>2025</v>
      </c>
      <c r="B126" t="s">
        <v>108</v>
      </c>
      <c r="C126">
        <v>5</v>
      </c>
    </row>
    <row r="127" spans="1:3" x14ac:dyDescent="0.25">
      <c r="A127">
        <v>2025</v>
      </c>
      <c r="B127" t="s">
        <v>108</v>
      </c>
      <c r="C127">
        <v>6</v>
      </c>
    </row>
    <row r="128" spans="1:3" x14ac:dyDescent="0.25">
      <c r="A128">
        <v>2025</v>
      </c>
      <c r="B128" t="s">
        <v>108</v>
      </c>
      <c r="C128">
        <v>7</v>
      </c>
    </row>
    <row r="129" spans="1:3" x14ac:dyDescent="0.25">
      <c r="A129">
        <v>2025</v>
      </c>
      <c r="B129" t="s">
        <v>108</v>
      </c>
      <c r="C129">
        <v>8</v>
      </c>
    </row>
    <row r="130" spans="1:3" x14ac:dyDescent="0.25">
      <c r="A130">
        <v>2025</v>
      </c>
      <c r="B130" t="s">
        <v>108</v>
      </c>
      <c r="C130">
        <v>9</v>
      </c>
    </row>
    <row r="131" spans="1:3" x14ac:dyDescent="0.25">
      <c r="A131">
        <v>2025</v>
      </c>
      <c r="B131" t="s">
        <v>108</v>
      </c>
      <c r="C131">
        <v>10</v>
      </c>
    </row>
    <row r="132" spans="1:3" x14ac:dyDescent="0.25">
      <c r="A132">
        <v>2025</v>
      </c>
      <c r="B132" t="s">
        <v>108</v>
      </c>
      <c r="C132">
        <v>11</v>
      </c>
    </row>
    <row r="133" spans="1:3" x14ac:dyDescent="0.25">
      <c r="A133">
        <v>2025</v>
      </c>
      <c r="B133" t="s">
        <v>108</v>
      </c>
      <c r="C133">
        <v>12</v>
      </c>
    </row>
    <row r="134" spans="1:3" x14ac:dyDescent="0.25">
      <c r="A134">
        <v>2025</v>
      </c>
      <c r="B134" t="s">
        <v>108</v>
      </c>
      <c r="C134">
        <v>13</v>
      </c>
    </row>
    <row r="135" spans="1:3" x14ac:dyDescent="0.25">
      <c r="A135">
        <v>2025</v>
      </c>
      <c r="B135" t="s">
        <v>108</v>
      </c>
      <c r="C135">
        <v>14</v>
      </c>
    </row>
    <row r="136" spans="1:3" x14ac:dyDescent="0.25">
      <c r="A136">
        <v>2025</v>
      </c>
      <c r="B136" t="s">
        <v>108</v>
      </c>
      <c r="C136">
        <v>15</v>
      </c>
    </row>
    <row r="137" spans="1:3" x14ac:dyDescent="0.25">
      <c r="A137">
        <v>2025</v>
      </c>
      <c r="B137" t="s">
        <v>108</v>
      </c>
      <c r="C137">
        <v>16</v>
      </c>
    </row>
    <row r="138" spans="1:3" x14ac:dyDescent="0.25">
      <c r="A138">
        <v>2025</v>
      </c>
      <c r="B138" t="s">
        <v>108</v>
      </c>
      <c r="C138">
        <v>17</v>
      </c>
    </row>
    <row r="139" spans="1:3" x14ac:dyDescent="0.25">
      <c r="A139">
        <v>2025</v>
      </c>
      <c r="B139" t="s">
        <v>108</v>
      </c>
      <c r="C139">
        <v>18</v>
      </c>
    </row>
    <row r="140" spans="1:3" x14ac:dyDescent="0.25">
      <c r="A140">
        <v>2025</v>
      </c>
      <c r="B140" t="s">
        <v>108</v>
      </c>
      <c r="C140">
        <v>19</v>
      </c>
    </row>
    <row r="141" spans="1:3" x14ac:dyDescent="0.25">
      <c r="A141">
        <v>2025</v>
      </c>
      <c r="B141" t="s">
        <v>108</v>
      </c>
      <c r="C141">
        <v>20</v>
      </c>
    </row>
    <row r="142" spans="1:3" x14ac:dyDescent="0.25">
      <c r="A142">
        <v>2025</v>
      </c>
      <c r="B142" t="s">
        <v>108</v>
      </c>
      <c r="C142">
        <v>21</v>
      </c>
    </row>
    <row r="143" spans="1:3" x14ac:dyDescent="0.25">
      <c r="A143">
        <v>2025</v>
      </c>
      <c r="B143" t="s">
        <v>108</v>
      </c>
      <c r="C143">
        <v>22</v>
      </c>
    </row>
    <row r="144" spans="1:3" x14ac:dyDescent="0.25">
      <c r="A144">
        <v>2025</v>
      </c>
      <c r="B144" t="s">
        <v>108</v>
      </c>
      <c r="C144">
        <v>23</v>
      </c>
    </row>
    <row r="145" spans="1:3" x14ac:dyDescent="0.25">
      <c r="A145">
        <v>2025</v>
      </c>
      <c r="B145" t="s">
        <v>108</v>
      </c>
      <c r="C145">
        <v>24</v>
      </c>
    </row>
    <row r="146" spans="1:3" x14ac:dyDescent="0.25">
      <c r="A146">
        <v>2025</v>
      </c>
      <c r="B146" t="s">
        <v>108</v>
      </c>
      <c r="C146">
        <v>25</v>
      </c>
    </row>
    <row r="147" spans="1:3" x14ac:dyDescent="0.25">
      <c r="A147">
        <v>2025</v>
      </c>
      <c r="B147" t="s">
        <v>108</v>
      </c>
      <c r="C147">
        <v>26</v>
      </c>
    </row>
    <row r="148" spans="1:3" x14ac:dyDescent="0.25">
      <c r="A148">
        <v>2025</v>
      </c>
      <c r="B148" t="s">
        <v>108</v>
      </c>
      <c r="C148">
        <v>27</v>
      </c>
    </row>
    <row r="149" spans="1:3" x14ac:dyDescent="0.25">
      <c r="A149">
        <v>2025</v>
      </c>
      <c r="B149" t="s">
        <v>108</v>
      </c>
      <c r="C149">
        <v>28</v>
      </c>
    </row>
    <row r="150" spans="1:3" x14ac:dyDescent="0.25">
      <c r="A150">
        <v>2025</v>
      </c>
      <c r="B150" t="s">
        <v>108</v>
      </c>
      <c r="C150">
        <v>29</v>
      </c>
    </row>
    <row r="151" spans="1:3" x14ac:dyDescent="0.25">
      <c r="A151">
        <v>2025</v>
      </c>
      <c r="B151" t="s">
        <v>108</v>
      </c>
      <c r="C151">
        <v>30</v>
      </c>
    </row>
    <row r="152" spans="1:3" x14ac:dyDescent="0.25">
      <c r="A152">
        <v>2025</v>
      </c>
      <c r="B152" t="s">
        <v>108</v>
      </c>
      <c r="C152">
        <v>31</v>
      </c>
    </row>
    <row r="153" spans="1:3" x14ac:dyDescent="0.25">
      <c r="A153">
        <v>2025</v>
      </c>
      <c r="B153" t="s">
        <v>109</v>
      </c>
      <c r="C153">
        <v>1</v>
      </c>
    </row>
    <row r="154" spans="1:3" x14ac:dyDescent="0.25">
      <c r="A154">
        <v>2025</v>
      </c>
      <c r="B154" t="s">
        <v>109</v>
      </c>
      <c r="C154">
        <v>2</v>
      </c>
    </row>
    <row r="155" spans="1:3" x14ac:dyDescent="0.25">
      <c r="A155">
        <v>2025</v>
      </c>
      <c r="B155" t="s">
        <v>109</v>
      </c>
      <c r="C155">
        <v>3</v>
      </c>
    </row>
    <row r="156" spans="1:3" x14ac:dyDescent="0.25">
      <c r="A156">
        <v>2025</v>
      </c>
      <c r="B156" t="s">
        <v>109</v>
      </c>
      <c r="C156">
        <v>4</v>
      </c>
    </row>
    <row r="157" spans="1:3" x14ac:dyDescent="0.25">
      <c r="A157">
        <v>2025</v>
      </c>
      <c r="B157" t="s">
        <v>109</v>
      </c>
      <c r="C157">
        <v>5</v>
      </c>
    </row>
    <row r="158" spans="1:3" x14ac:dyDescent="0.25">
      <c r="A158">
        <v>2025</v>
      </c>
      <c r="B158" t="s">
        <v>109</v>
      </c>
      <c r="C158">
        <v>6</v>
      </c>
    </row>
    <row r="159" spans="1:3" x14ac:dyDescent="0.25">
      <c r="A159">
        <v>2025</v>
      </c>
      <c r="B159" t="s">
        <v>109</v>
      </c>
      <c r="C159">
        <v>7</v>
      </c>
    </row>
    <row r="160" spans="1:3" x14ac:dyDescent="0.25">
      <c r="A160">
        <v>2025</v>
      </c>
      <c r="B160" t="s">
        <v>109</v>
      </c>
      <c r="C160">
        <v>8</v>
      </c>
    </row>
    <row r="161" spans="1:3" x14ac:dyDescent="0.25">
      <c r="A161">
        <v>2025</v>
      </c>
      <c r="B161" t="s">
        <v>109</v>
      </c>
      <c r="C161">
        <v>9</v>
      </c>
    </row>
    <row r="162" spans="1:3" x14ac:dyDescent="0.25">
      <c r="A162">
        <v>2025</v>
      </c>
      <c r="B162" t="s">
        <v>109</v>
      </c>
      <c r="C162">
        <v>10</v>
      </c>
    </row>
    <row r="163" spans="1:3" x14ac:dyDescent="0.25">
      <c r="A163">
        <v>2025</v>
      </c>
      <c r="B163" t="s">
        <v>109</v>
      </c>
      <c r="C163">
        <v>11</v>
      </c>
    </row>
    <row r="164" spans="1:3" x14ac:dyDescent="0.25">
      <c r="A164">
        <v>2025</v>
      </c>
      <c r="B164" t="s">
        <v>109</v>
      </c>
      <c r="C164">
        <v>12</v>
      </c>
    </row>
    <row r="165" spans="1:3" x14ac:dyDescent="0.25">
      <c r="A165">
        <v>2025</v>
      </c>
      <c r="B165" t="s">
        <v>109</v>
      </c>
      <c r="C165">
        <v>13</v>
      </c>
    </row>
    <row r="166" spans="1:3" x14ac:dyDescent="0.25">
      <c r="A166">
        <v>2025</v>
      </c>
      <c r="B166" t="s">
        <v>109</v>
      </c>
      <c r="C166">
        <v>14</v>
      </c>
    </row>
    <row r="167" spans="1:3" x14ac:dyDescent="0.25">
      <c r="A167">
        <v>2025</v>
      </c>
      <c r="B167" t="s">
        <v>109</v>
      </c>
      <c r="C167">
        <v>15</v>
      </c>
    </row>
    <row r="168" spans="1:3" x14ac:dyDescent="0.25">
      <c r="A168">
        <v>2025</v>
      </c>
      <c r="B168" t="s">
        <v>109</v>
      </c>
      <c r="C168">
        <v>16</v>
      </c>
    </row>
    <row r="169" spans="1:3" x14ac:dyDescent="0.25">
      <c r="A169">
        <v>2025</v>
      </c>
      <c r="B169" t="s">
        <v>109</v>
      </c>
      <c r="C169">
        <v>17</v>
      </c>
    </row>
    <row r="170" spans="1:3" x14ac:dyDescent="0.25">
      <c r="A170">
        <v>2025</v>
      </c>
      <c r="B170" t="s">
        <v>109</v>
      </c>
      <c r="C170">
        <v>18</v>
      </c>
    </row>
    <row r="171" spans="1:3" x14ac:dyDescent="0.25">
      <c r="A171">
        <v>2025</v>
      </c>
      <c r="B171" t="s">
        <v>109</v>
      </c>
      <c r="C171">
        <v>19</v>
      </c>
    </row>
    <row r="172" spans="1:3" x14ac:dyDescent="0.25">
      <c r="A172">
        <v>2025</v>
      </c>
      <c r="B172" t="s">
        <v>109</v>
      </c>
      <c r="C172">
        <v>20</v>
      </c>
    </row>
    <row r="173" spans="1:3" x14ac:dyDescent="0.25">
      <c r="A173">
        <v>2025</v>
      </c>
      <c r="B173" t="s">
        <v>109</v>
      </c>
      <c r="C173">
        <v>21</v>
      </c>
    </row>
    <row r="174" spans="1:3" x14ac:dyDescent="0.25">
      <c r="A174">
        <v>2025</v>
      </c>
      <c r="B174" t="s">
        <v>109</v>
      </c>
      <c r="C174">
        <v>22</v>
      </c>
    </row>
    <row r="175" spans="1:3" x14ac:dyDescent="0.25">
      <c r="A175">
        <v>2025</v>
      </c>
      <c r="B175" t="s">
        <v>109</v>
      </c>
      <c r="C175">
        <v>23</v>
      </c>
    </row>
    <row r="176" spans="1:3" x14ac:dyDescent="0.25">
      <c r="A176">
        <v>2025</v>
      </c>
      <c r="B176" t="s">
        <v>109</v>
      </c>
      <c r="C176">
        <v>24</v>
      </c>
    </row>
    <row r="177" spans="1:3" x14ac:dyDescent="0.25">
      <c r="A177">
        <v>2025</v>
      </c>
      <c r="B177" t="s">
        <v>109</v>
      </c>
      <c r="C177">
        <v>25</v>
      </c>
    </row>
    <row r="178" spans="1:3" x14ac:dyDescent="0.25">
      <c r="A178">
        <v>2025</v>
      </c>
      <c r="B178" t="s">
        <v>109</v>
      </c>
      <c r="C178">
        <v>26</v>
      </c>
    </row>
    <row r="179" spans="1:3" x14ac:dyDescent="0.25">
      <c r="A179">
        <v>2025</v>
      </c>
      <c r="B179" t="s">
        <v>109</v>
      </c>
      <c r="C179">
        <v>27</v>
      </c>
    </row>
    <row r="180" spans="1:3" x14ac:dyDescent="0.25">
      <c r="A180">
        <v>2025</v>
      </c>
      <c r="B180" t="s">
        <v>109</v>
      </c>
      <c r="C180">
        <v>28</v>
      </c>
    </row>
    <row r="181" spans="1:3" x14ac:dyDescent="0.25">
      <c r="A181">
        <v>2025</v>
      </c>
      <c r="B181" t="s">
        <v>109</v>
      </c>
      <c r="C181">
        <v>29</v>
      </c>
    </row>
    <row r="182" spans="1:3" x14ac:dyDescent="0.25">
      <c r="A182">
        <v>2025</v>
      </c>
      <c r="B182" t="s">
        <v>109</v>
      </c>
      <c r="C182">
        <v>30</v>
      </c>
    </row>
    <row r="183" spans="1:3" x14ac:dyDescent="0.25">
      <c r="A183">
        <v>2025</v>
      </c>
      <c r="B183" t="s">
        <v>110</v>
      </c>
      <c r="C183">
        <v>1</v>
      </c>
    </row>
    <row r="184" spans="1:3" x14ac:dyDescent="0.25">
      <c r="A184">
        <v>2025</v>
      </c>
      <c r="B184" t="s">
        <v>110</v>
      </c>
      <c r="C184">
        <v>2</v>
      </c>
    </row>
    <row r="185" spans="1:3" x14ac:dyDescent="0.25">
      <c r="A185">
        <v>2025</v>
      </c>
      <c r="B185" t="s">
        <v>110</v>
      </c>
      <c r="C185">
        <v>3</v>
      </c>
    </row>
    <row r="186" spans="1:3" x14ac:dyDescent="0.25">
      <c r="A186">
        <v>2025</v>
      </c>
      <c r="B186" t="s">
        <v>110</v>
      </c>
      <c r="C186">
        <v>4</v>
      </c>
    </row>
    <row r="187" spans="1:3" x14ac:dyDescent="0.25">
      <c r="A187">
        <v>2025</v>
      </c>
      <c r="B187" t="s">
        <v>110</v>
      </c>
      <c r="C187">
        <v>5</v>
      </c>
    </row>
    <row r="188" spans="1:3" x14ac:dyDescent="0.25">
      <c r="A188">
        <v>2025</v>
      </c>
      <c r="B188" t="s">
        <v>110</v>
      </c>
      <c r="C188">
        <v>6</v>
      </c>
    </row>
    <row r="189" spans="1:3" x14ac:dyDescent="0.25">
      <c r="A189">
        <v>2025</v>
      </c>
      <c r="B189" t="s">
        <v>110</v>
      </c>
      <c r="C189">
        <v>7</v>
      </c>
    </row>
    <row r="190" spans="1:3" x14ac:dyDescent="0.25">
      <c r="A190">
        <v>2025</v>
      </c>
      <c r="B190" t="s">
        <v>110</v>
      </c>
      <c r="C190">
        <v>8</v>
      </c>
    </row>
    <row r="191" spans="1:3" x14ac:dyDescent="0.25">
      <c r="A191">
        <v>2025</v>
      </c>
      <c r="B191" t="s">
        <v>110</v>
      </c>
      <c r="C191">
        <v>9</v>
      </c>
    </row>
    <row r="192" spans="1:3" x14ac:dyDescent="0.25">
      <c r="A192">
        <v>2025</v>
      </c>
      <c r="B192" t="s">
        <v>110</v>
      </c>
      <c r="C192">
        <v>10</v>
      </c>
    </row>
    <row r="193" spans="1:3" x14ac:dyDescent="0.25">
      <c r="A193">
        <v>2025</v>
      </c>
      <c r="B193" t="s">
        <v>110</v>
      </c>
      <c r="C193">
        <v>11</v>
      </c>
    </row>
    <row r="194" spans="1:3" x14ac:dyDescent="0.25">
      <c r="A194">
        <v>2025</v>
      </c>
      <c r="B194" t="s">
        <v>110</v>
      </c>
      <c r="C194">
        <v>12</v>
      </c>
    </row>
    <row r="195" spans="1:3" x14ac:dyDescent="0.25">
      <c r="A195">
        <v>2025</v>
      </c>
      <c r="B195" t="s">
        <v>110</v>
      </c>
      <c r="C195">
        <v>13</v>
      </c>
    </row>
    <row r="196" spans="1:3" x14ac:dyDescent="0.25">
      <c r="A196">
        <v>2025</v>
      </c>
      <c r="B196" t="s">
        <v>110</v>
      </c>
      <c r="C196">
        <v>14</v>
      </c>
    </row>
    <row r="197" spans="1:3" x14ac:dyDescent="0.25">
      <c r="A197">
        <v>2025</v>
      </c>
      <c r="B197" t="s">
        <v>110</v>
      </c>
      <c r="C197">
        <v>15</v>
      </c>
    </row>
    <row r="198" spans="1:3" x14ac:dyDescent="0.25">
      <c r="A198">
        <v>2025</v>
      </c>
      <c r="B198" t="s">
        <v>110</v>
      </c>
      <c r="C198">
        <v>16</v>
      </c>
    </row>
    <row r="199" spans="1:3" x14ac:dyDescent="0.25">
      <c r="A199">
        <v>2025</v>
      </c>
      <c r="B199" t="s">
        <v>110</v>
      </c>
      <c r="C199">
        <v>17</v>
      </c>
    </row>
    <row r="200" spans="1:3" x14ac:dyDescent="0.25">
      <c r="A200">
        <v>2025</v>
      </c>
      <c r="B200" t="s">
        <v>110</v>
      </c>
      <c r="C200">
        <v>18</v>
      </c>
    </row>
    <row r="201" spans="1:3" x14ac:dyDescent="0.25">
      <c r="A201">
        <v>2025</v>
      </c>
      <c r="B201" t="s">
        <v>110</v>
      </c>
      <c r="C201">
        <v>19</v>
      </c>
    </row>
    <row r="202" spans="1:3" x14ac:dyDescent="0.25">
      <c r="A202">
        <v>2025</v>
      </c>
      <c r="B202" t="s">
        <v>110</v>
      </c>
      <c r="C202">
        <v>20</v>
      </c>
    </row>
    <row r="203" spans="1:3" x14ac:dyDescent="0.25">
      <c r="A203">
        <v>2025</v>
      </c>
      <c r="B203" t="s">
        <v>110</v>
      </c>
      <c r="C203">
        <v>21</v>
      </c>
    </row>
    <row r="204" spans="1:3" x14ac:dyDescent="0.25">
      <c r="A204">
        <v>2025</v>
      </c>
      <c r="B204" t="s">
        <v>110</v>
      </c>
      <c r="C204">
        <v>22</v>
      </c>
    </row>
    <row r="205" spans="1:3" x14ac:dyDescent="0.25">
      <c r="A205">
        <v>2025</v>
      </c>
      <c r="B205" t="s">
        <v>110</v>
      </c>
      <c r="C205">
        <v>23</v>
      </c>
    </row>
    <row r="206" spans="1:3" x14ac:dyDescent="0.25">
      <c r="A206">
        <v>2025</v>
      </c>
      <c r="B206" t="s">
        <v>110</v>
      </c>
      <c r="C206">
        <v>24</v>
      </c>
    </row>
    <row r="207" spans="1:3" x14ac:dyDescent="0.25">
      <c r="A207">
        <v>2025</v>
      </c>
      <c r="B207" t="s">
        <v>110</v>
      </c>
      <c r="C207">
        <v>25</v>
      </c>
    </row>
    <row r="208" spans="1:3" x14ac:dyDescent="0.25">
      <c r="A208">
        <v>2025</v>
      </c>
      <c r="B208" t="s">
        <v>110</v>
      </c>
      <c r="C208">
        <v>26</v>
      </c>
    </row>
    <row r="209" spans="1:3" x14ac:dyDescent="0.25">
      <c r="A209">
        <v>2025</v>
      </c>
      <c r="B209" t="s">
        <v>110</v>
      </c>
      <c r="C209">
        <v>27</v>
      </c>
    </row>
    <row r="210" spans="1:3" x14ac:dyDescent="0.25">
      <c r="A210">
        <v>2025</v>
      </c>
      <c r="B210" t="s">
        <v>110</v>
      </c>
      <c r="C210">
        <v>28</v>
      </c>
    </row>
    <row r="211" spans="1:3" x14ac:dyDescent="0.25">
      <c r="A211">
        <v>2025</v>
      </c>
      <c r="B211" t="s">
        <v>110</v>
      </c>
      <c r="C211">
        <v>29</v>
      </c>
    </row>
    <row r="212" spans="1:3" x14ac:dyDescent="0.25">
      <c r="A212">
        <v>2025</v>
      </c>
      <c r="B212" t="s">
        <v>110</v>
      </c>
      <c r="C212">
        <v>30</v>
      </c>
    </row>
    <row r="213" spans="1:3" x14ac:dyDescent="0.25">
      <c r="A213">
        <v>2025</v>
      </c>
      <c r="B213" t="s">
        <v>110</v>
      </c>
      <c r="C213">
        <v>31</v>
      </c>
    </row>
    <row r="214" spans="1:3" x14ac:dyDescent="0.25">
      <c r="A214">
        <v>2025</v>
      </c>
      <c r="B214" t="s">
        <v>111</v>
      </c>
      <c r="C214">
        <v>1</v>
      </c>
    </row>
    <row r="215" spans="1:3" x14ac:dyDescent="0.25">
      <c r="A215">
        <v>2025</v>
      </c>
      <c r="B215" t="s">
        <v>111</v>
      </c>
      <c r="C215">
        <v>2</v>
      </c>
    </row>
    <row r="216" spans="1:3" x14ac:dyDescent="0.25">
      <c r="A216">
        <v>2025</v>
      </c>
      <c r="B216" t="s">
        <v>111</v>
      </c>
      <c r="C216">
        <v>3</v>
      </c>
    </row>
    <row r="217" spans="1:3" x14ac:dyDescent="0.25">
      <c r="A217">
        <v>2025</v>
      </c>
      <c r="B217" t="s">
        <v>111</v>
      </c>
      <c r="C217">
        <v>4</v>
      </c>
    </row>
    <row r="218" spans="1:3" x14ac:dyDescent="0.25">
      <c r="A218">
        <v>2025</v>
      </c>
      <c r="B218" t="s">
        <v>111</v>
      </c>
      <c r="C218">
        <v>5</v>
      </c>
    </row>
    <row r="219" spans="1:3" x14ac:dyDescent="0.25">
      <c r="A219">
        <v>2025</v>
      </c>
      <c r="B219" t="s">
        <v>111</v>
      </c>
      <c r="C219">
        <v>6</v>
      </c>
    </row>
    <row r="220" spans="1:3" x14ac:dyDescent="0.25">
      <c r="A220">
        <v>2025</v>
      </c>
      <c r="B220" t="s">
        <v>111</v>
      </c>
      <c r="C220">
        <v>7</v>
      </c>
    </row>
    <row r="221" spans="1:3" x14ac:dyDescent="0.25">
      <c r="A221">
        <v>2025</v>
      </c>
      <c r="B221" t="s">
        <v>111</v>
      </c>
      <c r="C221">
        <v>8</v>
      </c>
    </row>
    <row r="222" spans="1:3" x14ac:dyDescent="0.25">
      <c r="A222">
        <v>2025</v>
      </c>
      <c r="B222" t="s">
        <v>111</v>
      </c>
      <c r="C222">
        <v>9</v>
      </c>
    </row>
    <row r="223" spans="1:3" x14ac:dyDescent="0.25">
      <c r="A223">
        <v>2025</v>
      </c>
      <c r="B223" t="s">
        <v>111</v>
      </c>
      <c r="C223">
        <v>10</v>
      </c>
    </row>
    <row r="224" spans="1:3" x14ac:dyDescent="0.25">
      <c r="A224">
        <v>2025</v>
      </c>
      <c r="B224" t="s">
        <v>111</v>
      </c>
      <c r="C224">
        <v>11</v>
      </c>
    </row>
    <row r="225" spans="1:3" x14ac:dyDescent="0.25">
      <c r="A225">
        <v>2025</v>
      </c>
      <c r="B225" t="s">
        <v>111</v>
      </c>
      <c r="C225">
        <v>12</v>
      </c>
    </row>
    <row r="226" spans="1:3" x14ac:dyDescent="0.25">
      <c r="A226">
        <v>2025</v>
      </c>
      <c r="B226" t="s">
        <v>111</v>
      </c>
      <c r="C226">
        <v>13</v>
      </c>
    </row>
    <row r="227" spans="1:3" x14ac:dyDescent="0.25">
      <c r="A227">
        <v>2025</v>
      </c>
      <c r="B227" t="s">
        <v>111</v>
      </c>
      <c r="C227">
        <v>14</v>
      </c>
    </row>
    <row r="228" spans="1:3" x14ac:dyDescent="0.25">
      <c r="A228">
        <v>2025</v>
      </c>
      <c r="B228" t="s">
        <v>111</v>
      </c>
      <c r="C228">
        <v>15</v>
      </c>
    </row>
    <row r="229" spans="1:3" x14ac:dyDescent="0.25">
      <c r="A229">
        <v>2025</v>
      </c>
      <c r="B229" t="s">
        <v>111</v>
      </c>
      <c r="C229">
        <v>16</v>
      </c>
    </row>
    <row r="230" spans="1:3" x14ac:dyDescent="0.25">
      <c r="A230">
        <v>2025</v>
      </c>
      <c r="B230" t="s">
        <v>111</v>
      </c>
      <c r="C230">
        <v>17</v>
      </c>
    </row>
    <row r="231" spans="1:3" x14ac:dyDescent="0.25">
      <c r="A231">
        <v>2025</v>
      </c>
      <c r="B231" t="s">
        <v>111</v>
      </c>
      <c r="C231">
        <v>18</v>
      </c>
    </row>
    <row r="232" spans="1:3" x14ac:dyDescent="0.25">
      <c r="A232">
        <v>2025</v>
      </c>
      <c r="B232" t="s">
        <v>111</v>
      </c>
      <c r="C232">
        <v>19</v>
      </c>
    </row>
    <row r="233" spans="1:3" x14ac:dyDescent="0.25">
      <c r="A233">
        <v>2025</v>
      </c>
      <c r="B233" t="s">
        <v>111</v>
      </c>
      <c r="C233">
        <v>20</v>
      </c>
    </row>
    <row r="234" spans="1:3" x14ac:dyDescent="0.25">
      <c r="A234">
        <v>2025</v>
      </c>
      <c r="B234" t="s">
        <v>111</v>
      </c>
      <c r="C234">
        <v>21</v>
      </c>
    </row>
    <row r="235" spans="1:3" x14ac:dyDescent="0.25">
      <c r="A235">
        <v>2025</v>
      </c>
      <c r="B235" t="s">
        <v>111</v>
      </c>
      <c r="C235">
        <v>22</v>
      </c>
    </row>
    <row r="236" spans="1:3" x14ac:dyDescent="0.25">
      <c r="A236">
        <v>2025</v>
      </c>
      <c r="B236" t="s">
        <v>111</v>
      </c>
      <c r="C236">
        <v>23</v>
      </c>
    </row>
    <row r="237" spans="1:3" x14ac:dyDescent="0.25">
      <c r="A237">
        <v>2025</v>
      </c>
      <c r="B237" t="s">
        <v>111</v>
      </c>
      <c r="C237">
        <v>24</v>
      </c>
    </row>
    <row r="238" spans="1:3" x14ac:dyDescent="0.25">
      <c r="A238">
        <v>2025</v>
      </c>
      <c r="B238" t="s">
        <v>111</v>
      </c>
      <c r="C238">
        <v>25</v>
      </c>
    </row>
    <row r="239" spans="1:3" x14ac:dyDescent="0.25">
      <c r="A239">
        <v>2025</v>
      </c>
      <c r="B239" t="s">
        <v>111</v>
      </c>
      <c r="C239">
        <v>26</v>
      </c>
    </row>
    <row r="240" spans="1:3" x14ac:dyDescent="0.25">
      <c r="A240">
        <v>2025</v>
      </c>
      <c r="B240" t="s">
        <v>111</v>
      </c>
      <c r="C240">
        <v>27</v>
      </c>
    </row>
    <row r="241" spans="1:3" x14ac:dyDescent="0.25">
      <c r="A241">
        <v>2025</v>
      </c>
      <c r="B241" t="s">
        <v>111</v>
      </c>
      <c r="C241">
        <v>28</v>
      </c>
    </row>
    <row r="242" spans="1:3" x14ac:dyDescent="0.25">
      <c r="A242">
        <v>2025</v>
      </c>
      <c r="B242" t="s">
        <v>111</v>
      </c>
      <c r="C242">
        <v>29</v>
      </c>
    </row>
    <row r="243" spans="1:3" x14ac:dyDescent="0.25">
      <c r="A243">
        <v>2025</v>
      </c>
      <c r="B243" t="s">
        <v>111</v>
      </c>
      <c r="C243">
        <v>30</v>
      </c>
    </row>
    <row r="244" spans="1:3" x14ac:dyDescent="0.25">
      <c r="A244">
        <v>2025</v>
      </c>
      <c r="B244" t="s">
        <v>111</v>
      </c>
      <c r="C244">
        <v>31</v>
      </c>
    </row>
    <row r="245" spans="1:3" x14ac:dyDescent="0.25">
      <c r="A245">
        <v>2025</v>
      </c>
      <c r="B245" t="s">
        <v>112</v>
      </c>
      <c r="C245">
        <v>1</v>
      </c>
    </row>
    <row r="246" spans="1:3" x14ac:dyDescent="0.25">
      <c r="A246">
        <v>2025</v>
      </c>
      <c r="B246" t="s">
        <v>112</v>
      </c>
      <c r="C246">
        <v>2</v>
      </c>
    </row>
    <row r="247" spans="1:3" x14ac:dyDescent="0.25">
      <c r="A247">
        <v>2025</v>
      </c>
      <c r="B247" t="s">
        <v>112</v>
      </c>
      <c r="C247">
        <v>3</v>
      </c>
    </row>
    <row r="248" spans="1:3" x14ac:dyDescent="0.25">
      <c r="A248">
        <v>2025</v>
      </c>
      <c r="B248" t="s">
        <v>112</v>
      </c>
      <c r="C248">
        <v>4</v>
      </c>
    </row>
    <row r="249" spans="1:3" x14ac:dyDescent="0.25">
      <c r="A249">
        <v>2025</v>
      </c>
      <c r="B249" t="s">
        <v>112</v>
      </c>
      <c r="C249">
        <v>5</v>
      </c>
    </row>
    <row r="250" spans="1:3" x14ac:dyDescent="0.25">
      <c r="A250">
        <v>2025</v>
      </c>
      <c r="B250" t="s">
        <v>112</v>
      </c>
      <c r="C250">
        <v>6</v>
      </c>
    </row>
    <row r="251" spans="1:3" x14ac:dyDescent="0.25">
      <c r="A251">
        <v>2025</v>
      </c>
      <c r="B251" t="s">
        <v>112</v>
      </c>
      <c r="C251">
        <v>7</v>
      </c>
    </row>
    <row r="252" spans="1:3" x14ac:dyDescent="0.25">
      <c r="A252">
        <v>2025</v>
      </c>
      <c r="B252" t="s">
        <v>112</v>
      </c>
      <c r="C252">
        <v>8</v>
      </c>
    </row>
    <row r="253" spans="1:3" x14ac:dyDescent="0.25">
      <c r="A253">
        <v>2025</v>
      </c>
      <c r="B253" t="s">
        <v>112</v>
      </c>
      <c r="C253">
        <v>9</v>
      </c>
    </row>
    <row r="254" spans="1:3" x14ac:dyDescent="0.25">
      <c r="A254">
        <v>2025</v>
      </c>
      <c r="B254" t="s">
        <v>112</v>
      </c>
      <c r="C254">
        <v>10</v>
      </c>
    </row>
    <row r="255" spans="1:3" x14ac:dyDescent="0.25">
      <c r="A255">
        <v>2025</v>
      </c>
      <c r="B255" t="s">
        <v>112</v>
      </c>
      <c r="C255">
        <v>11</v>
      </c>
    </row>
    <row r="256" spans="1:3" x14ac:dyDescent="0.25">
      <c r="A256">
        <v>2025</v>
      </c>
      <c r="B256" t="s">
        <v>112</v>
      </c>
      <c r="C256">
        <v>12</v>
      </c>
    </row>
    <row r="257" spans="1:3" x14ac:dyDescent="0.25">
      <c r="A257">
        <v>2025</v>
      </c>
      <c r="B257" t="s">
        <v>112</v>
      </c>
      <c r="C257">
        <v>13</v>
      </c>
    </row>
    <row r="258" spans="1:3" x14ac:dyDescent="0.25">
      <c r="A258">
        <v>2025</v>
      </c>
      <c r="B258" t="s">
        <v>112</v>
      </c>
      <c r="C258">
        <v>14</v>
      </c>
    </row>
    <row r="259" spans="1:3" x14ac:dyDescent="0.25">
      <c r="A259">
        <v>2025</v>
      </c>
      <c r="B259" t="s">
        <v>112</v>
      </c>
      <c r="C259">
        <v>15</v>
      </c>
    </row>
    <row r="260" spans="1:3" x14ac:dyDescent="0.25">
      <c r="A260">
        <v>2025</v>
      </c>
      <c r="B260" t="s">
        <v>112</v>
      </c>
      <c r="C260">
        <v>16</v>
      </c>
    </row>
    <row r="261" spans="1:3" x14ac:dyDescent="0.25">
      <c r="A261">
        <v>2025</v>
      </c>
      <c r="B261" t="s">
        <v>112</v>
      </c>
      <c r="C261">
        <v>17</v>
      </c>
    </row>
    <row r="262" spans="1:3" x14ac:dyDescent="0.25">
      <c r="A262">
        <v>2025</v>
      </c>
      <c r="B262" t="s">
        <v>112</v>
      </c>
      <c r="C262">
        <v>18</v>
      </c>
    </row>
    <row r="263" spans="1:3" x14ac:dyDescent="0.25">
      <c r="A263">
        <v>2025</v>
      </c>
      <c r="B263" t="s">
        <v>112</v>
      </c>
      <c r="C263">
        <v>19</v>
      </c>
    </row>
    <row r="264" spans="1:3" x14ac:dyDescent="0.25">
      <c r="A264">
        <v>2025</v>
      </c>
      <c r="B264" t="s">
        <v>112</v>
      </c>
      <c r="C264">
        <v>20</v>
      </c>
    </row>
    <row r="265" spans="1:3" x14ac:dyDescent="0.25">
      <c r="A265">
        <v>2025</v>
      </c>
      <c r="B265" t="s">
        <v>112</v>
      </c>
      <c r="C265">
        <v>21</v>
      </c>
    </row>
    <row r="266" spans="1:3" x14ac:dyDescent="0.25">
      <c r="A266">
        <v>2025</v>
      </c>
      <c r="B266" t="s">
        <v>112</v>
      </c>
      <c r="C266">
        <v>22</v>
      </c>
    </row>
    <row r="267" spans="1:3" x14ac:dyDescent="0.25">
      <c r="A267">
        <v>2025</v>
      </c>
      <c r="B267" t="s">
        <v>112</v>
      </c>
      <c r="C267">
        <v>23</v>
      </c>
    </row>
    <row r="268" spans="1:3" x14ac:dyDescent="0.25">
      <c r="A268">
        <v>2025</v>
      </c>
      <c r="B268" t="s">
        <v>112</v>
      </c>
      <c r="C268">
        <v>24</v>
      </c>
    </row>
    <row r="269" spans="1:3" x14ac:dyDescent="0.25">
      <c r="A269">
        <v>2025</v>
      </c>
      <c r="B269" t="s">
        <v>112</v>
      </c>
      <c r="C269">
        <v>25</v>
      </c>
    </row>
    <row r="270" spans="1:3" x14ac:dyDescent="0.25">
      <c r="A270">
        <v>2025</v>
      </c>
      <c r="B270" t="s">
        <v>112</v>
      </c>
      <c r="C270">
        <v>26</v>
      </c>
    </row>
    <row r="271" spans="1:3" x14ac:dyDescent="0.25">
      <c r="A271">
        <v>2025</v>
      </c>
      <c r="B271" t="s">
        <v>112</v>
      </c>
      <c r="C271">
        <v>27</v>
      </c>
    </row>
    <row r="272" spans="1:3" x14ac:dyDescent="0.25">
      <c r="A272">
        <v>2025</v>
      </c>
      <c r="B272" t="s">
        <v>112</v>
      </c>
      <c r="C272">
        <v>28</v>
      </c>
    </row>
    <row r="273" spans="1:3" x14ac:dyDescent="0.25">
      <c r="A273">
        <v>2025</v>
      </c>
      <c r="B273" t="s">
        <v>112</v>
      </c>
      <c r="C273">
        <v>29</v>
      </c>
    </row>
    <row r="274" spans="1:3" x14ac:dyDescent="0.25">
      <c r="A274">
        <v>2025</v>
      </c>
      <c r="B274" t="s">
        <v>112</v>
      </c>
      <c r="C274">
        <v>30</v>
      </c>
    </row>
    <row r="275" spans="1:3" x14ac:dyDescent="0.25">
      <c r="A275">
        <v>2025</v>
      </c>
      <c r="B275" t="s">
        <v>113</v>
      </c>
      <c r="C275">
        <v>1</v>
      </c>
    </row>
    <row r="276" spans="1:3" x14ac:dyDescent="0.25">
      <c r="A276">
        <v>2025</v>
      </c>
      <c r="B276" t="s">
        <v>113</v>
      </c>
      <c r="C276">
        <v>2</v>
      </c>
    </row>
    <row r="277" spans="1:3" x14ac:dyDescent="0.25">
      <c r="A277">
        <v>2025</v>
      </c>
      <c r="B277" t="s">
        <v>113</v>
      </c>
      <c r="C277">
        <v>3</v>
      </c>
    </row>
    <row r="278" spans="1:3" x14ac:dyDescent="0.25">
      <c r="A278">
        <v>2025</v>
      </c>
      <c r="B278" t="s">
        <v>113</v>
      </c>
      <c r="C278">
        <v>4</v>
      </c>
    </row>
    <row r="279" spans="1:3" x14ac:dyDescent="0.25">
      <c r="A279">
        <v>2025</v>
      </c>
      <c r="B279" t="s">
        <v>113</v>
      </c>
      <c r="C279">
        <v>5</v>
      </c>
    </row>
    <row r="280" spans="1:3" x14ac:dyDescent="0.25">
      <c r="A280">
        <v>2025</v>
      </c>
      <c r="B280" t="s">
        <v>113</v>
      </c>
      <c r="C280">
        <v>6</v>
      </c>
    </row>
    <row r="281" spans="1:3" x14ac:dyDescent="0.25">
      <c r="A281">
        <v>2025</v>
      </c>
      <c r="B281" t="s">
        <v>113</v>
      </c>
      <c r="C281">
        <v>7</v>
      </c>
    </row>
    <row r="282" spans="1:3" x14ac:dyDescent="0.25">
      <c r="A282">
        <v>2025</v>
      </c>
      <c r="B282" t="s">
        <v>113</v>
      </c>
      <c r="C282">
        <v>8</v>
      </c>
    </row>
    <row r="283" spans="1:3" x14ac:dyDescent="0.25">
      <c r="A283">
        <v>2025</v>
      </c>
      <c r="B283" t="s">
        <v>113</v>
      </c>
      <c r="C283">
        <v>9</v>
      </c>
    </row>
    <row r="284" spans="1:3" x14ac:dyDescent="0.25">
      <c r="A284">
        <v>2025</v>
      </c>
      <c r="B284" t="s">
        <v>113</v>
      </c>
      <c r="C284">
        <v>10</v>
      </c>
    </row>
    <row r="285" spans="1:3" x14ac:dyDescent="0.25">
      <c r="A285">
        <v>2025</v>
      </c>
      <c r="B285" t="s">
        <v>113</v>
      </c>
      <c r="C285">
        <v>11</v>
      </c>
    </row>
    <row r="286" spans="1:3" x14ac:dyDescent="0.25">
      <c r="A286">
        <v>2025</v>
      </c>
      <c r="B286" t="s">
        <v>113</v>
      </c>
      <c r="C286">
        <v>12</v>
      </c>
    </row>
    <row r="287" spans="1:3" x14ac:dyDescent="0.25">
      <c r="A287">
        <v>2025</v>
      </c>
      <c r="B287" t="s">
        <v>113</v>
      </c>
      <c r="C287">
        <v>13</v>
      </c>
    </row>
    <row r="288" spans="1:3" x14ac:dyDescent="0.25">
      <c r="A288">
        <v>2025</v>
      </c>
      <c r="B288" t="s">
        <v>113</v>
      </c>
      <c r="C288">
        <v>14</v>
      </c>
    </row>
    <row r="289" spans="1:3" x14ac:dyDescent="0.25">
      <c r="A289">
        <v>2025</v>
      </c>
      <c r="B289" t="s">
        <v>113</v>
      </c>
      <c r="C289">
        <v>15</v>
      </c>
    </row>
    <row r="290" spans="1:3" x14ac:dyDescent="0.25">
      <c r="A290">
        <v>2025</v>
      </c>
      <c r="B290" t="s">
        <v>113</v>
      </c>
      <c r="C290">
        <v>16</v>
      </c>
    </row>
    <row r="291" spans="1:3" x14ac:dyDescent="0.25">
      <c r="A291">
        <v>2025</v>
      </c>
      <c r="B291" t="s">
        <v>113</v>
      </c>
      <c r="C291">
        <v>17</v>
      </c>
    </row>
    <row r="292" spans="1:3" x14ac:dyDescent="0.25">
      <c r="A292">
        <v>2025</v>
      </c>
      <c r="B292" t="s">
        <v>113</v>
      </c>
      <c r="C292">
        <v>18</v>
      </c>
    </row>
    <row r="293" spans="1:3" x14ac:dyDescent="0.25">
      <c r="A293">
        <v>2025</v>
      </c>
      <c r="B293" t="s">
        <v>113</v>
      </c>
      <c r="C293">
        <v>19</v>
      </c>
    </row>
    <row r="294" spans="1:3" x14ac:dyDescent="0.25">
      <c r="A294">
        <v>2025</v>
      </c>
      <c r="B294" t="s">
        <v>113</v>
      </c>
      <c r="C294">
        <v>20</v>
      </c>
    </row>
    <row r="295" spans="1:3" x14ac:dyDescent="0.25">
      <c r="A295">
        <v>2025</v>
      </c>
      <c r="B295" t="s">
        <v>113</v>
      </c>
      <c r="C295">
        <v>21</v>
      </c>
    </row>
    <row r="296" spans="1:3" x14ac:dyDescent="0.25">
      <c r="A296">
        <v>2025</v>
      </c>
      <c r="B296" t="s">
        <v>113</v>
      </c>
      <c r="C296">
        <v>22</v>
      </c>
    </row>
    <row r="297" spans="1:3" x14ac:dyDescent="0.25">
      <c r="A297">
        <v>2025</v>
      </c>
      <c r="B297" t="s">
        <v>113</v>
      </c>
      <c r="C297">
        <v>23</v>
      </c>
    </row>
    <row r="298" spans="1:3" x14ac:dyDescent="0.25">
      <c r="A298">
        <v>2025</v>
      </c>
      <c r="B298" t="s">
        <v>113</v>
      </c>
      <c r="C298">
        <v>24</v>
      </c>
    </row>
    <row r="299" spans="1:3" x14ac:dyDescent="0.25">
      <c r="A299">
        <v>2025</v>
      </c>
      <c r="B299" t="s">
        <v>113</v>
      </c>
      <c r="C299">
        <v>25</v>
      </c>
    </row>
    <row r="300" spans="1:3" x14ac:dyDescent="0.25">
      <c r="A300">
        <v>2025</v>
      </c>
      <c r="B300" t="s">
        <v>113</v>
      </c>
      <c r="C300">
        <v>26</v>
      </c>
    </row>
    <row r="301" spans="1:3" x14ac:dyDescent="0.25">
      <c r="A301">
        <v>2025</v>
      </c>
      <c r="B301" t="s">
        <v>113</v>
      </c>
      <c r="C301">
        <v>27</v>
      </c>
    </row>
    <row r="302" spans="1:3" x14ac:dyDescent="0.25">
      <c r="A302">
        <v>2025</v>
      </c>
      <c r="B302" t="s">
        <v>113</v>
      </c>
      <c r="C302">
        <v>28</v>
      </c>
    </row>
    <row r="303" spans="1:3" x14ac:dyDescent="0.25">
      <c r="A303">
        <v>2025</v>
      </c>
      <c r="B303" t="s">
        <v>113</v>
      </c>
      <c r="C303">
        <v>29</v>
      </c>
    </row>
    <row r="304" spans="1:3" x14ac:dyDescent="0.25">
      <c r="A304">
        <v>2025</v>
      </c>
      <c r="B304" t="s">
        <v>113</v>
      </c>
      <c r="C304">
        <v>30</v>
      </c>
    </row>
    <row r="305" spans="1:3" x14ac:dyDescent="0.25">
      <c r="A305">
        <v>2025</v>
      </c>
      <c r="B305" t="s">
        <v>113</v>
      </c>
      <c r="C305">
        <v>31</v>
      </c>
    </row>
    <row r="306" spans="1:3" x14ac:dyDescent="0.25">
      <c r="A306">
        <v>2025</v>
      </c>
      <c r="B306" t="s">
        <v>114</v>
      </c>
      <c r="C306">
        <v>1</v>
      </c>
    </row>
    <row r="307" spans="1:3" x14ac:dyDescent="0.25">
      <c r="A307">
        <v>2025</v>
      </c>
      <c r="B307" t="s">
        <v>114</v>
      </c>
      <c r="C307">
        <v>2</v>
      </c>
    </row>
    <row r="308" spans="1:3" x14ac:dyDescent="0.25">
      <c r="A308">
        <v>2025</v>
      </c>
      <c r="B308" t="s">
        <v>114</v>
      </c>
      <c r="C308">
        <v>3</v>
      </c>
    </row>
    <row r="309" spans="1:3" x14ac:dyDescent="0.25">
      <c r="A309">
        <v>2025</v>
      </c>
      <c r="B309" t="s">
        <v>114</v>
      </c>
      <c r="C309">
        <v>4</v>
      </c>
    </row>
    <row r="310" spans="1:3" x14ac:dyDescent="0.25">
      <c r="A310">
        <v>2025</v>
      </c>
      <c r="B310" t="s">
        <v>114</v>
      </c>
      <c r="C310">
        <v>5</v>
      </c>
    </row>
    <row r="311" spans="1:3" x14ac:dyDescent="0.25">
      <c r="A311">
        <v>2025</v>
      </c>
      <c r="B311" t="s">
        <v>114</v>
      </c>
      <c r="C311">
        <v>6</v>
      </c>
    </row>
    <row r="312" spans="1:3" x14ac:dyDescent="0.25">
      <c r="A312">
        <v>2025</v>
      </c>
      <c r="B312" t="s">
        <v>114</v>
      </c>
      <c r="C312">
        <v>7</v>
      </c>
    </row>
    <row r="313" spans="1:3" x14ac:dyDescent="0.25">
      <c r="A313">
        <v>2025</v>
      </c>
      <c r="B313" t="s">
        <v>114</v>
      </c>
      <c r="C313">
        <v>8</v>
      </c>
    </row>
    <row r="314" spans="1:3" x14ac:dyDescent="0.25">
      <c r="A314">
        <v>2025</v>
      </c>
      <c r="B314" t="s">
        <v>114</v>
      </c>
      <c r="C314">
        <v>9</v>
      </c>
    </row>
    <row r="315" spans="1:3" x14ac:dyDescent="0.25">
      <c r="A315">
        <v>2025</v>
      </c>
      <c r="B315" t="s">
        <v>114</v>
      </c>
      <c r="C315">
        <v>10</v>
      </c>
    </row>
    <row r="316" spans="1:3" x14ac:dyDescent="0.25">
      <c r="A316">
        <v>2025</v>
      </c>
      <c r="B316" t="s">
        <v>114</v>
      </c>
      <c r="C316">
        <v>11</v>
      </c>
    </row>
    <row r="317" spans="1:3" x14ac:dyDescent="0.25">
      <c r="A317">
        <v>2025</v>
      </c>
      <c r="B317" t="s">
        <v>114</v>
      </c>
      <c r="C317">
        <v>12</v>
      </c>
    </row>
    <row r="318" spans="1:3" x14ac:dyDescent="0.25">
      <c r="A318">
        <v>2025</v>
      </c>
      <c r="B318" t="s">
        <v>114</v>
      </c>
      <c r="C318">
        <v>13</v>
      </c>
    </row>
    <row r="319" spans="1:3" x14ac:dyDescent="0.25">
      <c r="A319">
        <v>2025</v>
      </c>
      <c r="B319" t="s">
        <v>114</v>
      </c>
      <c r="C319">
        <v>14</v>
      </c>
    </row>
    <row r="320" spans="1:3" x14ac:dyDescent="0.25">
      <c r="A320">
        <v>2025</v>
      </c>
      <c r="B320" t="s">
        <v>114</v>
      </c>
      <c r="C320">
        <v>15</v>
      </c>
    </row>
    <row r="321" spans="1:3" x14ac:dyDescent="0.25">
      <c r="A321">
        <v>2025</v>
      </c>
      <c r="B321" t="s">
        <v>114</v>
      </c>
      <c r="C321">
        <v>16</v>
      </c>
    </row>
    <row r="322" spans="1:3" x14ac:dyDescent="0.25">
      <c r="A322">
        <v>2025</v>
      </c>
      <c r="B322" t="s">
        <v>114</v>
      </c>
      <c r="C322">
        <v>17</v>
      </c>
    </row>
    <row r="323" spans="1:3" x14ac:dyDescent="0.25">
      <c r="A323">
        <v>2025</v>
      </c>
      <c r="B323" t="s">
        <v>114</v>
      </c>
      <c r="C323">
        <v>18</v>
      </c>
    </row>
    <row r="324" spans="1:3" x14ac:dyDescent="0.25">
      <c r="A324">
        <v>2025</v>
      </c>
      <c r="B324" t="s">
        <v>114</v>
      </c>
      <c r="C324">
        <v>19</v>
      </c>
    </row>
    <row r="325" spans="1:3" x14ac:dyDescent="0.25">
      <c r="A325">
        <v>2025</v>
      </c>
      <c r="B325" t="s">
        <v>114</v>
      </c>
      <c r="C325">
        <v>20</v>
      </c>
    </row>
    <row r="326" spans="1:3" x14ac:dyDescent="0.25">
      <c r="A326">
        <v>2025</v>
      </c>
      <c r="B326" t="s">
        <v>114</v>
      </c>
      <c r="C326">
        <v>21</v>
      </c>
    </row>
    <row r="327" spans="1:3" x14ac:dyDescent="0.25">
      <c r="A327">
        <v>2025</v>
      </c>
      <c r="B327" t="s">
        <v>114</v>
      </c>
      <c r="C327">
        <v>22</v>
      </c>
    </row>
    <row r="328" spans="1:3" x14ac:dyDescent="0.25">
      <c r="A328">
        <v>2025</v>
      </c>
      <c r="B328" t="s">
        <v>114</v>
      </c>
      <c r="C328">
        <v>23</v>
      </c>
    </row>
    <row r="329" spans="1:3" x14ac:dyDescent="0.25">
      <c r="A329">
        <v>2025</v>
      </c>
      <c r="B329" t="s">
        <v>114</v>
      </c>
      <c r="C329">
        <v>24</v>
      </c>
    </row>
    <row r="330" spans="1:3" x14ac:dyDescent="0.25">
      <c r="A330">
        <v>2025</v>
      </c>
      <c r="B330" t="s">
        <v>114</v>
      </c>
      <c r="C330">
        <v>25</v>
      </c>
    </row>
    <row r="331" spans="1:3" x14ac:dyDescent="0.25">
      <c r="A331">
        <v>2025</v>
      </c>
      <c r="B331" t="s">
        <v>114</v>
      </c>
      <c r="C331">
        <v>26</v>
      </c>
    </row>
    <row r="332" spans="1:3" x14ac:dyDescent="0.25">
      <c r="A332">
        <v>2025</v>
      </c>
      <c r="B332" t="s">
        <v>114</v>
      </c>
      <c r="C332">
        <v>27</v>
      </c>
    </row>
    <row r="333" spans="1:3" x14ac:dyDescent="0.25">
      <c r="A333">
        <v>2025</v>
      </c>
      <c r="B333" t="s">
        <v>114</v>
      </c>
      <c r="C333">
        <v>28</v>
      </c>
    </row>
    <row r="334" spans="1:3" x14ac:dyDescent="0.25">
      <c r="A334">
        <v>2025</v>
      </c>
      <c r="B334" t="s">
        <v>114</v>
      </c>
      <c r="C334">
        <v>29</v>
      </c>
    </row>
    <row r="335" spans="1:3" x14ac:dyDescent="0.25">
      <c r="A335">
        <v>2025</v>
      </c>
      <c r="B335" t="s">
        <v>114</v>
      </c>
      <c r="C335">
        <v>30</v>
      </c>
    </row>
    <row r="336" spans="1:3" x14ac:dyDescent="0.25">
      <c r="A336">
        <v>2025</v>
      </c>
      <c r="B336" t="s">
        <v>115</v>
      </c>
      <c r="C336">
        <v>1</v>
      </c>
    </row>
    <row r="337" spans="1:3" x14ac:dyDescent="0.25">
      <c r="A337">
        <v>2025</v>
      </c>
      <c r="B337" t="s">
        <v>115</v>
      </c>
      <c r="C337">
        <v>2</v>
      </c>
    </row>
    <row r="338" spans="1:3" x14ac:dyDescent="0.25">
      <c r="A338">
        <v>2025</v>
      </c>
      <c r="B338" t="s">
        <v>115</v>
      </c>
      <c r="C338">
        <v>3</v>
      </c>
    </row>
    <row r="339" spans="1:3" x14ac:dyDescent="0.25">
      <c r="A339">
        <v>2025</v>
      </c>
      <c r="B339" t="s">
        <v>115</v>
      </c>
      <c r="C339">
        <v>4</v>
      </c>
    </row>
    <row r="340" spans="1:3" x14ac:dyDescent="0.25">
      <c r="A340">
        <v>2025</v>
      </c>
      <c r="B340" t="s">
        <v>115</v>
      </c>
      <c r="C340">
        <v>5</v>
      </c>
    </row>
    <row r="341" spans="1:3" x14ac:dyDescent="0.25">
      <c r="A341">
        <v>2025</v>
      </c>
      <c r="B341" t="s">
        <v>115</v>
      </c>
      <c r="C341">
        <v>6</v>
      </c>
    </row>
    <row r="342" spans="1:3" x14ac:dyDescent="0.25">
      <c r="A342">
        <v>2025</v>
      </c>
      <c r="B342" t="s">
        <v>115</v>
      </c>
      <c r="C342">
        <v>7</v>
      </c>
    </row>
    <row r="343" spans="1:3" x14ac:dyDescent="0.25">
      <c r="A343">
        <v>2025</v>
      </c>
      <c r="B343" t="s">
        <v>115</v>
      </c>
      <c r="C343">
        <v>8</v>
      </c>
    </row>
    <row r="344" spans="1:3" x14ac:dyDescent="0.25">
      <c r="A344">
        <v>2025</v>
      </c>
      <c r="B344" t="s">
        <v>115</v>
      </c>
      <c r="C344">
        <v>9</v>
      </c>
    </row>
    <row r="345" spans="1:3" x14ac:dyDescent="0.25">
      <c r="A345">
        <v>2025</v>
      </c>
      <c r="B345" t="s">
        <v>115</v>
      </c>
      <c r="C345">
        <v>10</v>
      </c>
    </row>
    <row r="346" spans="1:3" x14ac:dyDescent="0.25">
      <c r="A346">
        <v>2025</v>
      </c>
      <c r="B346" t="s">
        <v>115</v>
      </c>
      <c r="C346">
        <v>11</v>
      </c>
    </row>
    <row r="347" spans="1:3" x14ac:dyDescent="0.25">
      <c r="A347">
        <v>2025</v>
      </c>
      <c r="B347" t="s">
        <v>115</v>
      </c>
      <c r="C347">
        <v>12</v>
      </c>
    </row>
    <row r="348" spans="1:3" x14ac:dyDescent="0.25">
      <c r="A348">
        <v>2025</v>
      </c>
      <c r="B348" t="s">
        <v>115</v>
      </c>
      <c r="C348">
        <v>13</v>
      </c>
    </row>
    <row r="349" spans="1:3" x14ac:dyDescent="0.25">
      <c r="A349">
        <v>2025</v>
      </c>
      <c r="B349" t="s">
        <v>115</v>
      </c>
      <c r="C349">
        <v>14</v>
      </c>
    </row>
    <row r="350" spans="1:3" x14ac:dyDescent="0.25">
      <c r="A350">
        <v>2025</v>
      </c>
      <c r="B350" t="s">
        <v>115</v>
      </c>
      <c r="C350">
        <v>15</v>
      </c>
    </row>
    <row r="351" spans="1:3" x14ac:dyDescent="0.25">
      <c r="A351">
        <v>2025</v>
      </c>
      <c r="B351" t="s">
        <v>115</v>
      </c>
      <c r="C351">
        <v>16</v>
      </c>
    </row>
    <row r="352" spans="1:3" x14ac:dyDescent="0.25">
      <c r="A352">
        <v>2025</v>
      </c>
      <c r="B352" t="s">
        <v>115</v>
      </c>
      <c r="C352">
        <v>17</v>
      </c>
    </row>
    <row r="353" spans="1:3" x14ac:dyDescent="0.25">
      <c r="A353">
        <v>2025</v>
      </c>
      <c r="B353" t="s">
        <v>115</v>
      </c>
      <c r="C353">
        <v>18</v>
      </c>
    </row>
    <row r="354" spans="1:3" x14ac:dyDescent="0.25">
      <c r="A354">
        <v>2025</v>
      </c>
      <c r="B354" t="s">
        <v>115</v>
      </c>
      <c r="C354">
        <v>19</v>
      </c>
    </row>
    <row r="355" spans="1:3" x14ac:dyDescent="0.25">
      <c r="A355">
        <v>2025</v>
      </c>
      <c r="B355" t="s">
        <v>115</v>
      </c>
      <c r="C355">
        <v>20</v>
      </c>
    </row>
    <row r="356" spans="1:3" x14ac:dyDescent="0.25">
      <c r="A356">
        <v>2025</v>
      </c>
      <c r="B356" t="s">
        <v>115</v>
      </c>
      <c r="C356">
        <v>21</v>
      </c>
    </row>
    <row r="357" spans="1:3" x14ac:dyDescent="0.25">
      <c r="A357">
        <v>2025</v>
      </c>
      <c r="B357" t="s">
        <v>115</v>
      </c>
      <c r="C357">
        <v>22</v>
      </c>
    </row>
    <row r="358" spans="1:3" x14ac:dyDescent="0.25">
      <c r="A358">
        <v>2025</v>
      </c>
      <c r="B358" t="s">
        <v>115</v>
      </c>
      <c r="C358">
        <v>23</v>
      </c>
    </row>
    <row r="359" spans="1:3" x14ac:dyDescent="0.25">
      <c r="A359">
        <v>2025</v>
      </c>
      <c r="B359" t="s">
        <v>115</v>
      </c>
      <c r="C359">
        <v>24</v>
      </c>
    </row>
    <row r="360" spans="1:3" x14ac:dyDescent="0.25">
      <c r="A360">
        <v>2025</v>
      </c>
      <c r="B360" t="s">
        <v>115</v>
      </c>
      <c r="C360">
        <v>25</v>
      </c>
    </row>
    <row r="361" spans="1:3" x14ac:dyDescent="0.25">
      <c r="A361">
        <v>2025</v>
      </c>
      <c r="B361" t="s">
        <v>115</v>
      </c>
      <c r="C361">
        <v>26</v>
      </c>
    </row>
    <row r="362" spans="1:3" x14ac:dyDescent="0.25">
      <c r="A362">
        <v>2025</v>
      </c>
      <c r="B362" t="s">
        <v>115</v>
      </c>
      <c r="C362">
        <v>27</v>
      </c>
    </row>
    <row r="363" spans="1:3" x14ac:dyDescent="0.25">
      <c r="A363">
        <v>2025</v>
      </c>
      <c r="B363" t="s">
        <v>115</v>
      </c>
      <c r="C363">
        <v>28</v>
      </c>
    </row>
    <row r="364" spans="1:3" x14ac:dyDescent="0.25">
      <c r="A364">
        <v>2025</v>
      </c>
      <c r="B364" t="s">
        <v>115</v>
      </c>
      <c r="C364">
        <v>29</v>
      </c>
    </row>
    <row r="365" spans="1:3" x14ac:dyDescent="0.25">
      <c r="A365">
        <v>2025</v>
      </c>
      <c r="B365" t="s">
        <v>115</v>
      </c>
      <c r="C365">
        <v>30</v>
      </c>
    </row>
    <row r="366" spans="1:3" x14ac:dyDescent="0.25">
      <c r="A366">
        <v>2025</v>
      </c>
      <c r="B366" t="s">
        <v>115</v>
      </c>
      <c r="C366">
        <v>31</v>
      </c>
    </row>
    <row r="367" spans="1:3" x14ac:dyDescent="0.25">
      <c r="A367">
        <v>2026</v>
      </c>
      <c r="B367" t="s">
        <v>104</v>
      </c>
      <c r="C367">
        <v>1</v>
      </c>
    </row>
    <row r="368" spans="1:3" x14ac:dyDescent="0.25">
      <c r="A368">
        <v>2026</v>
      </c>
      <c r="B368" t="s">
        <v>104</v>
      </c>
      <c r="C368">
        <v>2</v>
      </c>
    </row>
    <row r="369" spans="1:3" x14ac:dyDescent="0.25">
      <c r="A369">
        <v>2026</v>
      </c>
      <c r="B369" t="s">
        <v>104</v>
      </c>
      <c r="C369">
        <v>3</v>
      </c>
    </row>
    <row r="370" spans="1:3" x14ac:dyDescent="0.25">
      <c r="A370">
        <v>2026</v>
      </c>
      <c r="B370" t="s">
        <v>104</v>
      </c>
      <c r="C370">
        <v>4</v>
      </c>
    </row>
    <row r="371" spans="1:3" x14ac:dyDescent="0.25">
      <c r="A371">
        <v>2026</v>
      </c>
      <c r="B371" t="s">
        <v>104</v>
      </c>
      <c r="C371">
        <v>5</v>
      </c>
    </row>
    <row r="372" spans="1:3" x14ac:dyDescent="0.25">
      <c r="A372">
        <v>2026</v>
      </c>
      <c r="B372" t="s">
        <v>104</v>
      </c>
      <c r="C372">
        <v>6</v>
      </c>
    </row>
    <row r="373" spans="1:3" x14ac:dyDescent="0.25">
      <c r="A373">
        <v>2026</v>
      </c>
      <c r="B373" t="s">
        <v>104</v>
      </c>
      <c r="C373">
        <v>7</v>
      </c>
    </row>
    <row r="374" spans="1:3" x14ac:dyDescent="0.25">
      <c r="A374">
        <v>2026</v>
      </c>
      <c r="B374" t="s">
        <v>104</v>
      </c>
      <c r="C374">
        <v>8</v>
      </c>
    </row>
    <row r="375" spans="1:3" x14ac:dyDescent="0.25">
      <c r="A375">
        <v>2026</v>
      </c>
      <c r="B375" t="s">
        <v>104</v>
      </c>
      <c r="C375">
        <v>9</v>
      </c>
    </row>
    <row r="376" spans="1:3" x14ac:dyDescent="0.25">
      <c r="A376">
        <v>2026</v>
      </c>
      <c r="B376" t="s">
        <v>104</v>
      </c>
      <c r="C376">
        <v>10</v>
      </c>
    </row>
    <row r="377" spans="1:3" x14ac:dyDescent="0.25">
      <c r="A377">
        <v>2026</v>
      </c>
      <c r="B377" t="s">
        <v>104</v>
      </c>
      <c r="C377">
        <v>11</v>
      </c>
    </row>
    <row r="378" spans="1:3" x14ac:dyDescent="0.25">
      <c r="A378">
        <v>2026</v>
      </c>
      <c r="B378" t="s">
        <v>104</v>
      </c>
      <c r="C378">
        <v>12</v>
      </c>
    </row>
    <row r="379" spans="1:3" x14ac:dyDescent="0.25">
      <c r="A379">
        <v>2026</v>
      </c>
      <c r="B379" t="s">
        <v>104</v>
      </c>
      <c r="C379">
        <v>13</v>
      </c>
    </row>
    <row r="380" spans="1:3" x14ac:dyDescent="0.25">
      <c r="A380">
        <v>2026</v>
      </c>
      <c r="B380" t="s">
        <v>104</v>
      </c>
      <c r="C380">
        <v>14</v>
      </c>
    </row>
    <row r="381" spans="1:3" x14ac:dyDescent="0.25">
      <c r="A381">
        <v>2026</v>
      </c>
      <c r="B381" t="s">
        <v>104</v>
      </c>
      <c r="C381">
        <v>15</v>
      </c>
    </row>
    <row r="382" spans="1:3" x14ac:dyDescent="0.25">
      <c r="A382">
        <v>2026</v>
      </c>
      <c r="B382" t="s">
        <v>104</v>
      </c>
      <c r="C382">
        <v>16</v>
      </c>
    </row>
    <row r="383" spans="1:3" x14ac:dyDescent="0.25">
      <c r="A383">
        <v>2026</v>
      </c>
      <c r="B383" t="s">
        <v>104</v>
      </c>
      <c r="C383">
        <v>17</v>
      </c>
    </row>
    <row r="384" spans="1:3" x14ac:dyDescent="0.25">
      <c r="A384">
        <v>2026</v>
      </c>
      <c r="B384" t="s">
        <v>104</v>
      </c>
      <c r="C384">
        <v>18</v>
      </c>
    </row>
    <row r="385" spans="1:3" x14ac:dyDescent="0.25">
      <c r="A385">
        <v>2026</v>
      </c>
      <c r="B385" t="s">
        <v>104</v>
      </c>
      <c r="C385">
        <v>19</v>
      </c>
    </row>
    <row r="386" spans="1:3" x14ac:dyDescent="0.25">
      <c r="A386">
        <v>2026</v>
      </c>
      <c r="B386" t="s">
        <v>104</v>
      </c>
      <c r="C386">
        <v>20</v>
      </c>
    </row>
    <row r="387" spans="1:3" x14ac:dyDescent="0.25">
      <c r="A387">
        <v>2026</v>
      </c>
      <c r="B387" t="s">
        <v>104</v>
      </c>
      <c r="C387">
        <v>21</v>
      </c>
    </row>
    <row r="388" spans="1:3" x14ac:dyDescent="0.25">
      <c r="A388">
        <v>2026</v>
      </c>
      <c r="B388" t="s">
        <v>104</v>
      </c>
      <c r="C388">
        <v>22</v>
      </c>
    </row>
    <row r="389" spans="1:3" x14ac:dyDescent="0.25">
      <c r="A389">
        <v>2026</v>
      </c>
      <c r="B389" t="s">
        <v>104</v>
      </c>
      <c r="C389">
        <v>23</v>
      </c>
    </row>
    <row r="390" spans="1:3" x14ac:dyDescent="0.25">
      <c r="A390">
        <v>2026</v>
      </c>
      <c r="B390" t="s">
        <v>104</v>
      </c>
      <c r="C390">
        <v>24</v>
      </c>
    </row>
    <row r="391" spans="1:3" x14ac:dyDescent="0.25">
      <c r="A391">
        <v>2026</v>
      </c>
      <c r="B391" t="s">
        <v>104</v>
      </c>
      <c r="C391">
        <v>25</v>
      </c>
    </row>
    <row r="392" spans="1:3" x14ac:dyDescent="0.25">
      <c r="A392">
        <v>2026</v>
      </c>
      <c r="B392" t="s">
        <v>104</v>
      </c>
      <c r="C392">
        <v>26</v>
      </c>
    </row>
    <row r="393" spans="1:3" x14ac:dyDescent="0.25">
      <c r="A393">
        <v>2026</v>
      </c>
      <c r="B393" t="s">
        <v>104</v>
      </c>
      <c r="C393">
        <v>27</v>
      </c>
    </row>
    <row r="394" spans="1:3" x14ac:dyDescent="0.25">
      <c r="A394">
        <v>2026</v>
      </c>
      <c r="B394" t="s">
        <v>104</v>
      </c>
      <c r="C394">
        <v>28</v>
      </c>
    </row>
    <row r="395" spans="1:3" x14ac:dyDescent="0.25">
      <c r="A395">
        <v>2026</v>
      </c>
      <c r="B395" t="s">
        <v>104</v>
      </c>
      <c r="C395">
        <v>29</v>
      </c>
    </row>
    <row r="396" spans="1:3" x14ac:dyDescent="0.25">
      <c r="A396">
        <v>2026</v>
      </c>
      <c r="B396" t="s">
        <v>104</v>
      </c>
      <c r="C396">
        <v>30</v>
      </c>
    </row>
    <row r="397" spans="1:3" x14ac:dyDescent="0.25">
      <c r="A397">
        <v>2026</v>
      </c>
      <c r="B397" t="s">
        <v>104</v>
      </c>
      <c r="C397">
        <v>31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B20ED-7C10-477B-AADD-46AD4FEC1511}">
  <dimension ref="A1:J58"/>
  <sheetViews>
    <sheetView workbookViewId="0">
      <selection activeCell="F1" sqref="F1:J1048576"/>
    </sheetView>
  </sheetViews>
  <sheetFormatPr defaultRowHeight="15" x14ac:dyDescent="0.25"/>
  <cols>
    <col min="1" max="1" width="7.28515625" bestFit="1" customWidth="1"/>
    <col min="2" max="2" width="11" customWidth="1"/>
    <col min="3" max="3" width="9" customWidth="1"/>
    <col min="4" max="5" width="14.42578125" customWidth="1"/>
    <col min="6" max="10" width="16.42578125" customWidth="1"/>
  </cols>
  <sheetData>
    <row r="1" spans="1:10" x14ac:dyDescent="0.25">
      <c r="A1" t="s">
        <v>116</v>
      </c>
      <c r="B1" t="s">
        <v>117</v>
      </c>
      <c r="C1" t="s">
        <v>120</v>
      </c>
      <c r="D1" t="s">
        <v>118</v>
      </c>
      <c r="E1" t="s">
        <v>119</v>
      </c>
      <c r="F1" t="s">
        <v>100</v>
      </c>
      <c r="G1" t="s">
        <v>75</v>
      </c>
      <c r="H1" t="s">
        <v>101</v>
      </c>
      <c r="I1" t="s">
        <v>102</v>
      </c>
      <c r="J1" t="s">
        <v>74</v>
      </c>
    </row>
    <row r="2" spans="1:10" x14ac:dyDescent="0.25">
      <c r="A2">
        <v>2025</v>
      </c>
      <c r="B2" t="s">
        <v>104</v>
      </c>
      <c r="C2">
        <v>1</v>
      </c>
      <c r="D2" s="6">
        <v>45657</v>
      </c>
      <c r="E2" s="6">
        <v>45663</v>
      </c>
    </row>
    <row r="3" spans="1:10" x14ac:dyDescent="0.25">
      <c r="A3">
        <v>2025</v>
      </c>
      <c r="B3" t="s">
        <v>104</v>
      </c>
      <c r="C3">
        <v>2</v>
      </c>
      <c r="D3" s="6">
        <v>45664</v>
      </c>
      <c r="E3" s="6">
        <v>45670</v>
      </c>
    </row>
    <row r="4" spans="1:10" x14ac:dyDescent="0.25">
      <c r="A4">
        <v>2025</v>
      </c>
      <c r="B4" t="s">
        <v>104</v>
      </c>
      <c r="C4">
        <v>3</v>
      </c>
      <c r="D4" s="6">
        <v>45671</v>
      </c>
      <c r="E4" s="6">
        <v>45677</v>
      </c>
    </row>
    <row r="5" spans="1:10" x14ac:dyDescent="0.25">
      <c r="A5">
        <v>2025</v>
      </c>
      <c r="B5" t="s">
        <v>104</v>
      </c>
      <c r="C5">
        <v>4</v>
      </c>
      <c r="D5" s="6">
        <v>45678</v>
      </c>
      <c r="E5" s="6">
        <v>45684</v>
      </c>
    </row>
    <row r="6" spans="1:10" x14ac:dyDescent="0.25">
      <c r="A6">
        <v>2025</v>
      </c>
      <c r="B6" t="s">
        <v>104</v>
      </c>
      <c r="C6">
        <v>5</v>
      </c>
      <c r="D6" s="6">
        <v>45685</v>
      </c>
      <c r="E6" s="6">
        <v>45691</v>
      </c>
    </row>
    <row r="7" spans="1:10" x14ac:dyDescent="0.25">
      <c r="A7">
        <v>2025</v>
      </c>
      <c r="B7" t="s">
        <v>105</v>
      </c>
      <c r="C7">
        <v>6</v>
      </c>
      <c r="D7" s="6">
        <v>45692</v>
      </c>
      <c r="E7" s="6">
        <v>45698</v>
      </c>
    </row>
    <row r="8" spans="1:10" x14ac:dyDescent="0.25">
      <c r="A8">
        <v>2025</v>
      </c>
      <c r="B8" t="s">
        <v>105</v>
      </c>
      <c r="C8">
        <v>7</v>
      </c>
      <c r="D8" s="6">
        <v>45699</v>
      </c>
      <c r="E8" s="6">
        <v>45705</v>
      </c>
    </row>
    <row r="9" spans="1:10" x14ac:dyDescent="0.25">
      <c r="A9">
        <v>2025</v>
      </c>
      <c r="B9" t="s">
        <v>105</v>
      </c>
      <c r="C9">
        <v>8</v>
      </c>
      <c r="D9" s="6">
        <v>45706</v>
      </c>
      <c r="E9" s="6">
        <v>45712</v>
      </c>
    </row>
    <row r="10" spans="1:10" x14ac:dyDescent="0.25">
      <c r="A10">
        <v>2025</v>
      </c>
      <c r="B10" t="s">
        <v>105</v>
      </c>
      <c r="C10">
        <v>9</v>
      </c>
      <c r="D10" s="6">
        <v>45713</v>
      </c>
      <c r="E10" s="6">
        <v>45719</v>
      </c>
    </row>
    <row r="11" spans="1:10" x14ac:dyDescent="0.25">
      <c r="A11">
        <v>2025</v>
      </c>
      <c r="B11" t="s">
        <v>106</v>
      </c>
      <c r="C11">
        <v>10</v>
      </c>
      <c r="D11" s="6">
        <v>45720</v>
      </c>
      <c r="E11" s="6">
        <v>45726</v>
      </c>
    </row>
    <row r="12" spans="1:10" x14ac:dyDescent="0.25">
      <c r="A12">
        <v>2025</v>
      </c>
      <c r="B12" t="s">
        <v>106</v>
      </c>
      <c r="C12">
        <v>11</v>
      </c>
      <c r="D12" s="6">
        <v>45727</v>
      </c>
      <c r="E12" s="6">
        <v>45733</v>
      </c>
    </row>
    <row r="13" spans="1:10" x14ac:dyDescent="0.25">
      <c r="A13">
        <v>2025</v>
      </c>
      <c r="B13" t="s">
        <v>106</v>
      </c>
      <c r="C13">
        <v>12</v>
      </c>
      <c r="D13" s="6">
        <v>45734</v>
      </c>
      <c r="E13" s="6">
        <v>45740</v>
      </c>
    </row>
    <row r="14" spans="1:10" x14ac:dyDescent="0.25">
      <c r="A14">
        <v>2025</v>
      </c>
      <c r="B14" t="s">
        <v>106</v>
      </c>
      <c r="C14">
        <v>13</v>
      </c>
      <c r="D14" s="6">
        <v>45741</v>
      </c>
      <c r="E14" s="6">
        <v>45747</v>
      </c>
    </row>
    <row r="15" spans="1:10" x14ac:dyDescent="0.25">
      <c r="A15">
        <v>2025</v>
      </c>
      <c r="B15" t="s">
        <v>107</v>
      </c>
      <c r="C15">
        <v>14</v>
      </c>
      <c r="D15" s="6">
        <v>45748</v>
      </c>
      <c r="E15" s="6">
        <v>45754</v>
      </c>
    </row>
    <row r="16" spans="1:10" x14ac:dyDescent="0.25">
      <c r="A16">
        <v>2025</v>
      </c>
      <c r="B16" t="s">
        <v>107</v>
      </c>
      <c r="C16">
        <v>15</v>
      </c>
      <c r="D16" s="6">
        <v>45755</v>
      </c>
      <c r="E16" s="6">
        <v>45761</v>
      </c>
    </row>
    <row r="17" spans="1:5" x14ac:dyDescent="0.25">
      <c r="A17">
        <v>2025</v>
      </c>
      <c r="B17" t="s">
        <v>107</v>
      </c>
      <c r="C17">
        <v>16</v>
      </c>
      <c r="D17" s="6">
        <v>45762</v>
      </c>
      <c r="E17" s="6">
        <v>45768</v>
      </c>
    </row>
    <row r="18" spans="1:5" x14ac:dyDescent="0.25">
      <c r="A18">
        <v>2025</v>
      </c>
      <c r="B18" t="s">
        <v>107</v>
      </c>
      <c r="C18">
        <v>17</v>
      </c>
      <c r="D18" s="6">
        <v>45769</v>
      </c>
      <c r="E18" s="6">
        <v>45775</v>
      </c>
    </row>
    <row r="19" spans="1:5" x14ac:dyDescent="0.25">
      <c r="A19">
        <v>2025</v>
      </c>
      <c r="B19" t="s">
        <v>107</v>
      </c>
      <c r="C19">
        <v>18</v>
      </c>
      <c r="D19" s="6">
        <v>45776</v>
      </c>
      <c r="E19" s="6">
        <v>45782</v>
      </c>
    </row>
    <row r="20" spans="1:5" x14ac:dyDescent="0.25">
      <c r="A20">
        <v>2025</v>
      </c>
      <c r="B20" t="s">
        <v>108</v>
      </c>
      <c r="C20">
        <v>19</v>
      </c>
      <c r="D20" s="6">
        <v>45783</v>
      </c>
      <c r="E20" s="6">
        <v>45789</v>
      </c>
    </row>
    <row r="21" spans="1:5" x14ac:dyDescent="0.25">
      <c r="A21">
        <v>2025</v>
      </c>
      <c r="B21" t="s">
        <v>108</v>
      </c>
      <c r="C21">
        <v>20</v>
      </c>
      <c r="D21" s="6">
        <v>45790</v>
      </c>
      <c r="E21" s="6">
        <v>45796</v>
      </c>
    </row>
    <row r="22" spans="1:5" x14ac:dyDescent="0.25">
      <c r="A22">
        <v>2025</v>
      </c>
      <c r="B22" t="s">
        <v>108</v>
      </c>
      <c r="C22">
        <v>21</v>
      </c>
      <c r="D22" s="6">
        <v>45797</v>
      </c>
      <c r="E22" s="6">
        <v>45803</v>
      </c>
    </row>
    <row r="23" spans="1:5" x14ac:dyDescent="0.25">
      <c r="A23">
        <v>2025</v>
      </c>
      <c r="B23" t="s">
        <v>108</v>
      </c>
      <c r="C23">
        <v>22</v>
      </c>
      <c r="D23" s="6">
        <v>45804</v>
      </c>
      <c r="E23" s="6">
        <v>45810</v>
      </c>
    </row>
    <row r="24" spans="1:5" x14ac:dyDescent="0.25">
      <c r="A24">
        <v>2025</v>
      </c>
      <c r="B24" t="s">
        <v>109</v>
      </c>
      <c r="C24">
        <v>23</v>
      </c>
      <c r="D24" s="6">
        <v>45811</v>
      </c>
      <c r="E24" s="6">
        <v>45817</v>
      </c>
    </row>
    <row r="25" spans="1:5" x14ac:dyDescent="0.25">
      <c r="A25">
        <v>2025</v>
      </c>
      <c r="B25" t="s">
        <v>109</v>
      </c>
      <c r="C25">
        <v>24</v>
      </c>
      <c r="D25" s="6">
        <v>45818</v>
      </c>
      <c r="E25" s="6">
        <v>45824</v>
      </c>
    </row>
    <row r="26" spans="1:5" x14ac:dyDescent="0.25">
      <c r="A26">
        <v>2025</v>
      </c>
      <c r="B26" t="s">
        <v>109</v>
      </c>
      <c r="C26">
        <v>25</v>
      </c>
      <c r="D26" s="6">
        <v>45825</v>
      </c>
      <c r="E26" s="6">
        <v>45831</v>
      </c>
    </row>
    <row r="27" spans="1:5" x14ac:dyDescent="0.25">
      <c r="A27">
        <v>2025</v>
      </c>
      <c r="B27" t="s">
        <v>109</v>
      </c>
      <c r="C27">
        <v>26</v>
      </c>
      <c r="D27" s="6">
        <v>45832</v>
      </c>
      <c r="E27" s="6">
        <v>45838</v>
      </c>
    </row>
    <row r="28" spans="1:5" x14ac:dyDescent="0.25">
      <c r="A28">
        <v>2025</v>
      </c>
      <c r="B28" t="s">
        <v>110</v>
      </c>
      <c r="C28">
        <v>27</v>
      </c>
      <c r="D28" s="6">
        <v>45839</v>
      </c>
      <c r="E28" s="6">
        <v>45845</v>
      </c>
    </row>
    <row r="29" spans="1:5" x14ac:dyDescent="0.25">
      <c r="A29">
        <v>2025</v>
      </c>
      <c r="B29" t="s">
        <v>110</v>
      </c>
      <c r="C29">
        <v>28</v>
      </c>
      <c r="D29" s="6">
        <v>45846</v>
      </c>
      <c r="E29" s="6">
        <v>45852</v>
      </c>
    </row>
    <row r="30" spans="1:5" x14ac:dyDescent="0.25">
      <c r="A30">
        <v>2025</v>
      </c>
      <c r="B30" t="s">
        <v>110</v>
      </c>
      <c r="C30">
        <v>29</v>
      </c>
      <c r="D30" s="6">
        <v>45853</v>
      </c>
      <c r="E30" s="6">
        <v>45859</v>
      </c>
    </row>
    <row r="31" spans="1:5" x14ac:dyDescent="0.25">
      <c r="A31">
        <v>2025</v>
      </c>
      <c r="B31" t="s">
        <v>110</v>
      </c>
      <c r="C31">
        <v>30</v>
      </c>
      <c r="D31" s="6">
        <v>45860</v>
      </c>
      <c r="E31" s="6">
        <v>45866</v>
      </c>
    </row>
    <row r="32" spans="1:5" x14ac:dyDescent="0.25">
      <c r="A32">
        <v>2025</v>
      </c>
      <c r="B32" t="s">
        <v>110</v>
      </c>
      <c r="C32">
        <v>31</v>
      </c>
      <c r="D32" s="6">
        <v>45867</v>
      </c>
      <c r="E32" s="6">
        <v>45873</v>
      </c>
    </row>
    <row r="33" spans="1:5" x14ac:dyDescent="0.25">
      <c r="A33">
        <v>2025</v>
      </c>
      <c r="B33" t="s">
        <v>111</v>
      </c>
      <c r="C33">
        <v>32</v>
      </c>
      <c r="D33" s="6">
        <v>45874</v>
      </c>
      <c r="E33" s="6">
        <v>45880</v>
      </c>
    </row>
    <row r="34" spans="1:5" x14ac:dyDescent="0.25">
      <c r="A34">
        <v>2025</v>
      </c>
      <c r="B34" t="s">
        <v>111</v>
      </c>
      <c r="C34">
        <v>33</v>
      </c>
      <c r="D34" s="6">
        <v>45881</v>
      </c>
      <c r="E34" s="6">
        <v>45887</v>
      </c>
    </row>
    <row r="35" spans="1:5" x14ac:dyDescent="0.25">
      <c r="A35">
        <v>2025</v>
      </c>
      <c r="B35" t="s">
        <v>111</v>
      </c>
      <c r="C35">
        <v>34</v>
      </c>
      <c r="D35" s="6">
        <v>45888</v>
      </c>
      <c r="E35" s="6">
        <v>45894</v>
      </c>
    </row>
    <row r="36" spans="1:5" x14ac:dyDescent="0.25">
      <c r="A36">
        <v>2025</v>
      </c>
      <c r="B36" t="s">
        <v>111</v>
      </c>
      <c r="C36">
        <v>35</v>
      </c>
      <c r="D36" s="6">
        <v>45895</v>
      </c>
      <c r="E36" s="6">
        <v>45901</v>
      </c>
    </row>
    <row r="37" spans="1:5" x14ac:dyDescent="0.25">
      <c r="A37">
        <v>2025</v>
      </c>
      <c r="B37" t="s">
        <v>112</v>
      </c>
      <c r="C37">
        <v>36</v>
      </c>
      <c r="D37" s="6">
        <v>45902</v>
      </c>
      <c r="E37" s="6">
        <v>45908</v>
      </c>
    </row>
    <row r="38" spans="1:5" x14ac:dyDescent="0.25">
      <c r="A38">
        <v>2025</v>
      </c>
      <c r="B38" t="s">
        <v>112</v>
      </c>
      <c r="C38">
        <v>37</v>
      </c>
      <c r="D38" s="6">
        <v>45909</v>
      </c>
      <c r="E38" s="6">
        <v>45915</v>
      </c>
    </row>
    <row r="39" spans="1:5" x14ac:dyDescent="0.25">
      <c r="A39">
        <v>2025</v>
      </c>
      <c r="B39" t="s">
        <v>112</v>
      </c>
      <c r="C39">
        <v>38</v>
      </c>
      <c r="D39" s="6">
        <v>45916</v>
      </c>
      <c r="E39" s="6">
        <v>45922</v>
      </c>
    </row>
    <row r="40" spans="1:5" x14ac:dyDescent="0.25">
      <c r="A40">
        <v>2025</v>
      </c>
      <c r="B40" t="s">
        <v>112</v>
      </c>
      <c r="C40">
        <v>39</v>
      </c>
      <c r="D40" s="6">
        <v>45923</v>
      </c>
      <c r="E40" s="6">
        <v>45929</v>
      </c>
    </row>
    <row r="41" spans="1:5" x14ac:dyDescent="0.25">
      <c r="A41">
        <v>2025</v>
      </c>
      <c r="B41" t="s">
        <v>113</v>
      </c>
      <c r="C41">
        <v>40</v>
      </c>
      <c r="D41" s="6">
        <v>45930</v>
      </c>
      <c r="E41" s="6">
        <v>45936</v>
      </c>
    </row>
    <row r="42" spans="1:5" x14ac:dyDescent="0.25">
      <c r="A42">
        <v>2025</v>
      </c>
      <c r="B42" t="s">
        <v>113</v>
      </c>
      <c r="C42">
        <v>41</v>
      </c>
      <c r="D42" s="6">
        <v>45937</v>
      </c>
      <c r="E42" s="6">
        <v>45943</v>
      </c>
    </row>
    <row r="43" spans="1:5" x14ac:dyDescent="0.25">
      <c r="A43">
        <v>2025</v>
      </c>
      <c r="B43" t="s">
        <v>113</v>
      </c>
      <c r="C43">
        <v>42</v>
      </c>
      <c r="D43" s="6">
        <v>45944</v>
      </c>
      <c r="E43" s="6">
        <v>45950</v>
      </c>
    </row>
    <row r="44" spans="1:5" x14ac:dyDescent="0.25">
      <c r="A44">
        <v>2025</v>
      </c>
      <c r="B44" t="s">
        <v>113</v>
      </c>
      <c r="C44">
        <v>43</v>
      </c>
      <c r="D44" s="6">
        <v>45951</v>
      </c>
      <c r="E44" s="6">
        <v>45957</v>
      </c>
    </row>
    <row r="45" spans="1:5" x14ac:dyDescent="0.25">
      <c r="A45">
        <v>2025</v>
      </c>
      <c r="B45" t="s">
        <v>113</v>
      </c>
      <c r="C45">
        <v>44</v>
      </c>
      <c r="D45" s="6">
        <v>45958</v>
      </c>
      <c r="E45" s="6">
        <v>45964</v>
      </c>
    </row>
    <row r="46" spans="1:5" x14ac:dyDescent="0.25">
      <c r="A46">
        <v>2025</v>
      </c>
      <c r="B46" t="s">
        <v>114</v>
      </c>
      <c r="C46">
        <v>45</v>
      </c>
      <c r="D46" s="6">
        <v>45965</v>
      </c>
      <c r="E46" s="6">
        <v>45971</v>
      </c>
    </row>
    <row r="47" spans="1:5" x14ac:dyDescent="0.25">
      <c r="A47">
        <v>2025</v>
      </c>
      <c r="B47" t="s">
        <v>114</v>
      </c>
      <c r="C47">
        <v>46</v>
      </c>
      <c r="D47" s="6">
        <v>45972</v>
      </c>
      <c r="E47" s="6">
        <v>45978</v>
      </c>
    </row>
    <row r="48" spans="1:5" x14ac:dyDescent="0.25">
      <c r="A48">
        <v>2025</v>
      </c>
      <c r="B48" t="s">
        <v>114</v>
      </c>
      <c r="C48">
        <v>47</v>
      </c>
      <c r="D48" s="6">
        <v>45979</v>
      </c>
      <c r="E48" s="6">
        <v>45985</v>
      </c>
    </row>
    <row r="49" spans="1:5" x14ac:dyDescent="0.25">
      <c r="A49">
        <v>2025</v>
      </c>
      <c r="B49" t="s">
        <v>114</v>
      </c>
      <c r="C49">
        <v>48</v>
      </c>
      <c r="D49" s="6">
        <v>45986</v>
      </c>
      <c r="E49" s="6">
        <v>45992</v>
      </c>
    </row>
    <row r="50" spans="1:5" x14ac:dyDescent="0.25">
      <c r="A50">
        <v>2025</v>
      </c>
      <c r="B50" t="s">
        <v>115</v>
      </c>
      <c r="C50">
        <v>49</v>
      </c>
      <c r="D50" s="6">
        <v>45993</v>
      </c>
      <c r="E50" s="6">
        <v>45999</v>
      </c>
    </row>
    <row r="51" spans="1:5" x14ac:dyDescent="0.25">
      <c r="A51">
        <v>2025</v>
      </c>
      <c r="B51" t="s">
        <v>115</v>
      </c>
      <c r="C51">
        <v>50</v>
      </c>
      <c r="D51" s="6">
        <v>46000</v>
      </c>
      <c r="E51" s="6">
        <v>46006</v>
      </c>
    </row>
    <row r="52" spans="1:5" x14ac:dyDescent="0.25">
      <c r="A52">
        <v>2025</v>
      </c>
      <c r="B52" t="s">
        <v>115</v>
      </c>
      <c r="C52">
        <v>51</v>
      </c>
      <c r="D52" s="6">
        <v>46007</v>
      </c>
      <c r="E52" s="6">
        <v>46013</v>
      </c>
    </row>
    <row r="53" spans="1:5" x14ac:dyDescent="0.25">
      <c r="A53">
        <v>2025</v>
      </c>
      <c r="B53" t="s">
        <v>115</v>
      </c>
      <c r="C53">
        <v>52</v>
      </c>
      <c r="D53" s="6">
        <v>46014</v>
      </c>
      <c r="E53" s="6">
        <v>46020</v>
      </c>
    </row>
    <row r="54" spans="1:5" x14ac:dyDescent="0.25">
      <c r="A54">
        <v>2025</v>
      </c>
      <c r="B54" t="s">
        <v>115</v>
      </c>
      <c r="C54">
        <v>53</v>
      </c>
      <c r="D54" s="6">
        <v>46021</v>
      </c>
      <c r="E54" s="6">
        <v>46027</v>
      </c>
    </row>
    <row r="55" spans="1:5" x14ac:dyDescent="0.25">
      <c r="A55">
        <v>2026</v>
      </c>
      <c r="B55" t="s">
        <v>104</v>
      </c>
      <c r="C55">
        <v>54</v>
      </c>
      <c r="D55" s="6">
        <v>46028</v>
      </c>
      <c r="E55" s="6">
        <v>46034</v>
      </c>
    </row>
    <row r="56" spans="1:5" x14ac:dyDescent="0.25">
      <c r="A56">
        <v>2026</v>
      </c>
      <c r="B56" t="s">
        <v>104</v>
      </c>
      <c r="C56">
        <v>55</v>
      </c>
      <c r="D56" s="6">
        <v>46035</v>
      </c>
      <c r="E56" s="6">
        <v>46041</v>
      </c>
    </row>
    <row r="57" spans="1:5" x14ac:dyDescent="0.25">
      <c r="A57">
        <v>2026</v>
      </c>
      <c r="B57" t="s">
        <v>104</v>
      </c>
      <c r="C57">
        <v>56</v>
      </c>
      <c r="D57" s="6">
        <v>46042</v>
      </c>
      <c r="E57" s="6">
        <v>46048</v>
      </c>
    </row>
    <row r="58" spans="1:5" x14ac:dyDescent="0.25">
      <c r="A58">
        <v>2026</v>
      </c>
      <c r="B58" t="s">
        <v>104</v>
      </c>
      <c r="C58">
        <v>57</v>
      </c>
      <c r="D58" s="6">
        <v>46049</v>
      </c>
      <c r="E58" s="6">
        <v>46052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0CDC4-E46A-4EB9-8D2B-C0033A9A6636}">
  <dimension ref="A1:H26"/>
  <sheetViews>
    <sheetView workbookViewId="0">
      <selection activeCell="E31" sqref="E31"/>
    </sheetView>
  </sheetViews>
  <sheetFormatPr defaultRowHeight="15" x14ac:dyDescent="0.25"/>
  <cols>
    <col min="1" max="1" width="7.85546875" bestFit="1" customWidth="1"/>
    <col min="2" max="2" width="11.140625" bestFit="1" customWidth="1"/>
    <col min="3" max="3" width="17.140625" bestFit="1" customWidth="1"/>
    <col min="4" max="8" width="15.85546875" customWidth="1"/>
  </cols>
  <sheetData>
    <row r="1" spans="1:8" x14ac:dyDescent="0.25">
      <c r="A1" t="s">
        <v>98</v>
      </c>
      <c r="B1" t="s">
        <v>97</v>
      </c>
      <c r="C1" t="s">
        <v>99</v>
      </c>
      <c r="D1" t="s">
        <v>100</v>
      </c>
      <c r="E1" t="s">
        <v>75</v>
      </c>
      <c r="F1" t="s">
        <v>101</v>
      </c>
      <c r="G1" t="s">
        <v>102</v>
      </c>
      <c r="H1" t="s">
        <v>74</v>
      </c>
    </row>
    <row r="2" spans="1:8" x14ac:dyDescent="0.25">
      <c r="A2">
        <v>2025</v>
      </c>
      <c r="B2" t="s">
        <v>85</v>
      </c>
    </row>
    <row r="3" spans="1:8" x14ac:dyDescent="0.25">
      <c r="A3">
        <v>2025</v>
      </c>
      <c r="B3" t="s">
        <v>86</v>
      </c>
    </row>
    <row r="4" spans="1:8" x14ac:dyDescent="0.25">
      <c r="A4">
        <v>2025</v>
      </c>
      <c r="B4" t="s">
        <v>87</v>
      </c>
    </row>
    <row r="5" spans="1:8" x14ac:dyDescent="0.25">
      <c r="A5">
        <v>2025</v>
      </c>
      <c r="B5" t="s">
        <v>88</v>
      </c>
    </row>
    <row r="6" spans="1:8" x14ac:dyDescent="0.25">
      <c r="A6">
        <v>2025</v>
      </c>
      <c r="B6" t="s">
        <v>89</v>
      </c>
    </row>
    <row r="7" spans="1:8" x14ac:dyDescent="0.25">
      <c r="A7">
        <v>2025</v>
      </c>
      <c r="B7" t="s">
        <v>90</v>
      </c>
    </row>
    <row r="8" spans="1:8" x14ac:dyDescent="0.25">
      <c r="A8">
        <v>2025</v>
      </c>
      <c r="B8" t="s">
        <v>91</v>
      </c>
    </row>
    <row r="9" spans="1:8" x14ac:dyDescent="0.25">
      <c r="A9">
        <v>2025</v>
      </c>
      <c r="B9" t="s">
        <v>92</v>
      </c>
    </row>
    <row r="10" spans="1:8" x14ac:dyDescent="0.25">
      <c r="A10">
        <v>2025</v>
      </c>
      <c r="B10" t="s">
        <v>93</v>
      </c>
    </row>
    <row r="11" spans="1:8" x14ac:dyDescent="0.25">
      <c r="A11">
        <v>2025</v>
      </c>
      <c r="B11" t="s">
        <v>94</v>
      </c>
    </row>
    <row r="12" spans="1:8" x14ac:dyDescent="0.25">
      <c r="A12">
        <v>2025</v>
      </c>
      <c r="B12" t="s">
        <v>95</v>
      </c>
    </row>
    <row r="13" spans="1:8" x14ac:dyDescent="0.25">
      <c r="A13">
        <v>2025</v>
      </c>
      <c r="B13" t="s">
        <v>96</v>
      </c>
    </row>
    <row r="14" spans="1:8" x14ac:dyDescent="0.25">
      <c r="A14">
        <v>2026</v>
      </c>
      <c r="B14" t="s">
        <v>85</v>
      </c>
    </row>
    <row r="15" spans="1:8" x14ac:dyDescent="0.25">
      <c r="A15">
        <v>2026</v>
      </c>
      <c r="B15" t="s">
        <v>86</v>
      </c>
    </row>
    <row r="16" spans="1:8" x14ac:dyDescent="0.25">
      <c r="A16">
        <v>2026</v>
      </c>
      <c r="B16" t="s">
        <v>87</v>
      </c>
    </row>
    <row r="17" spans="1:2" x14ac:dyDescent="0.25">
      <c r="A17">
        <v>2026</v>
      </c>
      <c r="B17" t="s">
        <v>88</v>
      </c>
    </row>
    <row r="18" spans="1:2" x14ac:dyDescent="0.25">
      <c r="A18">
        <v>2026</v>
      </c>
      <c r="B18" t="s">
        <v>89</v>
      </c>
    </row>
    <row r="19" spans="1:2" x14ac:dyDescent="0.25">
      <c r="A19">
        <v>2026</v>
      </c>
      <c r="B19" t="s">
        <v>90</v>
      </c>
    </row>
    <row r="20" spans="1:2" x14ac:dyDescent="0.25">
      <c r="A20">
        <v>2026</v>
      </c>
      <c r="B20" t="s">
        <v>91</v>
      </c>
    </row>
    <row r="21" spans="1:2" x14ac:dyDescent="0.25">
      <c r="A21">
        <v>2026</v>
      </c>
      <c r="B21" t="s">
        <v>92</v>
      </c>
    </row>
    <row r="22" spans="1:2" x14ac:dyDescent="0.25">
      <c r="A22">
        <v>2026</v>
      </c>
      <c r="B22" t="s">
        <v>93</v>
      </c>
    </row>
    <row r="23" spans="1:2" x14ac:dyDescent="0.25">
      <c r="A23">
        <v>2026</v>
      </c>
      <c r="B23" t="s">
        <v>94</v>
      </c>
    </row>
    <row r="24" spans="1:2" x14ac:dyDescent="0.25">
      <c r="A24">
        <v>2026</v>
      </c>
      <c r="B24" t="s">
        <v>95</v>
      </c>
    </row>
    <row r="25" spans="1:2" x14ac:dyDescent="0.25">
      <c r="A25">
        <v>2026</v>
      </c>
      <c r="B25" t="s">
        <v>96</v>
      </c>
    </row>
    <row r="26" spans="1:2" x14ac:dyDescent="0.25">
      <c r="A26">
        <v>2026</v>
      </c>
      <c r="B26" t="s">
        <v>85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_TBL_INVENTORY_IN</vt:lpstr>
      <vt:lpstr>_TBL_PRODUCT</vt:lpstr>
      <vt:lpstr>_TBL_INVENTORY</vt:lpstr>
      <vt:lpstr>PC_INVENTORY</vt:lpstr>
      <vt:lpstr>LAPTOP_INVENTORY</vt:lpstr>
      <vt:lpstr>INVENTORY IN LOGS</vt:lpstr>
      <vt:lpstr>PRINTER_INVENTORY</vt:lpstr>
      <vt:lpstr>LAPTOP_PRODUCTION</vt:lpstr>
      <vt:lpstr>INVENTORY</vt:lpstr>
      <vt:lpstr>SALES_REPORT</vt:lpstr>
      <vt:lpstr>DAILY REVENUE</vt:lpstr>
      <vt:lpstr>WEEKLY REVENUE</vt:lpstr>
      <vt:lpstr>MONTHLY REVENUE</vt:lpstr>
      <vt:lpstr>NAMES_INVENTORY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2025-05-10T10:29:36Z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7a1f43e5-9d65-430f-ba1e-25f1b8d02514</vt:lpwstr>
  </property>
</Properties>
</file>