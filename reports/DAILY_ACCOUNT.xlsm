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1_{1B07E153-C65F-4D3B-849E-4181E77A656B}" xr6:coauthVersionLast="36" xr6:coauthVersionMax="47" xr10:uidLastSave="{00000000-0000-0000-0000-000000000000}"/>
  <bookViews>
    <workbookView xWindow="-120" yWindow="-120" windowWidth="29040" windowHeight="15720" tabRatio="811" firstSheet="9" activeTab="10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INVENTORY_IN" sheetId="19" state="hidden" r:id="rId6"/>
    <sheet name="_TBL_PRODUCT" sheetId="22" state="hidden" r:id="rId7"/>
    <sheet name="_TBL_INVENTORY_CATALOG" sheetId="21" state="hidden" r:id="rId8"/>
    <sheet name="_TBL_SALES" sheetId="23" state="hidden" r:id="rId9"/>
    <sheet name="INVENTORY IN LOGS" sheetId="2" r:id="rId10"/>
    <sheet name="SALES REPORT" sheetId="13" r:id="rId11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1" localSheetId="4" hidden="1">_TBL_DATES!$A$1:$E$9</definedName>
    <definedName name="ExternalData_1" localSheetId="5" hidden="1">_TBL_INVENTORY_IN!$A$2:$F$9</definedName>
    <definedName name="ExternalData_1" localSheetId="8" hidden="1">_TBL_SALES!$A$2:$I$3</definedName>
    <definedName name="ExternalData_2" localSheetId="2" hidden="1">_TBL_INVENTORY!$A$1:$G$47</definedName>
    <definedName name="ExternalData_2" localSheetId="7" hidden="1">_TBL_INVENTORY_CATALOG!$A$1:$B$6</definedName>
    <definedName name="ExternalData_3" localSheetId="1" hidden="1">_TBL_INVENTORY_TYPE!$A$1:$D$7</definedName>
    <definedName name="ExternalData_3" localSheetId="6" hidden="1">_TBL_PRODUCT!$A$2:$D$4</definedName>
    <definedName name="ExternalData_4" localSheetId="0" hidden="1">_TBL_SPECS!$A$1:$C$11</definedName>
    <definedName name="NAMES_INVENTORY">OFFSET(_TBL_INVENTORY[NAME], 0, 0, COUNTA(_TBL_INVENTORY[NAME]), 1)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C6" i="13" l="1"/>
  <c r="E8" i="2" l="1"/>
  <c r="F8" i="2" l="1"/>
  <c r="F9" i="2"/>
  <c r="F10" i="2"/>
  <c r="F11" i="2"/>
  <c r="E4" i="13"/>
  <c r="E5" i="13"/>
  <c r="E6" i="13"/>
  <c r="E7" i="13"/>
  <c r="E8" i="13"/>
  <c r="E9" i="13"/>
  <c r="E10" i="13"/>
  <c r="E11" i="13"/>
  <c r="E12" i="13"/>
  <c r="E13" i="13"/>
  <c r="E3" i="13"/>
  <c r="F5" i="13"/>
  <c r="F6" i="13"/>
  <c r="F7" i="13"/>
  <c r="F8" i="13"/>
  <c r="F9" i="13"/>
  <c r="F10" i="13"/>
  <c r="F11" i="13"/>
  <c r="F12" i="13"/>
  <c r="F13" i="13"/>
  <c r="F4" i="13"/>
  <c r="F3" i="13"/>
  <c r="D3" i="13"/>
  <c r="D4" i="13"/>
  <c r="D5" i="13"/>
  <c r="D6" i="13"/>
  <c r="D7" i="13"/>
  <c r="D8" i="13"/>
  <c r="D9" i="13"/>
  <c r="D10" i="13"/>
  <c r="D11" i="13"/>
  <c r="D12" i="13"/>
  <c r="D13" i="13"/>
  <c r="B4" i="13"/>
  <c r="C4" i="13"/>
  <c r="B5" i="13"/>
  <c r="C5" i="13"/>
  <c r="B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3" i="13"/>
  <c r="C3" i="13"/>
  <c r="C4" i="2" l="1"/>
  <c r="C5" i="2"/>
  <c r="C6" i="2"/>
  <c r="C7" i="2"/>
  <c r="C9" i="2"/>
  <c r="C10" i="2"/>
  <c r="E10" i="2" s="1"/>
  <c r="C11" i="2"/>
  <c r="E11" i="2" s="1"/>
  <c r="E4" i="2" l="1"/>
  <c r="F4" i="2"/>
  <c r="F5" i="2"/>
  <c r="F6" i="2"/>
  <c r="F7" i="2"/>
  <c r="F3" i="2"/>
  <c r="D3" i="2"/>
  <c r="D4" i="2"/>
  <c r="D5" i="2"/>
  <c r="E5" i="2" s="1"/>
  <c r="D6" i="2"/>
  <c r="E6" i="2" s="1"/>
  <c r="D7" i="2"/>
  <c r="E7" i="2" s="1"/>
  <c r="D9" i="2"/>
  <c r="E9" i="2" s="1"/>
  <c r="D10" i="2"/>
  <c r="D11" i="2"/>
  <c r="B6" i="2"/>
  <c r="B7" i="2"/>
  <c r="B4" i="2"/>
  <c r="B5" i="2"/>
  <c r="C3" i="2"/>
  <c r="B3" i="2"/>
  <c r="B14" i="13"/>
  <c r="G13" i="13"/>
  <c r="G12" i="13"/>
  <c r="G11" i="13"/>
  <c r="G10" i="13"/>
  <c r="G9" i="13"/>
  <c r="G8" i="13"/>
  <c r="G7" i="13"/>
  <c r="G6" i="13"/>
  <c r="G5" i="13"/>
  <c r="G4" i="13"/>
  <c r="D15" i="13"/>
  <c r="E3" i="2" l="1"/>
  <c r="D14" i="13"/>
  <c r="G3" i="13"/>
  <c r="G15" i="13" s="1"/>
  <c r="G14" i="13" l="1"/>
  <c r="G13" i="2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2ACFA833-07BC-4D80-B04D-0782BA6041B1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5" xr16:uid="{94EA6E8F-22EA-406B-8D98-629B42D5493F}" keepAlive="1" name="Query - _TBL_INVENTORY_IN" description="Connection to the '_TBL_INVENTORY_IN' query in the workbook." type="5" refreshedVersion="6" background="1" saveData="1">
    <dbPr connection="Provider=Microsoft.Mashup.OleDb.1;Data Source=$Workbook$;Location=_TBL_INVENTORY_IN;Extended Properties=&quot;&quot;" command="SELECT * FROM [_TBL_INVENTORY_IN]"/>
  </connection>
  <connection id="6" xr16:uid="{29BC9762-3BB6-4D05-83A6-69CF685CD6C0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7" xr16:uid="{447D6AD7-DA26-46F7-9589-299D45F1EA99}" keepAlive="1" name="Query - _TBL_SALES" description="Connection to the '_TBL_SALES' query in the workbook." type="5" refreshedVersion="6" background="1" saveData="1">
    <dbPr connection="Provider=Microsoft.Mashup.OleDb.1;Data Source=$Workbook$;Location=_TBL_SALES;Extended Properties=&quot;&quot;" command="SELECT * FROM [_TBL_SALES]"/>
  </connection>
  <connection id="8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9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1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<sst xmlns="http://schemas.openxmlformats.org/spreadsheetml/2006/main" count="210" uniqueCount="101">
  <si>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</si>
  <si>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</si>
  <si>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</si>
  <si>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</si>
  <si>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</si>
  <si>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</si>
  <si>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</si>
  <si>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</si>
  <si>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</si>
  <si>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  REGULAR 4 / 16</t>
  </si>
  <si>
    <t>HP</t>
  </si>
  <si>
    <t>Column1</t>
  </si>
  <si>
    <t>DATE</t>
  </si>
  <si>
    <t>INVENTORY ITEM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</si>
  <si>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</si>
  <si>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</si>
  <si>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</si>
  <si>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</si>
  <si>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</si>
  <si>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</si>
  <si>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</si>
  <si>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</si>
  <si>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</si>
  <si>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</si>
  <si>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</si>
  <si>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</si>
  <si>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</si>
  <si>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</si>
  <si>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</si>
  <si>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IN</t>
  </si>
  <si>
    <t>REMARKS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</si>
  <si>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</si>
  <si>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</si>
  <si>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</si>
  <si>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</si>
  <si>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</si>
  <si>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</si>
  <si>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</si>
  <si>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</si>
  <si>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</si>
  <si>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</si>
  <si>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</si>
  <si>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</si>
  <si>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</si>
  <si>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</si>
  <si>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</si>
  <si>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 xml:space="preserve">DELL CHARGER </t>
  </si>
  <si>
    <t>CHARGER</t>
  </si>
  <si>
    <t xml:space="preserve">HP CHARGER </t>
  </si>
  <si>
    <t>INVENTORY</t>
  </si>
  <si>
    <t>COST TOTAL</t>
  </si>
  <si>
    <t>COST PER PIECE</t>
  </si>
  <si>
    <t>TOTAL:</t>
  </si>
  <si>
    <t>PRICE PER PIECE</t>
  </si>
  <si>
    <t>TOTAL PRICE</t>
  </si>
  <si>
    <t>DELL 3120 TOUCHSCREEN 4 / 16</t>
  </si>
  <si>
    <t>BOX ID</t>
  </si>
  <si>
    <t>Bought from norhats</t>
  </si>
  <si>
    <t>Freebie</t>
  </si>
  <si>
    <t>INVENTORY IN</t>
  </si>
  <si>
    <t>PRODUCT SET</t>
  </si>
  <si>
    <t>DELL 3120 Set 3990</t>
  </si>
  <si>
    <t>PRODUCT ID</t>
  </si>
  <si>
    <t>INVENTORY ID</t>
  </si>
  <si>
    <t>DELL 3121 TOUCHSCREEN 4 / 16</t>
  </si>
  <si>
    <t>PRODUCT NAME</t>
  </si>
  <si>
    <t>DEFAULT PRICE</t>
  </si>
  <si>
    <t>DETAILS</t>
  </si>
  <si>
    <t xml:space="preserve">• DELL 3120 REGULAR 4 / 16
• DELL CHARGER </t>
  </si>
  <si>
    <t>HP Set 3990</t>
  </si>
  <si>
    <t xml:space="preserve">• HP  REGULAR 4 / 16
• HP CHARGER </t>
  </si>
  <si>
    <t>PRICE DEFAULT</t>
  </si>
  <si>
    <t>PRICE SOLD</t>
  </si>
  <si>
    <t>DIFF</t>
  </si>
  <si>
    <t>SELLER NAME</t>
  </si>
  <si>
    <t>count</t>
  </si>
  <si>
    <t/>
  </si>
  <si>
    <t>COUNT</t>
  </si>
  <si>
    <t>SALES REPORT</t>
  </si>
  <si>
    <t>70</t>
  </si>
  <si>
    <t>2 / 16</t>
  </si>
  <si>
    <t>4 / 16</t>
  </si>
  <si>
    <t>4 / 32</t>
  </si>
  <si>
    <t>8 / 128</t>
  </si>
  <si>
    <t>8 / 256</t>
  </si>
  <si>
    <t>VARIANT</t>
  </si>
  <si>
    <t>REGULAR</t>
  </si>
  <si>
    <t>DELL 3120 REGULAR 4 / 32</t>
  </si>
  <si>
    <t>HP REGULAR 4 / 16</t>
  </si>
  <si>
    <t>HP TOUCHSCREEN 4 / 16</t>
  </si>
  <si>
    <t>TOUCHSCREEN</t>
  </si>
  <si>
    <t>HP 14' 4 / 16</t>
  </si>
  <si>
    <t>14'</t>
  </si>
  <si>
    <t>DELL CHARGER</t>
  </si>
  <si>
    <t>HP CHARGER</t>
  </si>
  <si>
    <t>DELL Monitor</t>
  </si>
  <si>
    <t>Monitor</t>
  </si>
  <si>
    <t>DELL 3180 REGULAR 4 / 32</t>
  </si>
  <si>
    <t>SALES REMARKS</t>
  </si>
  <si>
    <t>ACER 3343 TOUCHSCREEN 4 / 16</t>
  </si>
  <si>
    <t>3343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</si>
</sst>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center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49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FBF33A93-9B3E-486F-969E-A3C77E486A75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9AD0AAF-C156-46F9-B74E-CEF22A3B512C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0226E45-F9E3-450E-A9E9-94ED74C7DDE5}" autoFormatId="16" applyNumberFormats="0" applyBorderFormats="0" applyFontFormats="0" applyPatternFormats="0" applyAlignmentFormats="0" applyWidthHeightFormats="0">
  <queryTableRefresh nextId="12">
    <queryTableFields count="9">
      <queryTableField id="1" name="DATE" tableColumnId="1"/>
      <queryTableField id="2" name="PRODUCT SET" tableColumnId="2"/>
      <queryTableField id="3" name="PRICE DEFAULT" tableColumnId="3"/>
      <queryTableField id="4" name="PRICE SOLD" tableColumnId="4"/>
      <queryTableField id="5" name="DIFF" tableColumnId="5"/>
      <queryTableField id="7" name="SELLER NAME" tableColumnId="7"/>
      <queryTableField id="9" name="BOX ID" tableColumnId="9"/>
      <queryTableField id="8" name="REMARKS" tableColumnId="8"/>
      <queryTableField id="10" name="cou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56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55"/>
    <tableColumn id="3" xr3:uid="{77531021-D05F-4B6C-84DA-32AED82A9680}" name="CODE" dataDxfId="54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47" tableType="queryTable" totalsRowShown="0">
  <autoFilter ref="A1:G47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53"/>
    <tableColumn id="3" xr3:uid="{076104D8-C9E8-451B-A965-B0F52E829B97}" uniqueName="3" name="TYPE" queryTableFieldId="3" dataDxfId="52"/>
    <tableColumn id="4" xr3:uid="{EED15770-5ACA-47A3-90AC-004FB47CC5A3}" uniqueName="4" name="BRAND" queryTableFieldId="4" dataDxfId="51"/>
    <tableColumn id="5" xr3:uid="{3006AD62-9893-4204-AD0A-4EF3B9BE605E}" uniqueName="5" name="CODE" queryTableFieldId="5" dataDxfId="50"/>
    <tableColumn id="7" xr3:uid="{9F488C12-A997-4366-ABF0-852C139A38C1}" uniqueName="7" name="VARIANT" queryTableFieldId="7"/>
    <tableColumn id="6" xr3:uid="{895EF583-4F50-4211-A9B8-9D6A9E4977E5}" uniqueName="6" name="SPECS" queryTableFieldId="6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48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47"/>
    <tableColumn id="2" xr3:uid="{9ACA5BAE-3452-4A54-88A1-1D3A54B85E6B}" uniqueName="2" name="START_DATE" queryTableFieldId="2" dataDxfId="46"/>
    <tableColumn id="3" xr3:uid="{C60B9200-CA57-4C5B-AF47-28D5CBEAD345}" uniqueName="3" name="END_DATE" queryTableFieldId="3" dataDxfId="45"/>
    <tableColumn id="4" xr3:uid="{A600AE55-31A6-4008-AA79-30DCDCBCFBDA}" uniqueName="4" name="NAME" queryTableFieldId="4" dataDxfId="44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9" tableType="queryTable" totalsRowShown="0">
  <autoFilter ref="A2:F9" xr:uid="{4E5DF040-AA94-41AC-A60E-654EED1201CA}"/>
  <tableColumns count="6">
    <tableColumn id="1" xr3:uid="{EA7E1BCC-DC92-430D-AD96-CD5C4695B89A}" uniqueName="1" name="DATE" queryTableFieldId="1" dataDxfId="43"/>
    <tableColumn id="2" xr3:uid="{81CBBAC1-248F-4F5B-8D98-41266600E8B3}" uniqueName="2" name="INVENTORY ITEM" queryTableFieldId="2" dataDxfId="42"/>
    <tableColumn id="3" xr3:uid="{443A7F7C-278E-4BE5-A918-DB3817034812}" uniqueName="3" name="TYPE" queryTableFieldId="3" dataDxfId="41"/>
    <tableColumn id="4" xr3:uid="{2D6C6ECE-E625-4F86-A6E6-780FD90A56EB}" uniqueName="4" name="IN" queryTableFieldId="4"/>
    <tableColumn id="5" xr3:uid="{62BFE006-B5CC-4F2E-BACE-69CDA54ECC8E}" uniqueName="5" name="REMARKS" queryTableFieldId="5" dataDxfId="40"/>
    <tableColumn id="6" xr3:uid="{A5E4118C-1C80-44FB-B274-24DB603A58D3}" uniqueName="6" name="BOX ID" queryTableFieldId="6" dataDxfId="3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81BC057-5E04-4A01-8F6D-E7AA904A5EBA}" name="_TBL_PRODUCT" displayName="_TBL_PRODUCT" ref="A2:D4" tableType="queryTable" totalsRowShown="0">
  <autoFilter ref="A2:D4" xr:uid="{881BC057-5E04-4A01-8F6D-E7AA904A5EBA}"/>
  <tableColumns count="4">
    <tableColumn id="1" xr3:uid="{5ED2CBD6-6B70-4D99-BCFE-FDAD322FDDA0}" uniqueName="1" name="PRODUCT ID" queryTableFieldId="1"/>
    <tableColumn id="2" xr3:uid="{3C8260AA-97B7-48E6-926F-01038BE8E5E1}" uniqueName="2" name="PRODUCT NAME" queryTableFieldId="2" dataDxfId="38"/>
    <tableColumn id="3" xr3:uid="{1601D4EF-9639-410A-9994-C1706F95D8F8}" uniqueName="3" name="DEFAULT PRICE" queryTableFieldId="3"/>
    <tableColumn id="4" xr3:uid="{861F2004-B8BC-437C-B318-A037D55BAA18}" uniqueName="4" name="DETAILS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850F99-89BF-4D94-9000-5B53BF3124BC}" name="_TBL_INVENTORY_CATALOG" displayName="_TBL_INVENTORY_CATALOG" ref="A1:B6" tableType="queryTable" totalsRowShown="0">
  <autoFilter ref="A1:B6" xr:uid="{8D850F99-89BF-4D94-9000-5B53BF3124BC}"/>
  <tableColumns count="2">
    <tableColumn id="1" xr3:uid="{4E84F595-4296-45F0-80EC-448EE5C1D74F}" uniqueName="1" name="PRODUCT ID" queryTableFieldId="1"/>
    <tableColumn id="2" xr3:uid="{5281178E-CB16-459B-8316-A5ADD9996EB6}" uniqueName="2" name="INVENTORY ID" queryTableFieldId="2" dataDxfId="3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989916-F0AC-4C7C-9374-52C99C483DE3}" name="_TBL_SALES" displayName="_TBL_SALES" ref="A2:I3" tableType="queryTable" insertRow="1" totalsRowShown="0">
  <autoFilter ref="A2:I3" xr:uid="{DF989916-F0AC-4C7C-9374-52C99C483DE3}"/>
  <tableColumns count="9">
    <tableColumn id="1" xr3:uid="{17C4322D-2989-4632-BD35-B3810B05F5D6}" uniqueName="1" name="DATE" queryTableFieldId="1"/>
    <tableColumn id="2" xr3:uid="{8BE9E3F6-45EA-4FF9-A431-E97D8431755E}" uniqueName="2" name="PRODUCT SET" queryTableFieldId="2" dataDxfId="35"/>
    <tableColumn id="3" xr3:uid="{594566BD-C2FB-49DF-9F0C-F21D0D07F68D}" uniqueName="3" name="PRICE DEFAULT" queryTableFieldId="3"/>
    <tableColumn id="4" xr3:uid="{D4675837-3BD7-4488-B7F6-1D03A20B948A}" uniqueName="4" name="PRICE SOLD" queryTableFieldId="4"/>
    <tableColumn id="5" xr3:uid="{E54D316D-4805-4B10-B2E1-03F2FBFB8A8A}" uniqueName="5" name="DIFF" queryTableFieldId="5"/>
    <tableColumn id="7" xr3:uid="{82070337-C79E-453C-86B8-128C353CA612}" uniqueName="7" name="SELLER NAME" queryTableFieldId="7" dataDxfId="34"/>
    <tableColumn id="9" xr3:uid="{F466739F-13D7-4FB8-88CD-04AAE7FBA405}" uniqueName="9" name="BOX ID" queryTableFieldId="9" dataDxfId="33"/>
    <tableColumn id="8" xr3:uid="{08A7E0D6-79D3-4BF3-AE6C-A27E410E0A2E}" uniqueName="8" name="REMARKS" queryTableFieldId="8" dataDxfId="32"/>
    <tableColumn id="10" xr3:uid="{A5EB5998-8433-4BB4-915C-6955D147EE3A}" uniqueName="10" name="count" queryTableField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31" dataDxfId="30" totalsRowDxfId="29">
  <autoFilter ref="B2:H11" xr:uid="{11196D4F-0C08-44E6-8845-054A162CF400}"/>
  <tableColumns count="7">
    <tableColumn id="1" xr3:uid="{7E5944E0-EEF7-48BA-9C65-2A065AAFA2D9}" name="DATE" totalsRowFunction="custom" dataDxfId="28" totalsRowDxfId="27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26" totalsRowDxfId="25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24" totalsRowDxfId="23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22" totalsRowDxfId="21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20" totalsRowDxfId="19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18" totalsRowDxfId="17"/>
    <tableColumn id="12" xr3:uid="{161DBC59-E0E9-488B-9D75-AD60C50E18B7}" name="COST PER PIECE" totalsRowFunction="custom" dataDxfId="16" totalsRowDxfId="15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6C957B-EAF7-4D39-AEA0-56A468EB28AC}" name="_TBL_SALES_REPORT" displayName="_TBL_SALES_REPORT" ref="B2:G14" totalsRowCount="1" headerRowDxfId="14" dataDxfId="13" totalsRowDxfId="12">
  <autoFilter ref="B2:G13" xr:uid="{A76C957B-EAF7-4D39-AEA0-56A468EB28AC}"/>
  <tableColumns count="6">
    <tableColumn id="1" xr3:uid="{61AD353A-0DFE-4154-B8A3-3ED125D1CBE8}" name="DATE" totalsRowFunction="custom" dataDxfId="11" totalsRowDxfId="10">
      <calculatedColumnFormula>IF(IFERROR(_TBL_SALES[[#This Row],[DATE]], "")&lt;&gt; 0, IFERROR(_TBL_SALES[[#This Row],[DATE]], ""), "")</calculatedColumnFormula>
      <totalsRowFormula>_xlfn.CONCAT("COUNT: ", SUBTOTAL(103,_TBL_SALES_REPORT[DATE]))</totalsRowFormula>
    </tableColumn>
    <tableColumn id="2" xr3:uid="{10799DDC-2681-4CD8-80BA-8CF12A4DD717}" name="PRODUCT SET" totalsRowLabel="TOTAL: " dataDxfId="9" totalsRowDxfId="8">
      <calculatedColumnFormula>IF(IFERROR(_TBL_SALES[[#This Row],[PRODUCT SET]], "")&lt;&gt; 0, IFERROR(_TBL_SALES[[#This Row],[PRODUCT SET]], ""), "")</calculatedColumnFormula>
    </tableColumn>
    <tableColumn id="4" xr3:uid="{1B0BCB4C-C566-4216-8BA4-461A76D059FE}" name="COUNT" totalsRowFunction="sum" dataDxfId="7" totalsRowDxfId="6">
      <calculatedColumnFormula>IF(IFERROR(_TBL_SALES[[#This Row],[count]], "")&lt;&gt; 0, IFERROR(_TBL_SALES[[#This Row],[count]], ""), "")</calculatedColumnFormula>
    </tableColumn>
    <tableColumn id="6" xr3:uid="{28983EAE-B7F2-4D1A-BEC7-3ADCA8F0A01A}" name="SALES REMARKS" dataDxfId="5" totalsRowDxfId="4">
      <calculatedColumnFormula>IF(IFERROR(_TBL_SALES[[#This Row],[REMARKS]], "")&lt;&gt; 0, IFERROR(_TBL_SALES[[#This Row],[REMARKS]], ""), "")</calculatedColumnFormula>
    </tableColumn>
    <tableColumn id="10" xr3:uid="{E4EF7E54-7245-4ABA-8412-24BE99659484}" name="PRICE PER PIECE" dataDxfId="3" totalsRowDxfId="2">
      <calculatedColumnFormula>IF(IFERROR(_TBL_SALES[[#This Row],[PRICE SOLD]], "")&lt;&gt; 0, IFERROR(_TBL_SALES[[#This Row],[PRICE SOLD]], ""), "")</calculatedColumnFormula>
    </tableColumn>
    <tableColumn id="12" xr3:uid="{303257D1-7F55-442C-AFEB-014CFDA15263}" name="TOTAL PRICE" totalsRowFunction="custom" dataDxfId="1" totalsRowDxfId="0">
      <calculatedColumnFormula>IFERROR(_TBL_SALES_REPORT[[#This Row],[PRICE PER PIECE]]*_TBL_SALES_REPORT[[#This Row],[COUNT]], "")</calculatedColumnFormula>
      <totalsRowFormula>SUBTOTAL(109, _TBL_SALES_REPORT[TOTAL PRICE])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80</v>
      </c>
    </row>
    <row r="3" spans="1:3" x14ac:dyDescent="0.25">
      <c r="A3">
        <v>2</v>
      </c>
      <c r="B3" t="s">
        <v>81</v>
      </c>
    </row>
    <row r="4" spans="1:3" x14ac:dyDescent="0.25">
      <c r="A4">
        <v>3</v>
      </c>
      <c r="B4" t="s">
        <v>82</v>
      </c>
    </row>
    <row r="5" spans="1:3" x14ac:dyDescent="0.25">
      <c r="A5">
        <v>4</v>
      </c>
      <c r="B5" t="s">
        <v>83</v>
      </c>
    </row>
    <row r="6" spans="1:3" x14ac:dyDescent="0.25">
      <c r="A6">
        <v>5</v>
      </c>
      <c r="B6" t="s">
        <v>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11</v>
      </c>
    </row>
    <row r="2" spans="1:4" x14ac:dyDescent="0.25">
      <c r="A2">
        <v>1</v>
      </c>
      <c r="B2" t="s">
        <v>7</v>
      </c>
      <c r="C2" t="s">
        <v>18</v>
      </c>
    </row>
    <row r="3" spans="1:4" x14ac:dyDescent="0.25">
      <c r="A3">
        <v>2</v>
      </c>
      <c r="B3" t="s">
        <v>19</v>
      </c>
      <c r="C3" t="s">
        <v>20</v>
      </c>
    </row>
    <row r="4" spans="1:4" x14ac:dyDescent="0.25">
      <c r="A4">
        <v>3</v>
      </c>
      <c r="B4" t="s">
        <v>21</v>
      </c>
      <c r="C4" t="s">
        <v>22</v>
      </c>
    </row>
    <row r="5" spans="1:4" x14ac:dyDescent="0.25">
      <c r="A5">
        <v>4</v>
      </c>
      <c r="B5" t="s">
        <v>23</v>
      </c>
      <c r="C5" t="s">
        <v>24</v>
      </c>
    </row>
    <row r="6" spans="1:4" x14ac:dyDescent="0.25">
      <c r="A6">
        <v>5</v>
      </c>
      <c r="B6" t="s">
        <v>25</v>
      </c>
      <c r="C6" t="s">
        <v>26</v>
      </c>
    </row>
    <row r="7" spans="1:4" x14ac:dyDescent="0.25">
      <c r="A7">
        <v>6</v>
      </c>
      <c r="B7" t="s">
        <v>27</v>
      </c>
      <c r="C7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47"/>
  <sheetViews>
    <sheetView workbookViewId="0">
      <selection activeCell="B3" sqref="B3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8.7109375" bestFit="1" customWidth="1"/>
    <col min="4" max="4" width="9.5703125" bestFit="1" customWidth="1"/>
    <col min="5" max="5" width="9.28515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85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31</v>
      </c>
      <c r="F2" t="s">
        <v>86</v>
      </c>
      <c r="G2" t="s">
        <v>81</v>
      </c>
    </row>
    <row r="3" spans="1:7" x14ac:dyDescent="0.25">
      <c r="A3">
        <v>2</v>
      </c>
      <c r="B3" t="s">
        <v>87</v>
      </c>
      <c r="C3" t="s">
        <v>7</v>
      </c>
      <c r="D3" t="s">
        <v>8</v>
      </c>
      <c r="E3" t="s">
        <v>31</v>
      </c>
      <c r="F3" t="s">
        <v>86</v>
      </c>
      <c r="G3" t="s">
        <v>82</v>
      </c>
    </row>
    <row r="4" spans="1:7" x14ac:dyDescent="0.25">
      <c r="A4">
        <v>3</v>
      </c>
      <c r="B4" t="s">
        <v>88</v>
      </c>
      <c r="C4" t="s">
        <v>7</v>
      </c>
      <c r="D4" t="s">
        <v>10</v>
      </c>
      <c r="F4" t="s">
        <v>86</v>
      </c>
      <c r="G4" t="s">
        <v>81</v>
      </c>
    </row>
    <row r="5" spans="1:7" x14ac:dyDescent="0.25">
      <c r="A5">
        <v>4</v>
      </c>
      <c r="B5" t="s">
        <v>89</v>
      </c>
      <c r="C5" t="s">
        <v>7</v>
      </c>
      <c r="D5" t="s">
        <v>10</v>
      </c>
      <c r="F5" t="s">
        <v>90</v>
      </c>
      <c r="G5" t="s">
        <v>81</v>
      </c>
    </row>
    <row r="6" spans="1:7" x14ac:dyDescent="0.25">
      <c r="A6">
        <v>5</v>
      </c>
      <c r="B6" t="s">
        <v>14</v>
      </c>
      <c r="C6" t="s">
        <v>7</v>
      </c>
      <c r="D6" t="s">
        <v>8</v>
      </c>
      <c r="E6" t="s">
        <v>32</v>
      </c>
      <c r="F6" t="s">
        <v>86</v>
      </c>
      <c r="G6" t="s">
        <v>81</v>
      </c>
    </row>
    <row r="7" spans="1:7" x14ac:dyDescent="0.25">
      <c r="A7">
        <v>6</v>
      </c>
      <c r="B7" t="s">
        <v>91</v>
      </c>
      <c r="C7" t="s">
        <v>7</v>
      </c>
      <c r="D7" t="s">
        <v>10</v>
      </c>
      <c r="F7" t="s">
        <v>92</v>
      </c>
      <c r="G7" t="s">
        <v>81</v>
      </c>
    </row>
    <row r="8" spans="1:7" x14ac:dyDescent="0.25">
      <c r="A8">
        <v>7</v>
      </c>
      <c r="B8" t="s">
        <v>93</v>
      </c>
      <c r="C8" t="s">
        <v>21</v>
      </c>
      <c r="D8" t="s">
        <v>8</v>
      </c>
      <c r="E8" t="s">
        <v>47</v>
      </c>
    </row>
    <row r="9" spans="1:7" x14ac:dyDescent="0.25">
      <c r="A9">
        <v>8</v>
      </c>
      <c r="B9" t="s">
        <v>94</v>
      </c>
      <c r="C9" t="s">
        <v>21</v>
      </c>
      <c r="D9" t="s">
        <v>10</v>
      </c>
      <c r="E9" t="s">
        <v>47</v>
      </c>
    </row>
    <row r="10" spans="1:7" x14ac:dyDescent="0.25">
      <c r="A10">
        <v>9</v>
      </c>
      <c r="B10" t="s">
        <v>95</v>
      </c>
      <c r="C10" t="s">
        <v>19</v>
      </c>
      <c r="D10" t="s">
        <v>8</v>
      </c>
      <c r="E10" t="s">
        <v>96</v>
      </c>
    </row>
    <row r="11" spans="1:7" x14ac:dyDescent="0.25">
      <c r="B11" t="s">
        <v>97</v>
      </c>
      <c r="C11" t="s">
        <v>7</v>
      </c>
      <c r="D11" t="s">
        <v>8</v>
      </c>
      <c r="E11" t="s">
        <v>32</v>
      </c>
      <c r="F11" t="s">
        <v>86</v>
      </c>
      <c r="G11" t="s">
        <v>82</v>
      </c>
    </row>
    <row r="12" spans="1:7" x14ac:dyDescent="0.25">
      <c r="B12" t="s">
        <v>99</v>
      </c>
      <c r="C12" t="s">
        <v>7</v>
      </c>
      <c r="D12" t="s">
        <v>15</v>
      </c>
      <c r="E12" t="s">
        <v>100</v>
      </c>
      <c r="F12" t="s">
        <v>90</v>
      </c>
      <c r="G12" t="s">
        <v>81</v>
      </c>
    </row>
    <row r="13" spans="1:7" x14ac:dyDescent="0.25">
      <c r="B13" t="s">
        <v>76</v>
      </c>
    </row>
    <row r="14" spans="1:7" x14ac:dyDescent="0.25">
      <c r="B14" t="s">
        <v>76</v>
      </c>
    </row>
    <row r="15" spans="1:7" x14ac:dyDescent="0.25">
      <c r="B15" t="s">
        <v>76</v>
      </c>
    </row>
    <row r="16" spans="1:7" x14ac:dyDescent="0.25">
      <c r="B16" t="s">
        <v>76</v>
      </c>
    </row>
    <row r="17" spans="2:2" x14ac:dyDescent="0.25">
      <c r="B17" t="s">
        <v>76</v>
      </c>
    </row>
    <row r="18" spans="2:2" x14ac:dyDescent="0.25">
      <c r="B18" t="s">
        <v>76</v>
      </c>
    </row>
    <row r="19" spans="2:2" x14ac:dyDescent="0.25">
      <c r="B19" t="s">
        <v>76</v>
      </c>
    </row>
    <row r="20" spans="2:2" x14ac:dyDescent="0.25">
      <c r="B20" t="s">
        <v>76</v>
      </c>
    </row>
    <row r="21" spans="2:2" x14ac:dyDescent="0.25">
      <c r="B21" t="s">
        <v>76</v>
      </c>
    </row>
    <row r="22" spans="2:2" x14ac:dyDescent="0.25">
      <c r="B22" t="s">
        <v>76</v>
      </c>
    </row>
    <row r="23" spans="2:2" x14ac:dyDescent="0.25">
      <c r="B23" t="s">
        <v>76</v>
      </c>
    </row>
    <row r="24" spans="2:2" x14ac:dyDescent="0.25">
      <c r="B24" t="s">
        <v>76</v>
      </c>
    </row>
    <row r="25" spans="2:2" x14ac:dyDescent="0.25">
      <c r="B25" t="s">
        <v>76</v>
      </c>
    </row>
    <row r="26" spans="2:2" x14ac:dyDescent="0.25">
      <c r="B26" t="s">
        <v>76</v>
      </c>
    </row>
    <row r="27" spans="2:2" x14ac:dyDescent="0.25">
      <c r="B27" t="s">
        <v>76</v>
      </c>
    </row>
    <row r="28" spans="2:2" x14ac:dyDescent="0.25">
      <c r="B28" t="s">
        <v>76</v>
      </c>
    </row>
    <row r="29" spans="2:2" x14ac:dyDescent="0.25">
      <c r="B29" t="s">
        <v>76</v>
      </c>
    </row>
    <row r="30" spans="2:2" x14ac:dyDescent="0.25">
      <c r="B30" t="s">
        <v>76</v>
      </c>
    </row>
    <row r="31" spans="2:2" x14ac:dyDescent="0.25">
      <c r="B31" t="s">
        <v>76</v>
      </c>
    </row>
    <row r="32" spans="2:2" x14ac:dyDescent="0.25">
      <c r="B32" t="s">
        <v>76</v>
      </c>
    </row>
    <row r="33" spans="2:2" x14ac:dyDescent="0.25">
      <c r="B33" t="s">
        <v>76</v>
      </c>
    </row>
    <row r="34" spans="2:2" x14ac:dyDescent="0.25">
      <c r="B34" t="s">
        <v>76</v>
      </c>
    </row>
    <row r="35" spans="2:2" x14ac:dyDescent="0.25">
      <c r="B35" t="s">
        <v>76</v>
      </c>
    </row>
    <row r="36" spans="2:2" x14ac:dyDescent="0.25">
      <c r="B36" t="s">
        <v>76</v>
      </c>
    </row>
    <row r="37" spans="2:2" x14ac:dyDescent="0.25">
      <c r="B37" t="s">
        <v>76</v>
      </c>
    </row>
    <row r="38" spans="2:2" x14ac:dyDescent="0.25">
      <c r="B38" t="s">
        <v>76</v>
      </c>
    </row>
    <row r="39" spans="2:2" x14ac:dyDescent="0.25">
      <c r="B39" t="s">
        <v>76</v>
      </c>
    </row>
    <row r="40" spans="2:2" x14ac:dyDescent="0.25">
      <c r="B40" t="s">
        <v>76</v>
      </c>
    </row>
    <row r="41" spans="2:2" x14ac:dyDescent="0.25">
      <c r="B41" t="s">
        <v>76</v>
      </c>
    </row>
    <row r="42" spans="2:2" x14ac:dyDescent="0.25">
      <c r="B42" t="s">
        <v>76</v>
      </c>
    </row>
    <row r="43" spans="2:2" x14ac:dyDescent="0.25">
      <c r="B43" t="s">
        <v>76</v>
      </c>
    </row>
    <row r="44" spans="2:2" x14ac:dyDescent="0.25">
      <c r="B44" t="s">
        <v>76</v>
      </c>
    </row>
    <row r="45" spans="2:2" x14ac:dyDescent="0.25">
      <c r="B45" t="s">
        <v>76</v>
      </c>
    </row>
    <row r="46" spans="2:2" x14ac:dyDescent="0.25">
      <c r="B46" t="s">
        <v>76</v>
      </c>
    </row>
    <row r="47" spans="2:2" x14ac:dyDescent="0.25">
      <c r="B47" t="s">
        <v>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15</v>
      </c>
    </row>
    <row r="3" spans="1:3" x14ac:dyDescent="0.25">
      <c r="A3">
        <v>2</v>
      </c>
      <c r="B3" t="s">
        <v>16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10</v>
      </c>
    </row>
    <row r="6" spans="1:3" x14ac:dyDescent="0.25">
      <c r="A6">
        <v>5</v>
      </c>
      <c r="B6" t="s">
        <v>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activeCell="F24" sqref="F24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12</v>
      </c>
      <c r="B1" t="s">
        <v>35</v>
      </c>
      <c r="C1" t="s">
        <v>36</v>
      </c>
      <c r="D1" t="s">
        <v>1</v>
      </c>
      <c r="E1" t="s">
        <v>37</v>
      </c>
    </row>
    <row r="2" spans="1:5" x14ac:dyDescent="0.25">
      <c r="A2" s="7">
        <v>45766</v>
      </c>
      <c r="B2" s="7">
        <v>45766</v>
      </c>
      <c r="C2" s="7">
        <v>45766</v>
      </c>
      <c r="D2" t="s">
        <v>38</v>
      </c>
      <c r="E2">
        <v>1</v>
      </c>
    </row>
    <row r="3" spans="1:5" x14ac:dyDescent="0.25">
      <c r="A3" s="7">
        <v>45766</v>
      </c>
      <c r="B3" s="7">
        <v>45765</v>
      </c>
      <c r="C3" s="7">
        <v>45765</v>
      </c>
      <c r="D3" t="s">
        <v>39</v>
      </c>
      <c r="E3">
        <v>1</v>
      </c>
    </row>
    <row r="4" spans="1:5" x14ac:dyDescent="0.25">
      <c r="A4" s="7">
        <v>45766</v>
      </c>
      <c r="B4" s="7">
        <v>45760</v>
      </c>
      <c r="C4" s="7">
        <v>45766</v>
      </c>
      <c r="D4" t="s">
        <v>40</v>
      </c>
      <c r="E4">
        <v>7</v>
      </c>
    </row>
    <row r="5" spans="1:5" x14ac:dyDescent="0.25">
      <c r="A5" s="7">
        <v>45766</v>
      </c>
      <c r="B5" s="7">
        <v>45753</v>
      </c>
      <c r="C5" s="7">
        <v>45759</v>
      </c>
      <c r="D5" t="s">
        <v>41</v>
      </c>
      <c r="E5">
        <v>7</v>
      </c>
    </row>
    <row r="6" spans="1:5" x14ac:dyDescent="0.25">
      <c r="A6" s="7">
        <v>45766</v>
      </c>
      <c r="B6" s="7">
        <v>45748</v>
      </c>
      <c r="C6" s="7">
        <v>45777</v>
      </c>
      <c r="D6" t="s">
        <v>42</v>
      </c>
      <c r="E6">
        <v>30</v>
      </c>
    </row>
    <row r="7" spans="1:5" x14ac:dyDescent="0.25">
      <c r="A7" s="7">
        <v>45766</v>
      </c>
      <c r="B7" s="7">
        <v>45717</v>
      </c>
      <c r="C7" s="7">
        <v>45747</v>
      </c>
      <c r="D7" t="s">
        <v>43</v>
      </c>
      <c r="E7">
        <v>31</v>
      </c>
    </row>
    <row r="8" spans="1:5" x14ac:dyDescent="0.25">
      <c r="A8" s="7">
        <v>45766</v>
      </c>
      <c r="B8" s="7">
        <v>45658</v>
      </c>
      <c r="C8" s="7">
        <v>46022</v>
      </c>
      <c r="D8" t="s">
        <v>44</v>
      </c>
      <c r="E8">
        <v>365</v>
      </c>
    </row>
    <row r="9" spans="1:5" x14ac:dyDescent="0.25">
      <c r="A9" s="7">
        <v>45766</v>
      </c>
      <c r="B9" s="7"/>
      <c r="C9" s="7"/>
      <c r="D9" t="s">
        <v>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dimension ref="A2:F9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9" bestFit="1" customWidth="1"/>
    <col min="3" max="3" width="7.85546875" bestFit="1" customWidth="1"/>
    <col min="4" max="4" width="5.28515625" bestFit="1" customWidth="1"/>
    <col min="5" max="5" width="19.42578125" bestFit="1" customWidth="1"/>
    <col min="6" max="6" width="9.28515625" bestFit="1" customWidth="1"/>
  </cols>
  <sheetData>
    <row r="2" spans="1:6" x14ac:dyDescent="0.25">
      <c r="A2" t="s">
        <v>12</v>
      </c>
      <c r="B2" t="s">
        <v>13</v>
      </c>
      <c r="C2" t="s">
        <v>2</v>
      </c>
      <c r="D2" t="s">
        <v>29</v>
      </c>
      <c r="E2" t="s">
        <v>30</v>
      </c>
      <c r="F2" t="s">
        <v>56</v>
      </c>
    </row>
    <row r="3" spans="1:6" x14ac:dyDescent="0.25">
      <c r="A3" s="7">
        <v>45762</v>
      </c>
      <c r="B3" t="s">
        <v>6</v>
      </c>
      <c r="C3" t="s">
        <v>7</v>
      </c>
      <c r="D3">
        <v>100</v>
      </c>
      <c r="E3" t="s">
        <v>57</v>
      </c>
    </row>
    <row r="4" spans="1:6" x14ac:dyDescent="0.25">
      <c r="A4" s="7">
        <v>45763</v>
      </c>
      <c r="B4" t="s">
        <v>55</v>
      </c>
      <c r="C4" t="s">
        <v>7</v>
      </c>
      <c r="D4">
        <v>120</v>
      </c>
    </row>
    <row r="5" spans="1:6" x14ac:dyDescent="0.25">
      <c r="A5" s="7">
        <v>45763</v>
      </c>
      <c r="B5" t="s">
        <v>9</v>
      </c>
      <c r="C5" t="s">
        <v>7</v>
      </c>
      <c r="D5">
        <v>40</v>
      </c>
    </row>
    <row r="6" spans="1:6" x14ac:dyDescent="0.25">
      <c r="A6" s="7">
        <v>45764</v>
      </c>
      <c r="B6" t="s">
        <v>46</v>
      </c>
      <c r="C6" t="s">
        <v>58</v>
      </c>
      <c r="D6">
        <v>25</v>
      </c>
    </row>
    <row r="7" spans="1:6" x14ac:dyDescent="0.25">
      <c r="A7" s="7">
        <v>45764</v>
      </c>
      <c r="B7" t="s">
        <v>48</v>
      </c>
      <c r="C7" t="s">
        <v>58</v>
      </c>
      <c r="D7">
        <v>25</v>
      </c>
    </row>
    <row r="8" spans="1:6" x14ac:dyDescent="0.25">
      <c r="A8" s="7">
        <v>45765</v>
      </c>
      <c r="B8" t="s">
        <v>99</v>
      </c>
      <c r="C8" t="s">
        <v>7</v>
      </c>
      <c r="D8">
        <v>60</v>
      </c>
    </row>
    <row r="9" spans="1:6" x14ac:dyDescent="0.25">
      <c r="A9" s="7">
        <v>45766</v>
      </c>
      <c r="B9" s="18" t="s">
        <v>87</v>
      </c>
      <c r="C9" s="18" t="s">
        <v>7</v>
      </c>
      <c r="D9">
        <v>70</v>
      </c>
      <c r="E9" s="18"/>
      <c r="F9" s="1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6186-D6BB-445F-868C-ED6F83FC3C4D}">
  <dimension ref="A2:D4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40" bestFit="1" customWidth="1"/>
  </cols>
  <sheetData>
    <row r="2" spans="1:4" x14ac:dyDescent="0.25">
      <c r="A2" t="s">
        <v>62</v>
      </c>
      <c r="B2" t="s">
        <v>65</v>
      </c>
      <c r="C2" t="s">
        <v>66</v>
      </c>
      <c r="D2" t="s">
        <v>67</v>
      </c>
    </row>
    <row r="3" spans="1:4" x14ac:dyDescent="0.25">
      <c r="A3">
        <v>1</v>
      </c>
      <c r="B3" t="s">
        <v>61</v>
      </c>
      <c r="C3">
        <v>3990</v>
      </c>
      <c r="D3" t="s">
        <v>68</v>
      </c>
    </row>
    <row r="4" spans="1:4" x14ac:dyDescent="0.25">
      <c r="A4">
        <v>2</v>
      </c>
      <c r="B4" t="s">
        <v>69</v>
      </c>
      <c r="C4">
        <v>3990</v>
      </c>
      <c r="D4" t="s">
        <v>70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515B-CCB7-45C1-9F02-D48B54C38C14}">
  <dimension ref="A1:B6"/>
  <sheetViews>
    <sheetView workbookViewId="0"/>
  </sheetViews>
  <sheetFormatPr defaultRowHeight="15" x14ac:dyDescent="0.25"/>
  <cols>
    <col min="1" max="1" width="14.140625" bestFit="1" customWidth="1"/>
    <col min="2" max="2" width="28.42578125" bestFit="1" customWidth="1"/>
  </cols>
  <sheetData>
    <row r="1" spans="1:2" x14ac:dyDescent="0.25">
      <c r="A1" t="s">
        <v>62</v>
      </c>
      <c r="B1" t="s">
        <v>63</v>
      </c>
    </row>
    <row r="2" spans="1:2" x14ac:dyDescent="0.25">
      <c r="A2">
        <v>1</v>
      </c>
      <c r="B2" t="s">
        <v>6</v>
      </c>
    </row>
    <row r="3" spans="1:2" x14ac:dyDescent="0.25">
      <c r="A3">
        <v>1</v>
      </c>
      <c r="B3" t="s">
        <v>46</v>
      </c>
    </row>
    <row r="4" spans="1:2" x14ac:dyDescent="0.25">
      <c r="A4">
        <v>2</v>
      </c>
      <c r="B4" t="s">
        <v>9</v>
      </c>
    </row>
    <row r="5" spans="1:2" x14ac:dyDescent="0.25">
      <c r="A5">
        <v>2</v>
      </c>
      <c r="B5" t="s">
        <v>48</v>
      </c>
    </row>
    <row r="6" spans="1:2" x14ac:dyDescent="0.25">
      <c r="A6">
        <v>3</v>
      </c>
      <c r="B6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33DD-BBC9-49C1-9EC4-6880FAB35438}">
  <dimension ref="A2:I2"/>
  <sheetViews>
    <sheetView workbookViewId="0">
      <selection activeCell="H22" sqref="H22"/>
    </sheetView>
  </sheetViews>
  <sheetFormatPr defaultRowHeight="15" x14ac:dyDescent="0.25"/>
  <cols>
    <col min="1" max="1" width="7.85546875" bestFit="1" customWidth="1"/>
    <col min="2" max="2" width="15.42578125" bestFit="1" customWidth="1"/>
    <col min="3" max="3" width="16.7109375" bestFit="1" customWidth="1"/>
    <col min="4" max="4" width="13.28515625" bestFit="1" customWidth="1"/>
    <col min="5" max="5" width="7.140625" bestFit="1" customWidth="1"/>
    <col min="6" max="6" width="15.140625" bestFit="1" customWidth="1"/>
    <col min="7" max="7" width="9.28515625" bestFit="1" customWidth="1"/>
    <col min="8" max="8" width="11.85546875" bestFit="1" customWidth="1"/>
    <col min="9" max="9" width="8.28515625" bestFit="1" customWidth="1"/>
    <col min="10" max="10" width="9.28515625" bestFit="1" customWidth="1"/>
  </cols>
  <sheetData>
    <row r="2" spans="1:9" x14ac:dyDescent="0.25">
      <c r="A2" t="s">
        <v>12</v>
      </c>
      <c r="B2" t="s">
        <v>60</v>
      </c>
      <c r="C2" t="s">
        <v>71</v>
      </c>
      <c r="D2" t="s">
        <v>72</v>
      </c>
      <c r="E2" t="s">
        <v>73</v>
      </c>
      <c r="F2" t="s">
        <v>74</v>
      </c>
      <c r="G2" t="s">
        <v>56</v>
      </c>
      <c r="H2" t="s">
        <v>30</v>
      </c>
      <c r="I2" t="s">
        <v>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workbookViewId="0">
      <selection activeCell="H4" sqref="H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19" t="s">
        <v>59</v>
      </c>
      <c r="D1" s="19"/>
    </row>
    <row r="2" spans="2:8" x14ac:dyDescent="0.25">
      <c r="B2" s="1" t="s">
        <v>12</v>
      </c>
      <c r="C2" s="1" t="s">
        <v>13</v>
      </c>
      <c r="D2" s="1" t="s">
        <v>29</v>
      </c>
      <c r="E2" s="1" t="s">
        <v>49</v>
      </c>
      <c r="F2" s="1" t="s">
        <v>30</v>
      </c>
      <c r="G2" s="1" t="s">
        <v>50</v>
      </c>
      <c r="H2" s="1" t="s">
        <v>51</v>
      </c>
    </row>
    <row r="3" spans="2:8" x14ac:dyDescent="0.25">
      <c r="B3" s="3">
        <f>IF(IFERROR(_TBL_INVENTORY_IN[[#This Row],[DATE]], "")&lt;&gt;0, IFERROR(_TBL_INVENTORY_IN[[#This Row],[DATE]], ""), "")</f>
        <v>45762</v>
      </c>
      <c r="C3" s="17" t="str">
        <f>IF(IFERROR(_TBL_INVENTORY_IN[[#This Row],[INVENTORY ITEM]], "")&lt;&gt;0, IFERROR(_TBL_INVENTORY_IN[[#This Row],[INVENTORY ITEM]], ""), "")</f>
        <v>DELL 3120 REGULAR 4 / 16</v>
      </c>
      <c r="D3" s="16">
        <f>IF(IFERROR(_TBL_INVENTORY_IN[[#This Row],[IN]], "")&lt;&gt;0, IFERROR(_TBL_INVENTORY_IN[[#This Row],[IN]], ""), "")</f>
        <v>100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 t="str">
        <f>IF(IFERROR(_TBL_INVENTORY_IN[[#This Row],[REMARKS]], "")&lt;&gt;0, IFERROR(_TBL_INVENTORY_IN[[#This Row],[REMARKS]], ""), "")</f>
        <v>Bought from norhats</v>
      </c>
      <c r="G3" s="8">
        <v>200000</v>
      </c>
      <c r="H3" s="8">
        <f>IFERROR(_TBL_LAPTOP_INVENTORY_ACCOUNT_IN[[#This Row],[COST TOTAL]]/_TBL_LAPTOP_INVENTORY_ACCOUNT_IN[[#This Row],[IN]], "")</f>
        <v>2000</v>
      </c>
    </row>
    <row r="4" spans="2:8" x14ac:dyDescent="0.25">
      <c r="B4" s="3">
        <f>IF(IFERROR(_TBL_INVENTORY_IN[[#This Row],[DATE]], "")&lt;&gt;0, IFERROR(_TBL_INVENTORY_IN[[#This Row],[DATE]], ""), "")</f>
        <v>45763</v>
      </c>
      <c r="C4" s="17" t="str">
        <f>IF(IFERROR(_TBL_INVENTORY_IN[[#This Row],[INVENTORY ITEM]], "")&lt;&gt;0, IFERROR(_TBL_INVENTORY_IN[[#This Row],[INVENTORY ITEM]], ""), "")</f>
        <v>DELL 3120 TOUCHSCREEN 4 / 16</v>
      </c>
      <c r="D4" s="16">
        <f>IF(IFERROR(_TBL_INVENTORY_IN[[#This Row],[IN]], "")&lt;&gt;0, IFERROR(_TBL_INVENTORY_IN[[#This Row],[IN]], ""), "")</f>
        <v>120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8">
        <v>70000</v>
      </c>
      <c r="H4" s="8">
        <f>IFERROR(_TBL_LAPTOP_INVENTORY_ACCOUNT_IN[[#This Row],[COST TOTAL]]/_TBL_LAPTOP_INVENTORY_ACCOUNT_IN[[#This Row],[IN]], "")</f>
        <v>583.33333333333337</v>
      </c>
    </row>
    <row r="5" spans="2:8" x14ac:dyDescent="0.25">
      <c r="B5" s="3">
        <f>IF(IFERROR(_TBL_INVENTORY_IN[[#This Row],[DATE]], "")&lt;&gt;0, IFERROR(_TBL_INVENTORY_IN[[#This Row],[DATE]], ""), "")</f>
        <v>45763</v>
      </c>
      <c r="C5" s="17" t="str">
        <f>IF(IFERROR(_TBL_INVENTORY_IN[[#This Row],[INVENTORY ITEM]], "")&lt;&gt;0, IFERROR(_TBL_INVENTORY_IN[[#This Row],[INVENTORY ITEM]], ""), "")</f>
        <v>HP  REGULAR 4 / 16</v>
      </c>
      <c r="D5" s="16">
        <f>IF(IFERROR(_TBL_INVENTORY_IN[[#This Row],[IN]], "")&lt;&gt;0, IFERROR(_TBL_INVENTORY_IN[[#This Row],[IN]], ""), "")</f>
        <v>40</v>
      </c>
      <c r="E5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5" s="2" t="str">
        <f>IF(IFERROR(_TBL_INVENTORY_IN[[#This Row],[REMARKS]], "")&lt;&gt;0, IFERROR(_TBL_INVENTORY_IN[[#This Row],[REMARKS]], ""), "")</f>
        <v/>
      </c>
      <c r="G5" s="8">
        <v>120000</v>
      </c>
      <c r="H5" s="8">
        <f>IFERROR(_TBL_LAPTOP_INVENTORY_ACCOUNT_IN[[#This Row],[COST TOTAL]]/_TBL_LAPTOP_INVENTORY_ACCOUNT_IN[[#This Row],[IN]], "")</f>
        <v>3000</v>
      </c>
    </row>
    <row r="6" spans="2:8" x14ac:dyDescent="0.25">
      <c r="B6" s="3">
        <f>IF(IFERROR(_TBL_INVENTORY_IN[[#This Row],[DATE]], "")&lt;&gt;0, IFERROR(_TBL_INVENTORY_IN[[#This Row],[DATE]], ""), "")</f>
        <v>45764</v>
      </c>
      <c r="C6" s="17" t="str">
        <f>IF(IFERROR(_TBL_INVENTORY_IN[[#This Row],[INVENTORY ITEM]], "")&lt;&gt;0, IFERROR(_TBL_INVENTORY_IN[[#This Row],[INVENTORY ITEM]], ""), "")</f>
        <v xml:space="preserve">DELL CHARGER </v>
      </c>
      <c r="D6" s="16">
        <f>IF(IFERROR(_TBL_INVENTORY_IN[[#This Row],[IN]], "")&lt;&gt;0, IFERROR(_TBL_INVENTORY_IN[[#This Row],[IN]], ""), "")</f>
        <v>25</v>
      </c>
      <c r="E6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6" s="2" t="str">
        <f>IF(IFERROR(_TBL_INVENTORY_IN[[#This Row],[REMARKS]], "")&lt;&gt;0, IFERROR(_TBL_INVENTORY_IN[[#This Row],[REMARKS]], ""), "")</f>
        <v/>
      </c>
      <c r="G6" s="8">
        <v>50000</v>
      </c>
      <c r="H6" s="8">
        <f>IFERROR(_TBL_LAPTOP_INVENTORY_ACCOUNT_IN[[#This Row],[COST TOTAL]]/_TBL_LAPTOP_INVENTORY_ACCOUNT_IN[[#This Row],[IN]], "")</f>
        <v>2000</v>
      </c>
    </row>
    <row r="7" spans="2:8" x14ac:dyDescent="0.25">
      <c r="B7" s="3">
        <f>IF(IFERROR(_TBL_INVENTORY_IN[[#This Row],[DATE]], "")&lt;&gt;0, IFERROR(_TBL_INVENTORY_IN[[#This Row],[DATE]], ""), "")</f>
        <v>45764</v>
      </c>
      <c r="C7" s="17" t="str">
        <f>IF(IFERROR(_TBL_INVENTORY_IN[[#This Row],[INVENTORY ITEM]], "")&lt;&gt;0, IFERROR(_TBL_INVENTORY_IN[[#This Row],[INVENTORY ITEM]], ""), "")</f>
        <v xml:space="preserve">HP CHARGER </v>
      </c>
      <c r="D7" s="16">
        <f>IF(IFERROR(_TBL_INVENTORY_IN[[#This Row],[IN]], "")&lt;&gt;0, IFERROR(_TBL_INVENTORY_IN[[#This Row],[IN]], ""), "")</f>
        <v>25</v>
      </c>
      <c r="E7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7" s="2" t="str">
        <f>IF(IFERROR(_TBL_INVENTORY_IN[[#This Row],[REMARKS]], "")&lt;&gt;0, IFERROR(_TBL_INVENTORY_IN[[#This Row],[REMARKS]], ""), "")</f>
        <v/>
      </c>
      <c r="G7" s="8">
        <v>60000</v>
      </c>
      <c r="H7" s="8">
        <f>IFERROR(_TBL_LAPTOP_INVENTORY_ACCOUNT_IN[[#This Row],[COST TOTAL]]/_TBL_LAPTOP_INVENTORY_ACCOUNT_IN[[#This Row],[IN]], "")</f>
        <v>2400</v>
      </c>
    </row>
    <row r="8" spans="2:8" x14ac:dyDescent="0.25">
      <c r="B8" s="3">
        <v>45764</v>
      </c>
      <c r="C8" s="17" t="s">
        <v>87</v>
      </c>
      <c r="D8" s="16" t="s">
        <v>79</v>
      </c>
      <c r="E8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8" s="2" t="str">
        <f>IF(IFERROR(_TBL_INVENTORY_IN[[#This Row],[REMARKS]], "")&lt;&gt;0, IFERROR(_TBL_INVENTORY_IN[[#This Row],[REMARKS]], ""), "")</f>
        <v/>
      </c>
      <c r="G8" s="8">
        <v>75000</v>
      </c>
      <c r="H8" s="8">
        <f>IFERROR(_TBL_LAPTOP_INVENTORY_ACCOUNT_IN[[#This Row],[COST TOTAL]]/_TBL_LAPTOP_INVENTORY_ACCOUNT_IN[[#This Row],[IN]], "")</f>
        <v>1071.4285714285713</v>
      </c>
    </row>
    <row r="9" spans="2:8" x14ac:dyDescent="0.25">
      <c r="B9" s="3"/>
      <c r="C9" s="17" t="str">
        <f>IF(IFERROR(_TBL_INVENTORY_IN[[#This Row],[INVENTORY ITEM]], "")&lt;&gt;0, IFERROR(_TBL_INVENTORY_IN[[#This Row],[INVENTORY ITEM]], ""), "")</f>
        <v>DELL 3120 REGULAR 4 / 32</v>
      </c>
      <c r="D9" s="16">
        <f>IF(IFERROR(_TBL_INVENTORY_IN[[#This Row],[IN]], "")&lt;&gt;0, IFERROR(_TBL_INVENTORY_IN[[#This Row],[IN]], ""), "")</f>
        <v>70</v>
      </c>
      <c r="E9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9" s="2" t="str">
        <f>IF(IFERROR(_TBL_INVENTORY_IN[[#This Row],[REMARKS]], "")&lt;&gt;0, IFERROR(_TBL_INVENTORY_IN[[#This Row],[REMARKS]], ""), "")</f>
        <v/>
      </c>
      <c r="G9" s="8"/>
      <c r="H9" s="8">
        <f>IFERROR(_TBL_LAPTOP_INVENTORY_ACCOUNT_IN[[#This Row],[COST TOTAL]]/_TBL_LAPTOP_INVENTORY_ACCOUNT_IN[[#This Row],[IN]], "")</f>
        <v>0</v>
      </c>
    </row>
    <row r="10" spans="2:8" x14ac:dyDescent="0.25">
      <c r="B10" s="3"/>
      <c r="C10" s="17" t="str">
        <f>IF(IFERROR(_TBL_INVENTORY_IN[[#This Row],[INVENTORY ITEM]], "")&lt;&gt;0, IFERROR(_TBL_INVENTORY_IN[[#This Row],[INVENTORY ITEM]], ""), "")</f>
        <v/>
      </c>
      <c r="D10" s="16" t="str">
        <f>IF(IFERROR(_TBL_INVENTORY_IN[[#This Row],[IN]], "")&lt;&gt;0, IFERROR(_TBL_INVENTORY_IN[[#This Row],[IN]], ""), "")</f>
        <v/>
      </c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8"/>
      <c r="H10" s="8" t="str">
        <f>IFERROR(_TBL_LAPTOP_INVENTORY_ACCOUNT_IN[[#This Row],[COST TOTAL]]/_TBL_LAPTOP_INVENTORY_ACCOUNT_IN[[#This Row],[IN]], "")</f>
        <v/>
      </c>
    </row>
    <row r="11" spans="2:8" x14ac:dyDescent="0.25">
      <c r="B11" s="3"/>
      <c r="C11" s="17" t="str">
        <f>IF(IFERROR(_TBL_INVENTORY_IN[[#This Row],[INVENTORY ITEM]], "")&lt;&gt;0, IFERROR(_TBL_INVENTORY_IN[[#This Row],[INVENTORY ITEM]], ""), "")</f>
        <v/>
      </c>
      <c r="D11" s="16" t="str">
        <f>IF(IFERROR(_TBL_INVENTORY_IN[[#This Row],[IN]], "")&lt;&gt;0, IFERROR(_TBL_INVENTORY_IN[[#This Row],[IN]], ""), "")</f>
        <v/>
      </c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8"/>
      <c r="H11" s="8" t="str">
        <f>IFERROR(_TBL_LAPTOP_INVENTORY_ACCOUNT_IN[[#This Row],[COST TOTAL]]/_TBL_LAPTOP_INVENTORY_ACCOUNT_IN[[#This Row],[IN]], "")</f>
        <v/>
      </c>
    </row>
    <row r="12" spans="2:8" x14ac:dyDescent="0.25">
      <c r="B12" s="9" t="str">
        <f>_xlfn.CONCAT("COUNT: ", SUBTOTAL(103,_TBL_LAPTOP_INVENTORY_ACCOUNT_IN[DATE]))</f>
        <v>COUNT: 6</v>
      </c>
      <c r="C12" s="5" t="s">
        <v>52</v>
      </c>
      <c r="D12" s="10">
        <f>SUBTOTAL(109,_TBL_LAPTOP_INVENTORY_ACCOUNT_IN[IN])</f>
        <v>380</v>
      </c>
      <c r="E12" s="10"/>
      <c r="F12" s="5"/>
      <c r="G12" s="14">
        <f>SUBTOTAL(109,_TBL_LAPTOP_INVENTORY_ACCOUNT_IN[COST TOTAL])</f>
        <v>575000</v>
      </c>
      <c r="H12" s="14">
        <f>IFERROR(_TBL_LAPTOP_INVENTORY_ACCOUNT_IN[[#Totals],[COST TOTAL]]/_TBL_LAPTOP_INVENTORY_ACCOUNT_IN[[#Totals],[IN]], "")</f>
        <v>1513.1578947368421</v>
      </c>
    </row>
    <row r="13" spans="2:8" x14ac:dyDescent="0.25">
      <c r="B13" s="12"/>
      <c r="C13" s="5" t="s">
        <v>34</v>
      </c>
      <c r="D13" s="6">
        <f>SUM(_TBL_LAPTOP_INVENTORY_ACCOUNT_IN[IN])</f>
        <v>380</v>
      </c>
      <c r="E13" s="13"/>
      <c r="F13" s="12"/>
      <c r="G13" s="15">
        <f>SUM(_TBL_LAPTOP_INVENTORY_ACCOUNT_IN[COST TOTAL])</f>
        <v>575000</v>
      </c>
      <c r="H13" s="15">
        <f>G13/D13</f>
        <v>1513.1578947368421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887E-92AF-4B90-8D92-9DB2BA402E59}">
  <dimension ref="B1:G15"/>
  <sheetViews>
    <sheetView tabSelected="1" zoomScale="108" workbookViewId="0">
      <selection activeCell="E20" sqref="E20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46.5703125" customWidth="1"/>
    <col min="6" max="6" width="19.7109375" customWidth="1"/>
    <col min="7" max="7" width="17.28515625" customWidth="1"/>
  </cols>
  <sheetData>
    <row r="1" spans="2:7" x14ac:dyDescent="0.25">
      <c r="C1" s="19" t="s">
        <v>78</v>
      </c>
      <c r="D1" s="19"/>
    </row>
    <row r="2" spans="2:7" x14ac:dyDescent="0.25">
      <c r="B2" s="1" t="s">
        <v>12</v>
      </c>
      <c r="C2" s="1" t="s">
        <v>60</v>
      </c>
      <c r="D2" s="1" t="s">
        <v>77</v>
      </c>
      <c r="E2" s="1" t="s">
        <v>98</v>
      </c>
      <c r="F2" s="1" t="s">
        <v>53</v>
      </c>
      <c r="G2" s="1" t="s">
        <v>54</v>
      </c>
    </row>
    <row r="3" spans="2:7" x14ac:dyDescent="0.25">
      <c r="B3" s="3" t="str">
        <f>IF(IFERROR(_TBL_SALES[[#This Row],[DATE]], "")&lt;&gt; 0, IFERROR(_TBL_SALES[[#This Row],[DATE]], ""), "")</f>
        <v/>
      </c>
      <c r="C3" s="3" t="str">
        <f>IF(IFERROR(_TBL_SALES[[#This Row],[PRODUCT SET]], "")&lt;&gt; 0, IFERROR(_TBL_SALES[[#This Row],[PRODUCT SET]], ""), "")</f>
        <v/>
      </c>
      <c r="D3" s="4" t="str">
        <f>IF(IFERROR(_TBL_SALES[[#This Row],[count]], "")&lt;&gt; 0, IFERROR(_TBL_SALES[[#This Row],[count]], ""), "")</f>
        <v/>
      </c>
      <c r="E3" s="4" t="str">
        <f>IF(IFERROR(_TBL_SALES[[#This Row],[REMARKS]], "")&lt;&gt; 0, IFERROR(_TBL_SALES[[#This Row],[REMARKS]], ""), "")</f>
        <v/>
      </c>
      <c r="F3" s="8" t="str">
        <f>IF(IFERROR(_TBL_SALES[[#This Row],[PRICE SOLD]], "")&lt;&gt; 0, IFERROR(_TBL_SALES[[#This Row],[PRICE SOLD]], ""), "")</f>
        <v/>
      </c>
      <c r="G3" s="8" t="str">
        <f>IFERROR(_TBL_SALES_REPORT[[#This Row],[PRICE PER PIECE]]*_TBL_SALES_REPORT[[#This Row],[COUNT]], "")</f>
        <v/>
      </c>
    </row>
    <row r="4" spans="2:7" x14ac:dyDescent="0.25">
      <c r="B4" s="3" t="str">
        <f>IF(IFERROR(_TBL_SALES[[#This Row],[DATE]], "")&lt;&gt; 0, IFERROR(_TBL_SALES[[#This Row],[DATE]], ""), "")</f>
        <v/>
      </c>
      <c r="C4" s="3" t="str">
        <f>IF(IFERROR(_TBL_SALES[[#This Row],[PRODUCT SET]], "")&lt;&gt; 0, IFERROR(_TBL_SALES[[#This Row],[PRODUCT SET]], ""), "")</f>
        <v/>
      </c>
      <c r="D4" s="4" t="str">
        <f>IF(IFERROR(_TBL_SALES[[#This Row],[count]], "")&lt;&gt; 0, IFERROR(_TBL_SALES[[#This Row],[count]], ""), "")</f>
        <v/>
      </c>
      <c r="E4" s="4" t="str">
        <f>IF(IFERROR(_TBL_SALES[[#This Row],[REMARKS]], "")&lt;&gt; 0, IFERROR(_TBL_SALES[[#This Row],[REMARKS]], ""), "")</f>
        <v/>
      </c>
      <c r="F4" s="8" t="str">
        <f>IF(IFERROR(_TBL_SALES[[#This Row],[PRICE SOLD]], "")&lt;&gt; 0, IFERROR(_TBL_SALES[[#This Row],[PRICE SOLD]], ""), "")</f>
        <v/>
      </c>
      <c r="G4" s="8" t="str">
        <f>IFERROR(_TBL_SALES_REPORT[[#This Row],[PRICE PER PIECE]]*_TBL_SALES_REPORT[[#This Row],[COUNT]], "")</f>
        <v/>
      </c>
    </row>
    <row r="5" spans="2:7" x14ac:dyDescent="0.25">
      <c r="B5" s="3" t="str">
        <f>IF(IFERROR(_TBL_SALES[[#This Row],[DATE]], "")&lt;&gt; 0, IFERROR(_TBL_SALES[[#This Row],[DATE]], ""), "")</f>
        <v/>
      </c>
      <c r="C5" s="3" t="str">
        <f>IF(IFERROR(_TBL_SALES[[#This Row],[PRODUCT SET]], "")&lt;&gt; 0, IFERROR(_TBL_SALES[[#This Row],[PRODUCT SET]], ""), "")</f>
        <v/>
      </c>
      <c r="D5" s="4" t="str">
        <f>IF(IFERROR(_TBL_SALES[[#This Row],[count]], "")&lt;&gt; 0, IFERROR(_TBL_SALES[[#This Row],[count]], ""), "")</f>
        <v/>
      </c>
      <c r="E5" s="4" t="str">
        <f>IF(IFERROR(_TBL_SALES[[#This Row],[REMARKS]], "")&lt;&gt; 0, IFERROR(_TBL_SALES[[#This Row],[REMARKS]], ""), "")</f>
        <v/>
      </c>
      <c r="F5" s="8" t="str">
        <f>IF(IFERROR(_TBL_SALES[[#This Row],[PRICE SOLD]], "")&lt;&gt; 0, IFERROR(_TBL_SALES[[#This Row],[PRICE SOLD]], ""), "")</f>
        <v/>
      </c>
      <c r="G5" s="8" t="str">
        <f>IFERROR(_TBL_SALES_REPORT[[#This Row],[PRICE PER PIECE]]*_TBL_SALES_REPORT[[#This Row],[COUNT]], "")</f>
        <v/>
      </c>
    </row>
    <row r="6" spans="2:7" x14ac:dyDescent="0.25">
      <c r="B6" s="3" t="str">
        <f>IF(IFERROR(_TBL_SALES[[#This Row],[DATE]], "")&lt;&gt; 0, IFERROR(_TBL_SALES[[#This Row],[DATE]], ""), "")</f>
        <v/>
      </c>
      <c r="C6" s="3" t="str">
        <f>IF(IFERROR(_TBL_SALES[[#This Row],[PRODUCT SET]], "")&lt;&gt; 0, IFERROR(_TBL_SALES[[#This Row],[PRODUCT SET]], ""), "")</f>
        <v/>
      </c>
      <c r="D6" s="4" t="str">
        <f>IF(IFERROR(_TBL_SALES[[#This Row],[count]], "")&lt;&gt; 0, IFERROR(_TBL_SALES[[#This Row],[count]], ""), "")</f>
        <v/>
      </c>
      <c r="E6" s="4" t="str">
        <f>IF(IFERROR(_TBL_SALES[[#This Row],[REMARKS]], "")&lt;&gt; 0, IFERROR(_TBL_SALES[[#This Row],[REMARKS]], ""), "")</f>
        <v/>
      </c>
      <c r="F6" s="8" t="str">
        <f>IF(IFERROR(_TBL_SALES[[#This Row],[PRICE SOLD]], "")&lt;&gt; 0, IFERROR(_TBL_SALES[[#This Row],[PRICE SOLD]], ""), "")</f>
        <v/>
      </c>
      <c r="G6" s="8" t="str">
        <f>IFERROR(_TBL_SALES_REPORT[[#This Row],[PRICE PER PIECE]]*_TBL_SALES_REPORT[[#This Row],[COUNT]], "")</f>
        <v/>
      </c>
    </row>
    <row r="7" spans="2:7" x14ac:dyDescent="0.25">
      <c r="B7" s="3" t="str">
        <f>IF(IFERROR(_TBL_SALES[[#This Row],[DATE]], "")&lt;&gt; 0, IFERROR(_TBL_SALES[[#This Row],[DATE]], ""), "")</f>
        <v/>
      </c>
      <c r="C7" s="3" t="str">
        <f>IF(IFERROR(_TBL_SALES[[#This Row],[PRODUCT SET]], "")&lt;&gt; 0, IFERROR(_TBL_SALES[[#This Row],[PRODUCT SET]], ""), "")</f>
        <v/>
      </c>
      <c r="D7" s="4" t="str">
        <f>IF(IFERROR(_TBL_SALES[[#This Row],[count]], "")&lt;&gt; 0, IFERROR(_TBL_SALES[[#This Row],[count]], ""), "")</f>
        <v/>
      </c>
      <c r="E7" s="4" t="str">
        <f>IF(IFERROR(_TBL_SALES[[#This Row],[REMARKS]], "")&lt;&gt; 0, IFERROR(_TBL_SALES[[#This Row],[REMARKS]], ""), "")</f>
        <v/>
      </c>
      <c r="F7" s="8" t="str">
        <f>IF(IFERROR(_TBL_SALES[[#This Row],[PRICE SOLD]], "")&lt;&gt; 0, IFERROR(_TBL_SALES[[#This Row],[PRICE SOLD]], ""), "")</f>
        <v/>
      </c>
      <c r="G7" s="8" t="str">
        <f>IFERROR(_TBL_SALES_REPORT[[#This Row],[PRICE PER PIECE]]*_TBL_SALES_REPORT[[#This Row],[COUNT]], "")</f>
        <v/>
      </c>
    </row>
    <row r="8" spans="2:7" x14ac:dyDescent="0.25">
      <c r="B8" s="3" t="str">
        <f>IF(IFERROR(_TBL_SALES[[#This Row],[DATE]], "")&lt;&gt; 0, IFERROR(_TBL_SALES[[#This Row],[DATE]], ""), "")</f>
        <v/>
      </c>
      <c r="C8" s="3" t="str">
        <f>IF(IFERROR(_TBL_SALES[[#This Row],[PRODUCT SET]], "")&lt;&gt; 0, IFERROR(_TBL_SALES[[#This Row],[PRODUCT SET]], ""), "")</f>
        <v/>
      </c>
      <c r="D8" s="4" t="str">
        <f>IF(IFERROR(_TBL_SALES[[#This Row],[count]], "")&lt;&gt; 0, IFERROR(_TBL_SALES[[#This Row],[count]], ""), "")</f>
        <v/>
      </c>
      <c r="E8" s="4" t="str">
        <f>IF(IFERROR(_TBL_SALES[[#This Row],[REMARKS]], "")&lt;&gt; 0, IFERROR(_TBL_SALES[[#This Row],[REMARKS]], ""), "")</f>
        <v/>
      </c>
      <c r="F8" s="8" t="str">
        <f>IF(IFERROR(_TBL_SALES[[#This Row],[PRICE SOLD]], "")&lt;&gt; 0, IFERROR(_TBL_SALES[[#This Row],[PRICE SOLD]], ""), "")</f>
        <v/>
      </c>
      <c r="G8" s="8" t="str">
        <f>IFERROR(_TBL_SALES_REPORT[[#This Row],[PRICE PER PIECE]]*_TBL_SALES_REPORT[[#This Row],[COUNT]], "")</f>
        <v/>
      </c>
    </row>
    <row r="9" spans="2:7" x14ac:dyDescent="0.25">
      <c r="B9" s="3" t="str">
        <f>IF(IFERROR(_TBL_SALES[[#This Row],[DATE]], "")&lt;&gt; 0, IFERROR(_TBL_SALES[[#This Row],[DATE]], ""), "")</f>
        <v/>
      </c>
      <c r="C9" s="3" t="str">
        <f>IF(IFERROR(_TBL_SALES[[#This Row],[PRODUCT SET]], "")&lt;&gt; 0, IFERROR(_TBL_SALES[[#This Row],[PRODUCT SET]], ""), "")</f>
        <v/>
      </c>
      <c r="D9" s="4" t="str">
        <f>IF(IFERROR(_TBL_SALES[[#This Row],[count]], "")&lt;&gt; 0, IFERROR(_TBL_SALES[[#This Row],[count]], ""), "")</f>
        <v/>
      </c>
      <c r="E9" s="4" t="str">
        <f>IF(IFERROR(_TBL_SALES[[#This Row],[REMARKS]], "")&lt;&gt; 0, IFERROR(_TBL_SALES[[#This Row],[REMARKS]], ""), "")</f>
        <v/>
      </c>
      <c r="F9" s="8" t="str">
        <f>IF(IFERROR(_TBL_SALES[[#This Row],[PRICE SOLD]], "")&lt;&gt; 0, IFERROR(_TBL_SALES[[#This Row],[PRICE SOLD]], ""), "")</f>
        <v/>
      </c>
      <c r="G9" s="8" t="str">
        <f>IFERROR(_TBL_SALES_REPORT[[#This Row],[PRICE PER PIECE]]*_TBL_SALES_REPORT[[#This Row],[COUNT]], "")</f>
        <v/>
      </c>
    </row>
    <row r="10" spans="2:7" x14ac:dyDescent="0.25">
      <c r="B10" s="3" t="str">
        <f>IF(IFERROR(_TBL_SALES[[#This Row],[DATE]], "")&lt;&gt; 0, IFERROR(_TBL_SALES[[#This Row],[DATE]], ""), "")</f>
        <v/>
      </c>
      <c r="C10" s="3" t="str">
        <f>IF(IFERROR(_TBL_SALES[[#This Row],[PRODUCT SET]], "")&lt;&gt; 0, IFERROR(_TBL_SALES[[#This Row],[PRODUCT SET]], ""), "")</f>
        <v/>
      </c>
      <c r="D10" s="4" t="str">
        <f>IF(IFERROR(_TBL_SALES[[#This Row],[count]], "")&lt;&gt; 0, IFERROR(_TBL_SALES[[#This Row],[count]], ""), "")</f>
        <v/>
      </c>
      <c r="E10" s="4" t="str">
        <f>IF(IFERROR(_TBL_SALES[[#This Row],[REMARKS]], "")&lt;&gt; 0, IFERROR(_TBL_SALES[[#This Row],[REMARKS]], ""), "")</f>
        <v/>
      </c>
      <c r="F10" s="8" t="str">
        <f>IF(IFERROR(_TBL_SALES[[#This Row],[PRICE SOLD]], "")&lt;&gt; 0, IFERROR(_TBL_SALES[[#This Row],[PRICE SOLD]], ""), "")</f>
        <v/>
      </c>
      <c r="G10" s="8" t="str">
        <f>IFERROR(_TBL_SALES_REPORT[[#This Row],[PRICE PER PIECE]]*_TBL_SALES_REPORT[[#This Row],[COUNT]], "")</f>
        <v/>
      </c>
    </row>
    <row r="11" spans="2:7" x14ac:dyDescent="0.25">
      <c r="B11" s="3" t="str">
        <f>IF(IFERROR(_TBL_SALES[[#This Row],[DATE]], "")&lt;&gt; 0, IFERROR(_TBL_SALES[[#This Row],[DATE]], ""), "")</f>
        <v/>
      </c>
      <c r="C11" s="3" t="str">
        <f>IF(IFERROR(_TBL_SALES[[#This Row],[PRODUCT SET]], "")&lt;&gt; 0, IFERROR(_TBL_SALES[[#This Row],[PRODUCT SET]], ""), "")</f>
        <v/>
      </c>
      <c r="D11" s="4" t="str">
        <f>IF(IFERROR(_TBL_SALES[[#This Row],[count]], "")&lt;&gt; 0, IFERROR(_TBL_SALES[[#This Row],[count]], ""), "")</f>
        <v/>
      </c>
      <c r="E11" s="4" t="str">
        <f>IF(IFERROR(_TBL_SALES[[#This Row],[REMARKS]], "")&lt;&gt; 0, IFERROR(_TBL_SALES[[#This Row],[REMARKS]], ""), "")</f>
        <v/>
      </c>
      <c r="F11" s="8" t="str">
        <f>IF(IFERROR(_TBL_SALES[[#This Row],[PRICE SOLD]], "")&lt;&gt; 0, IFERROR(_TBL_SALES[[#This Row],[PRICE SOLD]], ""), "")</f>
        <v/>
      </c>
      <c r="G11" s="8" t="str">
        <f>IFERROR(_TBL_SALES_REPORT[[#This Row],[PRICE PER PIECE]]*_TBL_SALES_REPORT[[#This Row],[COUNT]], "")</f>
        <v/>
      </c>
    </row>
    <row r="12" spans="2:7" x14ac:dyDescent="0.25">
      <c r="B12" s="3" t="str">
        <f>IF(IFERROR(_TBL_SALES[[#This Row],[DATE]], "")&lt;&gt; 0, IFERROR(_TBL_SALES[[#This Row],[DATE]], ""), "")</f>
        <v/>
      </c>
      <c r="C12" s="3" t="str">
        <f>IF(IFERROR(_TBL_SALES[[#This Row],[PRODUCT SET]], "")&lt;&gt; 0, IFERROR(_TBL_SALES[[#This Row],[PRODUCT SET]], ""), "")</f>
        <v/>
      </c>
      <c r="D12" s="4" t="str">
        <f>IF(IFERROR(_TBL_SALES[[#This Row],[count]], "")&lt;&gt; 0, IFERROR(_TBL_SALES[[#This Row],[count]], ""), "")</f>
        <v/>
      </c>
      <c r="E12" s="4" t="str">
        <f>IF(IFERROR(_TBL_SALES[[#This Row],[REMARKS]], "")&lt;&gt; 0, IFERROR(_TBL_SALES[[#This Row],[REMARKS]], ""), "")</f>
        <v/>
      </c>
      <c r="F12" s="8" t="str">
        <f>IF(IFERROR(_TBL_SALES[[#This Row],[PRICE SOLD]], "")&lt;&gt; 0, IFERROR(_TBL_SALES[[#This Row],[PRICE SOLD]], ""), "")</f>
        <v/>
      </c>
      <c r="G12" s="8" t="str">
        <f>IFERROR(_TBL_SALES_REPORT[[#This Row],[PRICE PER PIECE]]*_TBL_SALES_REPORT[[#This Row],[COUNT]], "")</f>
        <v/>
      </c>
    </row>
    <row r="13" spans="2:7" x14ac:dyDescent="0.25">
      <c r="B13" s="3" t="str">
        <f>IF(IFERROR(_TBL_SALES[[#This Row],[DATE]], "")&lt;&gt; 0, IFERROR(_TBL_SALES[[#This Row],[DATE]], ""), "")</f>
        <v/>
      </c>
      <c r="C13" s="3" t="str">
        <f>IF(IFERROR(_TBL_SALES[[#This Row],[PRODUCT SET]], "")&lt;&gt; 0, IFERROR(_TBL_SALES[[#This Row],[PRODUCT SET]], ""), "")</f>
        <v/>
      </c>
      <c r="D13" s="4" t="str">
        <f>IF(IFERROR(_TBL_SALES[[#This Row],[count]], "")&lt;&gt; 0, IFERROR(_TBL_SALES[[#This Row],[count]], ""), "")</f>
        <v/>
      </c>
      <c r="E13" s="4" t="str">
        <f>IF(IFERROR(_TBL_SALES[[#This Row],[REMARKS]], "")&lt;&gt; 0, IFERROR(_TBL_SALES[[#This Row],[REMARKS]], ""), "")</f>
        <v/>
      </c>
      <c r="F13" s="8" t="str">
        <f>IF(IFERROR(_TBL_SALES[[#This Row],[PRICE SOLD]], "")&lt;&gt; 0, IFERROR(_TBL_SALES[[#This Row],[PRICE SOLD]], ""), "")</f>
        <v/>
      </c>
      <c r="G13" s="8" t="str">
        <f>IFERROR(_TBL_SALES_REPORT[[#This Row],[PRICE PER PIECE]]*_TBL_SALES_REPORT[[#This Row],[COUNT]], "")</f>
        <v/>
      </c>
    </row>
    <row r="14" spans="2:7" x14ac:dyDescent="0.25">
      <c r="B14" s="9" t="str">
        <f>_xlfn.CONCAT("COUNT: ", SUBTOTAL(103,_TBL_SALES_REPORT[DATE]))</f>
        <v>COUNT: 11</v>
      </c>
      <c r="C14" s="5" t="s">
        <v>33</v>
      </c>
      <c r="D14" s="10">
        <f>SUBTOTAL(109,_TBL_SALES_REPORT[COUNT])</f>
        <v>0</v>
      </c>
      <c r="E14" s="10"/>
      <c r="F14" s="11"/>
      <c r="G14" s="14">
        <f>SUBTOTAL(109, _TBL_SALES_REPORT[TOTAL PRICE])</f>
        <v>0</v>
      </c>
    </row>
    <row r="15" spans="2:7" x14ac:dyDescent="0.25">
      <c r="B15" s="12"/>
      <c r="C15" s="5" t="s">
        <v>34</v>
      </c>
      <c r="D15" s="6">
        <f>SUM(_TBL_SALES_REPORT[COUNT])</f>
        <v>0</v>
      </c>
      <c r="E15" s="6"/>
      <c r="F15" s="13"/>
      <c r="G15" s="13">
        <f>SUM(_TBL_SALES_REPORT[TOTAL PRICE])</f>
        <v>0</v>
      </c>
    </row>
  </sheetData>
  <mergeCells count="1">
    <mergeCell ref="C1:D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_TBL_SPECS</vt:lpstr>
      <vt:lpstr>_TBL_INVENTORY_TYPE</vt:lpstr>
      <vt:lpstr>_TBL_INVENTORY</vt:lpstr>
      <vt:lpstr>_TBL_BRAND</vt:lpstr>
      <vt:lpstr>_TBL_DATES</vt:lpstr>
      <vt:lpstr>_TBL_INVENTORY_IN</vt:lpstr>
      <vt:lpstr>_TBL_PRODUCT</vt:lpstr>
      <vt:lpstr>_TBL_INVENTORY_CATALOG</vt:lpstr>
      <vt:lpstr>_TBL_SALES</vt:lpstr>
      <vt:lpstr>INVENTORY IN LOGS</vt:lpstr>
      <vt:lpstr>SALES REPORT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2025-04-19T10:28:22Z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