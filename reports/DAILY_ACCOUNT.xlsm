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queryTables/queryTable6.xml" ContentType="application/vnd.openxmlformats-officedocument.spreadsheetml.queryTable+xml"/>
  <Override PartName="/xl/tables/table8.xml" ContentType="application/vnd.openxmlformats-officedocument.spreadsheetml.table+xml"/>
  <Override PartName="/xl/queryTables/queryTable7.xml" ContentType="application/vnd.openxmlformats-officedocument.spreadsheetml.queryTable+xml"/>
  <Override PartName="/xl/tables/table9.xml" ContentType="application/vnd.openxmlformats-officedocument.spreadsheetml.table+xml"/>
  <Override PartName="/xl/queryTables/queryTable8.xml" ContentType="application/vnd.openxmlformats-officedocument.spreadsheetml.queryTable+xml"/>
  <Override PartName="/xl/tables/table10.xml" ContentType="application/vnd.openxmlformats-officedocument.spreadsheetml.table+xml"/>
  <Override PartName="/xl/queryTables/queryTable9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__users__\__management__\real_enterprise\reports\"/>
    </mc:Choice>
  </mc:AlternateContent>
  <xr:revisionPtr revIDLastSave="0" documentId="13_ncr:80001_{5B41198A-863E-43DD-8383-D849360D1D2D}" xr6:coauthVersionLast="36" xr6:coauthVersionMax="47" xr10:uidLastSave="{00000000-0000-0000-0000-000000000000}"/>
  <bookViews>
    <workbookView xWindow="-120" yWindow="-120" windowWidth="29040" windowHeight="15720" tabRatio="811" firstSheet="7" activeTab="7" xr2:uid="{00000000-000D-0000-FFFF-FFFF00000000}"/>
  </bookViews>
  <sheets>
    <sheet name="_TBL_INVENTORY_IN" sheetId="19" state="hidden" r:id="rId1"/>
    <sheet name="_TBL_PRODUCT" sheetId="28" state="hidden" r:id="rId2"/>
    <sheet name="_TBL_INVENTORY" sheetId="27" state="hidden" r:id="rId3"/>
    <sheet name="PC_INVENTORY" sheetId="31" state="hidden" r:id="rId4"/>
    <sheet name="LAPTOP_INVENTORY" sheetId="30" state="hidden" r:id="rId5"/>
    <sheet name="INVENTORY IN LOGS" sheetId="2" state="hidden" r:id="rId6"/>
    <sheet name="PRINTER_INVENTORY" sheetId="32" state="hidden" r:id="rId7"/>
    <sheet name="LAPTOP_PRODUCTION" sheetId="35" r:id="rId8"/>
    <sheet name="OTHERS" sheetId="33" r:id="rId9"/>
    <sheet name="SALES_REPORT" sheetId="34" r:id="rId10"/>
  </sheets>
  <definedNames>
    <definedName name="ExternalData_1" localSheetId="2" hidden="1">'_TBL_INVENTORY'!$A$1:$G$109</definedName>
    <definedName name="ExternalData_1" localSheetId="0" hidden="1">'_TBL_INVENTORY_IN'!$A$2:$F$62</definedName>
    <definedName name="ExternalData_1" localSheetId="4" hidden="1">LAPTOP_INVENTORY!$A$1:$C$53</definedName>
    <definedName name="ExternalData_1" localSheetId="8" hidden="1">OTHERS!$B$2:$H$58</definedName>
    <definedName name="ExternalData_1" localSheetId="6" hidden="1">PRINTER_INVENTORY!$A$1:$H$7</definedName>
    <definedName name="ExternalData_2" localSheetId="1" hidden="1">'_TBL_PRODUCT'!$A$1:$K$206</definedName>
    <definedName name="ExternalData_2" localSheetId="7" hidden="1">LAPTOP_PRODUCTION!$A$1:$J$53</definedName>
    <definedName name="ExternalData_2" localSheetId="3" hidden="1">PC_INVENTORY!$A$1:$H$4</definedName>
    <definedName name="ExternalData_2" localSheetId="9" hidden="1">SALES_REPORT!$A$1:$S$5</definedName>
    <definedName name="NAMES_INVENTORY">_TBL_INVENTORY[NAME]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" i="35" l="1"/>
  <c r="K3" i="35"/>
  <c r="K4" i="35"/>
  <c r="K5" i="35"/>
  <c r="K6" i="35"/>
  <c r="K7" i="35"/>
  <c r="K8" i="35"/>
  <c r="K9" i="35"/>
  <c r="K10" i="35"/>
  <c r="K11" i="35"/>
  <c r="K12" i="35"/>
  <c r="K13" i="35"/>
  <c r="K14" i="35"/>
  <c r="K15" i="35"/>
  <c r="K16" i="35"/>
  <c r="K17" i="35"/>
  <c r="K18" i="35"/>
  <c r="K19" i="35"/>
  <c r="K20" i="35"/>
  <c r="K21" i="35"/>
  <c r="K22" i="35"/>
  <c r="K23" i="35"/>
  <c r="K24" i="35"/>
  <c r="K25" i="35"/>
  <c r="K26" i="35"/>
  <c r="K27" i="35"/>
  <c r="K28" i="35"/>
  <c r="K29" i="35"/>
  <c r="K30" i="35"/>
  <c r="K31" i="35"/>
  <c r="K32" i="35"/>
  <c r="K33" i="35"/>
  <c r="K34" i="35"/>
  <c r="K35" i="35"/>
  <c r="K36" i="35"/>
  <c r="K37" i="35"/>
  <c r="K38" i="35"/>
  <c r="K39" i="35"/>
  <c r="K40" i="35"/>
  <c r="K41" i="35"/>
  <c r="K42" i="35"/>
  <c r="K43" i="35"/>
  <c r="K44" i="35"/>
  <c r="K45" i="35"/>
  <c r="K46" i="35"/>
  <c r="K47" i="35"/>
  <c r="K48" i="35"/>
  <c r="K49" i="35"/>
  <c r="K50" i="35"/>
  <c r="K51" i="35"/>
  <c r="K52" i="35"/>
  <c r="K53" i="35"/>
  <c r="E8" i="2" l="1"/>
  <c r="F8" i="2" l="1"/>
  <c r="F9" i="2"/>
  <c r="F10" i="2"/>
  <c r="F11" i="2"/>
  <c r="E11" i="2" l="1"/>
  <c r="F5" i="2" l="1"/>
  <c r="F6" i="2"/>
  <c r="F7" i="2"/>
  <c r="E9" i="2"/>
  <c r="E10" i="2"/>
  <c r="E7" i="2" l="1"/>
  <c r="E6" i="2"/>
  <c r="E5" i="2"/>
  <c r="G13" i="2" l="1"/>
  <c r="G12" i="2" l="1"/>
  <c r="H5" i="2"/>
  <c r="H6" i="2"/>
  <c r="H7" i="2"/>
  <c r="H8" i="2"/>
  <c r="H9" i="2"/>
  <c r="H10" i="2"/>
  <c r="H11" i="2"/>
  <c r="D13" i="2" l="1"/>
  <c r="H13" i="2" s="1"/>
  <c r="D12" i="2" l="1"/>
  <c r="H12" i="2" s="1"/>
  <c r="B12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92AE9E2-86E5-47E5-95AF-AD28CFFE3862}" keepAlive="1" name="Query - _TBL_INVENTORY" description="Connection to the '_TBL_INVENTORY' query in the workbook." type="5" refreshedVersion="6" background="1" refreshOnLoad="1">
    <dbPr connection="Provider=Microsoft.Mashup.OleDb.1;Data Source=$Workbook$;Location=_TBL_INVENTORY;Extended Properties=&quot;&quot;" command="SELECT * FROM [_TBL_INVENTORY]"/>
  </connection>
  <connection id="2" xr16:uid="{94EA6E8F-22EA-406B-8D98-629B42D5493F}" keepAlive="1" name="Query - _TBL_INVENTORY_IN" description="Connection to the '_TBL_INVENTORY_IN' query in the workbook." type="5" refreshedVersion="6" background="1" refreshOnLoad="1">
    <dbPr connection="Provider=Microsoft.Mashup.OleDb.1;Data Source=$Workbook$;Location=_TBL_INVENTORY_IN;Extended Properties=&quot;&quot;" command="SELECT * FROM [_TBL_INVENTORY_IN]"/>
  </connection>
  <connection id="3" xr16:uid="{71077B45-6645-4B2A-B566-97906E4FBAAD}" keepAlive="1" name="Query - _TBL_PRODUCT" description="Connection to the '_TBL_PRODUCT' query in the workbook." type="5" refreshedVersion="6" background="1" refreshOnLoad="1">
    <dbPr connection="Provider=Microsoft.Mashup.OleDb.1;Data Source=$Workbook$;Location=_TBL_PRODUCT;Extended Properties=&quot;&quot;" command="SELECT * FROM [_TBL_PRODUCT]"/>
  </connection>
  <connection id="4" xr16:uid="{4DFBC01F-9BBC-427A-996C-A7DD92C03697}" keepAlive="1" name="Query - LAPTOP_INVENTORY" description="Connection to the 'LAPTOP_INVENTORY' query in the workbook." type="5" refreshedVersion="6" background="1" refreshOnLoad="1">
    <dbPr connection="Provider=Microsoft.Mashup.OleDb.1;Data Source=$Workbook$;Location=LAPTOP_INVENTORY;Extended Properties=&quot;&quot;" command="SELECT * FROM [LAPTOP_INVENTORY]"/>
  </connection>
  <connection id="5" xr16:uid="{CA383302-C487-4FCB-A288-E426E719A26B}" keepAlive="1" name="Query - LAPTOP_PRODUCTION" description="Connection to the 'LAPTOP_PRODUCTION' query in the workbook." type="5" refreshedVersion="6" background="1" saveData="1">
    <dbPr connection="Provider=Microsoft.Mashup.OleDb.1;Data Source=$Workbook$;Location=LAPTOP_PRODUCTION;Extended Properties=&quot;&quot;" command="SELECT * FROM [LAPTOP_PRODUCTION]"/>
  </connection>
  <connection id="6" xr16:uid="{9474C3DD-6F50-449A-90CA-71A5FA6A2F69}" keepAlive="1" name="Query - PC_INVENTORY" description="Connection to the 'PC_INVENTORY' query in the workbook." type="5" refreshedVersion="6" background="1" refreshOnLoad="1">
    <dbPr connection="Provider=Microsoft.Mashup.OleDb.1;Data Source=$Workbook$;Location=PC_INVENTORY;Extended Properties=&quot;&quot;" command="SELECT * FROM [PC_INVENTORY]"/>
  </connection>
  <connection id="7" xr16:uid="{EE00C2A9-6801-493A-94D0-411FAC44AD7A}" keepAlive="1" name="Query - PRINTER_INVENTORY" description="Connection to the 'PRINTER_INVENTORY' query in the workbook." type="5" refreshedVersion="6" background="1" refreshOnLoad="1">
    <dbPr connection="Provider=Microsoft.Mashup.OleDb.1;Data Source=$Workbook$;Location=PRINTER_INVENTORY;Extended Properties=&quot;&quot;" command="SELECT * FROM [PRINTER_INVENTORY]"/>
  </connection>
  <connection id="8" xr16:uid="{278071D3-CD54-45E5-BDD2-56D6FC4FEC3A}" keepAlive="1" name="Query - SALES_REPORT" description="Connection to the 'SALES_REPORT' query in the workbook." type="5" refreshedVersion="6" background="1" refreshOnLoad="1">
    <dbPr connection="Provider=Microsoft.Mashup.OleDb.1;Data Source=$Workbook$;Location=SALES_REPORT;Extended Properties=&quot;&quot;" command="SELECT * FROM [SALES_REPORT]"/>
  </connection>
  <connection id="9" xr16:uid="{25BCE4E8-1C38-429D-947B-9A212A1C5A87}" keepAlive="1" name="Query - STOCKS_OFFICE_2" description="Connection to the 'STOCKS_OFFICE_2' query in the workbook." type="5" refreshedVersion="6" background="1" refreshOnLoad="1">
    <dbPr connection="Provider=Microsoft.Mashup.OleDb.1;Data Source=$Workbook$;Location=STOCKS_OFFICE_2;Extended Properties=&quot;&quot;" command="SELECT * FROM [STOCKS_OFFICE_2]"/>
  </connection>
</connections>
</file>

<file path=xl/sharedStrings.xml><?xml version="1.0" encoding="utf-8"?>
<sst xmlns="http://schemas.openxmlformats.org/spreadsheetml/2006/main" count="125" uniqueCount="74">
  <si>
    <t>DATE</t>
  </si>
  <si>
    <t>INVENTORY ITEM</t>
  </si>
  <si>
    <t>IN</t>
  </si>
  <si>
    <t>REMARKS</t>
  </si>
  <si>
    <t>ABSOLUTE TOTAL:</t>
  </si>
  <si>
    <t>INVENTORY</t>
  </si>
  <si>
    <t>COST TOTAL</t>
  </si>
  <si>
    <t>COST PER PIECE</t>
  </si>
  <si>
    <t>TOTAL:</t>
  </si>
  <si>
    <t>INVENTORY IN</t>
  </si>
  <si>
    <t>ID</t>
  </si>
  <si>
    <t>DELL REGULAR 2 / 16</t>
  </si>
  <si>
    <t>DELL REGULAR 4 / 16</t>
  </si>
  <si>
    <t>DELL REGULAR 4 / 32</t>
  </si>
  <si>
    <t>HP REGULAR 4 / 16</t>
  </si>
  <si>
    <t>HP REGULAR 4 / 32</t>
  </si>
  <si>
    <t>CTL REGULAR 4 / 16</t>
  </si>
  <si>
    <t>LENOVO REGULAR 4 / 16</t>
  </si>
  <si>
    <t>LENOVO REGULAR 4 / 32</t>
  </si>
  <si>
    <t>HP TOUCHSCREEN 4 / 16</t>
  </si>
  <si>
    <t>HP TOUCHSCREEN 4 / 32</t>
  </si>
  <si>
    <t>DELL TOUCHSCREEN 4 / 16</t>
  </si>
  <si>
    <t>DELL TOUCHSCREEN 4 / 32</t>
  </si>
  <si>
    <t>ACER TOUCHSCREEN 4 / 32</t>
  </si>
  <si>
    <t>ACER TOUCHSCREEN 4 / 16</t>
  </si>
  <si>
    <t>LENOVO TOUCHSCREEN 4 / 16</t>
  </si>
  <si>
    <t>CTL TOUCHSCREEN 4 / 32</t>
  </si>
  <si>
    <t>DELL 14' 4 / 16</t>
  </si>
  <si>
    <t>HP 14' 2 / 16</t>
  </si>
  <si>
    <t>HP 14' 4 / 16</t>
  </si>
  <si>
    <t>HP 14' 4 / 32</t>
  </si>
  <si>
    <t>HP 14' 4 / 64</t>
  </si>
  <si>
    <t>HP 14' 8 / 32</t>
  </si>
  <si>
    <t>ACER 14' 2 / 16</t>
  </si>
  <si>
    <t>ACER 14' 4 / 16</t>
  </si>
  <si>
    <t>ASUS 14' 2 / 16</t>
  </si>
  <si>
    <t>LENOVO 14' 4 / 16</t>
  </si>
  <si>
    <t>DELL TOUCH &amp; FLIP 4 / 16</t>
  </si>
  <si>
    <t>DELL TOUCH &amp; FLIP 4 / 32</t>
  </si>
  <si>
    <t>DELL TOUCH &amp; FLIP 8 / 128</t>
  </si>
  <si>
    <t>ACER TOUCH &amp; FLIP 4 / 16</t>
  </si>
  <si>
    <t>ACER TOUCH &amp; FLIP 4 / 32</t>
  </si>
  <si>
    <t>LENOVO TOUCH &amp; FLIP 4 / 16</t>
  </si>
  <si>
    <t>LENOVO TOUCH &amp; FLIP 4 / 32</t>
  </si>
  <si>
    <t>LENOVO TOUCH &amp; FLIP 4 / 128</t>
  </si>
  <si>
    <t>HP TOUCH &amp; FLIP 4 / 32</t>
  </si>
  <si>
    <t>HP TOUCH &amp; FLIP 4 / 128</t>
  </si>
  <si>
    <t>ASUS TOUCH &amp; FLIP 4 / 32</t>
  </si>
  <si>
    <t>CTL TOUCH &amp; FLIP 4 / 32</t>
  </si>
  <si>
    <t>Macbook Intel i3</t>
  </si>
  <si>
    <t>Macbook Intel i5</t>
  </si>
  <si>
    <t>Fujitsu</t>
  </si>
  <si>
    <t>DELL Intel i3</t>
  </si>
  <si>
    <t>DELL Intel i5</t>
  </si>
  <si>
    <t>DELL Intel i7</t>
  </si>
  <si>
    <t>Avgo</t>
  </si>
  <si>
    <t>Toshiba</t>
  </si>
  <si>
    <t>LENOVO Intel i3</t>
  </si>
  <si>
    <t>LENOVO Intel i5</t>
  </si>
  <si>
    <t>Nec</t>
  </si>
  <si>
    <t>NAME</t>
  </si>
  <si>
    <t>TYPE</t>
  </si>
  <si>
    <t>Laptop</t>
  </si>
  <si>
    <t>ACER REGULAR 4 / 16</t>
  </si>
  <si>
    <t>ASUS REGULAR 4 / 16</t>
  </si>
  <si>
    <t>ASUS REGULAR 4 / 32</t>
  </si>
  <si>
    <t>BACKJOB</t>
  </si>
  <si>
    <t>TOTAL IN</t>
  </si>
  <si>
    <t>CURRENT STOCKS</t>
  </si>
  <si>
    <t>CHROME OS</t>
  </si>
  <si>
    <t>WINDOWS</t>
  </si>
  <si>
    <t>ON PROCESS</t>
  </si>
  <si>
    <t>TOTAL OUT</t>
  </si>
  <si>
    <t>IS VALID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</si>
</sst>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&quot;₱&quot;* #,##0.00_-;\-&quot;₱&quot;* #,##0.00_-;_-&quot;₱&quot;* &quot;-&quot;??_-;_-@_-"/>
    <numFmt numFmtId="165" formatCode="_-[$₱-3409]* #,##0.00_-;\-[$₱-3409]* #,##0.00_-;_-[$₱-3409]* &quot;-&quot;??_-;_-@_-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1" fillId="0" borderId="0" xfId="0" applyFont="1" applyAlignment="1">
      <alignment horizontal="right"/>
    </xf>
    <xf numFmtId="1" fontId="1" fillId="0" borderId="0" xfId="0" applyNumberFormat="1" applyFont="1"/>
    <xf numFmtId="14" fontId="0" fillId="0" borderId="0" xfId="0" applyNumberFormat="1"/>
    <xf numFmtId="165" fontId="0" fillId="0" borderId="0" xfId="0" applyNumberFormat="1" applyAlignment="1">
      <alignment horizontal="center"/>
    </xf>
    <xf numFmtId="0" fontId="1" fillId="0" borderId="0" xfId="0" applyFont="1" applyAlignment="1">
      <alignment horizontal="left"/>
    </xf>
    <xf numFmtId="1" fontId="1" fillId="0" borderId="0" xfId="0" applyNumberFormat="1" applyFont="1" applyAlignment="1">
      <alignment horizontal="right"/>
    </xf>
    <xf numFmtId="0" fontId="1" fillId="0" borderId="0" xfId="0" applyFont="1"/>
    <xf numFmtId="165" fontId="1" fillId="0" borderId="0" xfId="0" applyNumberFormat="1" applyFont="1"/>
    <xf numFmtId="164" fontId="1" fillId="0" borderId="0" xfId="0" applyNumberFormat="1" applyFont="1" applyAlignment="1">
      <alignment horizontal="center"/>
    </xf>
    <xf numFmtId="164" fontId="1" fillId="0" borderId="0" xfId="0" applyNumberFormat="1" applyFont="1"/>
    <xf numFmtId="0" fontId="0" fillId="0" borderId="0" xfId="0" applyNumberFormat="1"/>
    <xf numFmtId="1" fontId="0" fillId="0" borderId="0" xfId="0" applyNumberFormat="1" applyAlignment="1">
      <alignment horizontal="left"/>
    </xf>
    <xf numFmtId="1" fontId="0" fillId="0" borderId="0" xfId="0" applyNumberFormat="1"/>
    <xf numFmtId="0" fontId="0" fillId="0" borderId="0" xfId="0" applyNumberFormat="1" applyAlignment="1">
      <alignment horizontal="center"/>
    </xf>
    <xf numFmtId="14" fontId="1" fillId="0" borderId="1" xfId="0" applyNumberFormat="1" applyFont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14" fontId="1" fillId="0" borderId="3" xfId="0" applyNumberFormat="1" applyFon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4" fontId="1" fillId="0" borderId="5" xfId="0" applyNumberFormat="1" applyFon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65" fontId="0" fillId="0" borderId="9" xfId="0" applyNumberForma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top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49">
    <dxf>
      <numFmt numFmtId="164" formatCode="_-&quot;₱&quot;* #,##0.00_-;\-&quot;₱&quot;* #,##0.00_-;_-&quot;₱&quot;* &quot;-&quot;??_-;_-@_-"/>
    </dxf>
    <dxf>
      <numFmt numFmtId="164" formatCode="_-&quot;₱&quot;* #,##0.00_-;\-&quot;₱&quot;* #,##0.00_-;_-&quot;₱&quot;* &quot;-&quot;??_-;_-@_-"/>
    </dxf>
    <dxf>
      <numFmt numFmtId="164" formatCode="_-&quot;₱&quot;* #,##0.00_-;\-&quot;₱&quot;* #,##0.00_-;_-&quot;₱&quot;* &quot;-&quot;??_-;_-@_-"/>
    </dxf>
    <dxf>
      <numFmt numFmtId="164" formatCode="_-&quot;₱&quot;* #,##0.00_-;\-&quot;₱&quot;* #,##0.00_-;_-&quot;₱&quot;* &quot;-&quot;??_-;_-@_-"/>
    </dxf>
    <dxf>
      <numFmt numFmtId="164" formatCode="_-&quot;₱&quot;* #,##0.00_-;\-&quot;₱&quot;* #,##0.00_-;_-&quot;₱&quot;* &quot;-&quot;??_-;_-@_-"/>
    </dxf>
    <dxf>
      <numFmt numFmtId="164" formatCode="_-&quot;₱&quot;* #,##0.00_-;\-&quot;₱&quot;* #,##0.00_-;_-&quot;₱&quot;* &quot;-&quot;??_-;_-@_-"/>
    </dxf>
    <dxf>
      <numFmt numFmtId="164" formatCode="_-&quot;₱&quot;* #,##0.00_-;\-&quot;₱&quot;* #,##0.00_-;_-&quot;₱&quot;* &quot;-&quot;??_-;_-@_-"/>
    </dxf>
    <dxf>
      <numFmt numFmtId="164" formatCode="_-&quot;₱&quot;* #,##0.00_-;\-&quot;₱&quot;* #,##0.00_-;_-&quot;₱&quot;* &quot;-&quot;??_-;_-@_-"/>
    </dxf>
    <dxf>
      <numFmt numFmtId="19" formatCode="m/d/yyyy"/>
    </dxf>
    <dxf>
      <numFmt numFmtId="0" formatCode="General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</dxf>
    <dxf>
      <numFmt numFmtId="165" formatCode="_-[$₱-3409]* #,##0.00_-;\-[$₱-3409]* #,##0.00_-;_-[$₱-3409]* &quot;-&quot;??_-;_-@_-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</dxf>
    <dxf>
      <numFmt numFmtId="165" formatCode="_-[$₱-3409]* #,##0.00_-;\-[$₱-3409]* #,##0.00_-;_-[$₱-3409]* &quot;-&quot;??_-;_-@_-"/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right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</dxf>
    <dxf>
      <font>
        <b/>
      </font>
      <numFmt numFmtId="0" formatCode="General"/>
      <alignment horizontal="left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numFmt numFmtId="19" formatCode="m/d/yyyy"/>
      <alignment horizontal="center" vertical="bottom" textRotation="0" wrapText="0" indent="0" justifyLastLine="0" shrinkToFit="0" readingOrder="0"/>
    </dxf>
    <dxf>
      <font>
        <b/>
      </font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removeDataOnSave="1" connectionId="2" xr16:uid="{50A4F75F-7963-4432-A8F0-F5654D73FD5A}" autoFormatId="16" applyNumberFormats="0" applyBorderFormats="0" applyFontFormats="0" applyPatternFormats="0" applyAlignmentFormats="0" applyWidthHeightFormats="0">
  <queryTableRefresh nextId="7">
    <queryTableFields count="6">
      <queryTableField id="1" name="DATE" tableColumnId="1"/>
      <queryTableField id="2" name="INVENTORY ITEM" tableColumnId="2"/>
      <queryTableField id="3" name="TYPE" tableColumnId="3"/>
      <queryTableField id="4" name="IN" tableColumnId="4"/>
      <queryTableField id="5" name="REMARKS" tableColumnId="5"/>
      <queryTableField id="6" name="BOX ID" tableColumnId="6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refreshOnLoad="1" removeDataOnSave="1" connectionId="3" xr16:uid="{B44CC440-E367-450D-955A-8596FCCF2B7F}" autoFormatId="16" applyNumberFormats="0" applyBorderFormats="0" applyFontFormats="0" applyPatternFormats="0" applyAlignmentFormats="0" applyWidthHeightFormats="0">
  <queryTableRefresh nextId="12">
    <queryTableFields count="11">
      <queryTableField id="1" name="ID" tableColumnId="1"/>
      <queryTableField id="2" name="PRODUCT NAME" tableColumnId="2"/>
      <queryTableField id="3" name="DEFAULT PRICE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  <queryTableField id="11" name="Column11" tableColumnId="11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removeDataOnSave="1" connectionId="1" xr16:uid="{81D89F73-7293-419F-A83E-61869DECCA6E}" autoFormatId="16" applyNumberFormats="0" applyBorderFormats="0" applyFontFormats="0" applyPatternFormats="0" applyAlignmentFormats="0" applyWidthHeightFormats="0">
  <queryTableRefresh nextId="8">
    <queryTableFields count="7">
      <queryTableField id="1" name="ID" tableColumnId="1"/>
      <queryTableField id="2" name="NAME" tableColumnId="2"/>
      <queryTableField id="3" name="TYPE" tableColumnId="3"/>
      <queryTableField id="4" name="BRAND" tableColumnId="4"/>
      <queryTableField id="5" name="CODE" tableColumnId="5"/>
      <queryTableField id="6" name="VARIANT" tableColumnId="6"/>
      <queryTableField id="7" name="SPECS" tableColumnId="7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refreshOnLoad="1" removeDataOnSave="1" connectionId="6" xr16:uid="{CB0F453E-FD02-464E-9606-1713EAD1287E}" autoFormatId="16" applyNumberFormats="0" applyBorderFormats="0" applyFontFormats="0" applyPatternFormats="0" applyAlignmentFormats="0" applyWidthHeightFormats="0">
  <queryTableRefresh nextId="9">
    <queryTableFields count="8">
      <queryTableField id="1" name="DATE" tableColumnId="1"/>
      <queryTableField id="2" name="INVENTORY ITEM" tableColumnId="2"/>
      <queryTableField id="3" name="IN" tableColumnId="3"/>
      <queryTableField id="4" name="OUT" tableColumnId="4"/>
      <queryTableField id="5" name="TOTAL" tableColumnId="5"/>
      <queryTableField id="6" name="BACKJOB" tableColumnId="6"/>
      <queryTableField id="7" name="REMARKS" tableColumnId="7"/>
      <queryTableField id="8" name="BOX ID" tableColumnId="8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removeDataOnSave="1" connectionId="4" xr16:uid="{79839DF1-724C-4744-BCDD-D36113ACCB94}" autoFormatId="16" applyNumberFormats="0" applyBorderFormats="0" applyFontFormats="0" applyPatternFormats="0" applyAlignmentFormats="0" applyWidthHeightFormats="0">
  <queryTableRefresh nextId="11">
    <queryTableFields count="3">
      <queryTableField id="2" name="INVENTORY ITEM" tableColumnId="2"/>
      <queryTableField id="9" name="TOTAL IN" tableColumnId="1"/>
      <queryTableField id="10" name="TOTAL OUT" tableColumnId="3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removeDataOnSave="1" connectionId="7" xr16:uid="{E6FF17AF-6D44-43CC-9A71-90DFEC5F0148}" autoFormatId="16" applyNumberFormats="0" applyBorderFormats="0" applyFontFormats="0" applyPatternFormats="0" applyAlignmentFormats="0" applyWidthHeightFormats="0">
  <queryTableRefresh nextId="9">
    <queryTableFields count="8">
      <queryTableField id="1" name="DATE" tableColumnId="1"/>
      <queryTableField id="2" name="INVENTORY ITEM" tableColumnId="2"/>
      <queryTableField id="3" name="IN" tableColumnId="3"/>
      <queryTableField id="4" name="OUT" tableColumnId="4"/>
      <queryTableField id="5" name="TOTAL" tableColumnId="5"/>
      <queryTableField id="6" name="BACKJOB" tableColumnId="6"/>
      <queryTableField id="7" name="REMARKS" tableColumnId="7"/>
      <queryTableField id="8" name="BOX ID" tableColumnId="8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5" xr16:uid="{F3B86B99-0DA1-47E7-908F-801EFF71A698}" autoFormatId="16" applyNumberFormats="0" applyBorderFormats="0" applyFontFormats="0" applyPatternFormats="0" applyAlignmentFormats="0" applyWidthHeightFormats="0">
  <queryTableRefresh nextId="17" unboundColumnsRight="1">
    <queryTableFields count="11">
      <queryTableField id="1" name="ID" tableColumnId="1"/>
      <queryTableField id="2" name="NAME" tableColumnId="2"/>
      <queryTableField id="11" name="TYPE" tableColumnId="10"/>
      <queryTableField id="4" name="TOTAL IN" tableColumnId="4"/>
      <queryTableField id="14" name="TOTAL OUT" tableColumnId="12"/>
      <queryTableField id="5" name="CURRENT STOCKS" tableColumnId="5"/>
      <queryTableField id="9" name="ON PROCESS" tableColumnId="9"/>
      <queryTableField id="6" name="CHROME OS" tableColumnId="6"/>
      <queryTableField id="7" name="WINDOWS" tableColumnId="7"/>
      <queryTableField id="12" name="BACKJOB" tableColumnId="11"/>
      <queryTableField id="16" dataBound="0" tableColumnId="13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removeDataOnSave="1" connectionId="9" xr16:uid="{ADC6B4A3-CA8E-427B-A485-466E14937F77}" autoFormatId="16" applyNumberFormats="0" applyBorderFormats="0" applyFontFormats="0" applyPatternFormats="0" applyAlignmentFormats="0" applyWidthHeightFormats="0">
  <queryTableRefresh nextId="13">
    <queryTableFields count="7">
      <queryTableField id="1" name="ID" tableColumnId="1"/>
      <queryTableField id="2" name="NAME" tableColumnId="2"/>
      <queryTableField id="3" name="TYPE" tableColumnId="3"/>
      <queryTableField id="8" name="TOTAL IN" tableColumnId="8"/>
      <queryTableField id="11" name="TOTAL OUT" tableColumnId="4"/>
      <queryTableField id="9" name="CURRENT STOCKS" tableColumnId="9"/>
      <queryTableField id="10" name="BACKJOB" tableColumnId="10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refreshOnLoad="1" removeDataOnSave="1" connectionId="8" xr16:uid="{69EE26E0-41F4-4E74-958E-18451A2161B8}" autoFormatId="16" applyNumberFormats="0" applyBorderFormats="0" applyFontFormats="0" applyPatternFormats="0" applyAlignmentFormats="0" applyWidthHeightFormats="0">
  <queryTableRefresh nextId="31">
    <queryTableFields count="19">
      <queryTableField id="1" name="DATE" tableColumnId="1"/>
      <queryTableField id="2" name="MAIN PRODUCT" tableColumnId="2"/>
      <queryTableField id="3" name="SOURCE" tableColumnId="3"/>
      <queryTableField id="4" name="PRICE DEFAULT" tableColumnId="4"/>
      <queryTableField id="19" name="Add Ons Cost" tableColumnId="19"/>
      <queryTableField id="6" name="TOTAL PAYMEMT" tableColumnId="6"/>
      <queryTableField id="7" name="CASH" tableColumnId="7"/>
      <queryTableField id="8" name="GCASH/BANK" tableColumnId="8"/>
      <queryTableField id="9" name="DOWNPAYMENT" tableColumnId="9"/>
      <queryTableField id="10" name="BALANCE" tableColumnId="10"/>
      <queryTableField id="11" name="SHIPPING FEE" tableColumnId="11"/>
      <queryTableField id="12" name="Delivered" tableColumnId="12"/>
      <queryTableField id="13" name="Claimed" tableColumnId="13"/>
      <queryTableField id="14" name="Deposited" tableColumnId="14"/>
      <queryTableField id="15" name="RECEIVABLE" tableColumnId="15"/>
      <queryTableField id="5" name="Add Ons 1" tableColumnId="5"/>
      <queryTableField id="16" name="Add Ons 2" tableColumnId="16"/>
      <queryTableField id="17" name="Add Ons 3" tableColumnId="17"/>
      <queryTableField id="18" name="Freebies" tableColumnId="1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E5DF040-AA94-41AC-A60E-654EED1201CA}" name="_TBL_INVENTORY_IN" displayName="_TBL_INVENTORY_IN" ref="A2:F62" tableType="queryTable" totalsRowShown="0">
  <autoFilter ref="A2:F62" xr:uid="{4E5DF040-AA94-41AC-A60E-654EED1201CA}"/>
  <tableColumns count="6">
    <tableColumn id="1" xr3:uid="{EA7E1BCC-DC92-430D-AD96-CD5C4695B89A}" uniqueName="1" name="DATE" queryTableFieldId="1" dataDxfId="21"/>
    <tableColumn id="2" xr3:uid="{81CBBAC1-248F-4F5B-8D98-41266600E8B3}" uniqueName="2" name="INVENTORY ITEM" queryTableFieldId="2" dataDxfId="20"/>
    <tableColumn id="3" xr3:uid="{443A7F7C-278E-4BE5-A918-DB3817034812}" uniqueName="3" name="TYPE" queryTableFieldId="3" dataDxfId="19"/>
    <tableColumn id="4" xr3:uid="{2D6C6ECE-E625-4F86-A6E6-780FD90A56EB}" uniqueName="4" name="IN" queryTableFieldId="4"/>
    <tableColumn id="5" xr3:uid="{62BFE006-B5CC-4F2E-BACE-69CDA54ECC8E}" uniqueName="5" name="REMARKS" queryTableFieldId="5" dataDxfId="18"/>
    <tableColumn id="6" xr3:uid="{A5E4118C-1C80-44FB-B274-24DB603A58D3}" uniqueName="6" name="BOX ID" queryTableFieldId="6" dataDxfId="17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E208CA0A-BDB5-49DF-8B32-9F79C84731E9}" name="_TBL_PRODUCT" displayName="_TBL_PRODUCT" ref="A1:K206" tableType="queryTable" totalsRowShown="0">
  <autoFilter ref="A1:K206" xr:uid="{E208CA0A-BDB5-49DF-8B32-9F79C84731E9}"/>
  <tableColumns count="11">
    <tableColumn id="1" xr3:uid="{E1916C6F-E0B1-45FB-8682-6D315415E0D9}" uniqueName="1" name="ID" queryTableFieldId="1"/>
    <tableColumn id="2" xr3:uid="{C619201B-808D-4C57-9B0C-2A57DE3820C8}" uniqueName="2" name="PRODUCT NAME" queryTableFieldId="2" dataDxfId="9"/>
    <tableColumn id="3" xr3:uid="{F32D6990-F2AB-44C1-996C-82102B1B523A}" uniqueName="3" name="DEFAULT PRICE" queryTableFieldId="3"/>
    <tableColumn id="4" xr3:uid="{76376584-D6F5-4E82-9BB1-75C9F05A44F1}" uniqueName="4" name="Column4" queryTableFieldId="4"/>
    <tableColumn id="5" xr3:uid="{13A840DA-B4A5-47B4-B00E-0E94393FAA89}" uniqueName="5" name="Column5" queryTableFieldId="5"/>
    <tableColumn id="6" xr3:uid="{92420493-7E4C-48D5-B165-CF72E6A6C7BE}" uniqueName="6" name="Column6" queryTableFieldId="6"/>
    <tableColumn id="7" xr3:uid="{2056342A-CE1C-4C4A-822F-9EF4ACA68DFE}" uniqueName="7" name="Column7" queryTableFieldId="7"/>
    <tableColumn id="8" xr3:uid="{2D94A3CE-8525-435E-8ADE-776D6ADBC4D2}" uniqueName="8" name="Column8" queryTableFieldId="8"/>
    <tableColumn id="9" xr3:uid="{54CCE634-C7B0-467F-BBDC-51FB8C856318}" uniqueName="9" name="Column9" queryTableFieldId="9"/>
    <tableColumn id="10" xr3:uid="{38970214-227D-4313-8FEC-955E0DBD75B3}" uniqueName="10" name="Column10" queryTableFieldId="10"/>
    <tableColumn id="11" xr3:uid="{323E063B-256D-419E-9A58-9DA4F95C9DC1}" uniqueName="11" name="Column11" queryTableFieldId="1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D2ADAB7E-125B-4CA8-B0D1-9ADB01A8C7D2}" name="_TBL_INVENTORY" displayName="_TBL_INVENTORY" ref="A1:G109" tableType="queryTable" totalsRowShown="0">
  <autoFilter ref="A1:G109" xr:uid="{D2ADAB7E-125B-4CA8-B0D1-9ADB01A8C7D2}"/>
  <tableColumns count="7">
    <tableColumn id="1" xr3:uid="{3299E4A0-F6CC-4CB0-BB51-53E9EB7F3A73}" uniqueName="1" name="ID" queryTableFieldId="1"/>
    <tableColumn id="2" xr3:uid="{47976319-C22A-4076-97B2-5053BF4D5444}" uniqueName="2" name="NAME" queryTableFieldId="2" dataDxfId="27"/>
    <tableColumn id="3" xr3:uid="{0CA5C960-3582-46A1-9ACD-1486421D4E8F}" uniqueName="3" name="TYPE" queryTableFieldId="3" dataDxfId="26"/>
    <tableColumn id="4" xr3:uid="{D1893C2A-8B4A-4A4B-BF7C-F952AF8DE170}" uniqueName="4" name="BRAND" queryTableFieldId="4" dataDxfId="25"/>
    <tableColumn id="5" xr3:uid="{0D95C275-B955-40C1-AD06-E5DE3652CFEB}" uniqueName="5" name="CODE" queryTableFieldId="5" dataDxfId="24"/>
    <tableColumn id="6" xr3:uid="{DCA08976-69AB-49DC-A4A3-070474D91550}" uniqueName="6" name="VARIANT" queryTableFieldId="6" dataDxfId="23"/>
    <tableColumn id="7" xr3:uid="{1D5BA9C1-8BFA-4B4A-9B9B-1F675493271E}" uniqueName="7" name="SPECS" queryTableFieldId="7" dataDxfId="2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9A763FE6-F968-4814-B524-2A4BF86B1D6F}" name="PC_INVENTORY" displayName="PC_INVENTORY" ref="A1:H4" tableType="queryTable" totalsRowShown="0">
  <autoFilter ref="A1:H4" xr:uid="{9A763FE6-F968-4814-B524-2A4BF86B1D6F}"/>
  <tableColumns count="8">
    <tableColumn id="1" xr3:uid="{ECEAEBC5-2D63-4BE6-98D4-19C1BE54C2A4}" uniqueName="1" name="DATE" queryTableFieldId="1" dataDxfId="31"/>
    <tableColumn id="2" xr3:uid="{6C4E3827-2303-4451-89F4-4A0D4E51E081}" uniqueName="2" name="INVENTORY ITEM" queryTableFieldId="2" dataDxfId="30"/>
    <tableColumn id="3" xr3:uid="{31A7B436-726D-47A8-978B-4F06FF7DF953}" uniqueName="3" name="IN" queryTableFieldId="3"/>
    <tableColumn id="4" xr3:uid="{96421269-834B-400E-A5E3-D5A7D78CA319}" uniqueName="4" name="OUT" queryTableFieldId="4"/>
    <tableColumn id="5" xr3:uid="{60BEEA73-A5E2-4D48-9EF0-FD71FF12AF14}" uniqueName="5" name="TOTAL" queryTableFieldId="5"/>
    <tableColumn id="6" xr3:uid="{8625A01C-80A9-4921-A5FD-E79E8FD8600B}" uniqueName="6" name="BACKJOB" queryTableFieldId="6"/>
    <tableColumn id="7" xr3:uid="{1D2E6508-7356-47DF-BCEC-4F87EBD5A7E1}" uniqueName="7" name="REMARKS" queryTableFieldId="7"/>
    <tableColumn id="8" xr3:uid="{23EC961D-6730-4FD0-B886-2659D06339DF}" uniqueName="8" name="BOX ID" queryTableFieldId="8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4ACE85FB-A10E-4360-9836-F9C3A5AB8201}" name="LAPTOP_INVENTORY" displayName="LAPTOP_INVENTORY" ref="A1:C53" tableType="queryTable" totalsRowShown="0">
  <autoFilter ref="A1:C53" xr:uid="{4ACE85FB-A10E-4360-9836-F9C3A5AB8201}"/>
  <tableColumns count="3">
    <tableColumn id="2" xr3:uid="{5C8CF4D9-AB75-48BE-BADB-F473F1B0F3B1}" uniqueName="2" name="INVENTORY ITEM" queryTableFieldId="2" dataDxfId="16"/>
    <tableColumn id="1" xr3:uid="{22AB8A52-D334-491F-A2EA-A6658C41CB40}" uniqueName="1" name="TOTAL IN" queryTableFieldId="9"/>
    <tableColumn id="3" xr3:uid="{450D4369-6F8C-4B5A-BDF3-F63FA0E7F769}" uniqueName="3" name="TOTAL OUT" queryTableFieldId="10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196D4F-0C08-44E6-8845-054A162CF400}" name="_TBL_LAPTOP_INVENTORY_ACCOUNT_IN" displayName="_TBL_LAPTOP_INVENTORY_ACCOUNT_IN" ref="B2:H12" totalsRowCount="1" headerRowDxfId="48" dataDxfId="47" totalsRowDxfId="46">
  <autoFilter ref="B2:H11" xr:uid="{11196D4F-0C08-44E6-8845-054A162CF400}"/>
  <tableColumns count="7">
    <tableColumn id="1" xr3:uid="{7E5944E0-EEF7-48BA-9C65-2A065AAFA2D9}" name="DATE" totalsRowFunction="custom" dataDxfId="45" totalsRowDxfId="44">
      <calculatedColumnFormula>IF(IFERROR(_TBL_INVENTORY_IN[[#This Row],[DATE]], "")&lt;&gt;0, IFERROR(_TBL_INVENTORY_IN[[#This Row],[DATE]], ""), "")</calculatedColumnFormula>
      <totalsRowFormula>_xlfn.CONCAT("COUNT: ", SUBTOTAL(103,_TBL_LAPTOP_INVENTORY_ACCOUNT_IN[DATE]))</totalsRowFormula>
    </tableColumn>
    <tableColumn id="2" xr3:uid="{6346439F-B17B-42E4-B169-E92F350D30A5}" name="INVENTORY ITEM" totalsRowLabel="TOTAL:" dataDxfId="43" totalsRowDxfId="42">
      <calculatedColumnFormula>IF(IFERROR(_TBL_INVENTORY_IN[[#This Row],[INVENTORY ITEM]], "")&lt;&gt;0, IFERROR(_TBL_INVENTORY_IN[[#This Row],[INVENTORY ITEM]], ""), "")</calculatedColumnFormula>
    </tableColumn>
    <tableColumn id="4" xr3:uid="{95CD9087-654C-4E2A-AF3A-261436977333}" name="IN" totalsRowFunction="sum" dataDxfId="41" totalsRowDxfId="40">
      <calculatedColumnFormula>IF(IFERROR(_TBL_INVENTORY_IN[[#This Row],[IN]], "")&lt;&gt;0, IFERROR(_TBL_INVENTORY_IN[[#This Row],[IN]], ""), "")</calculatedColumnFormula>
    </tableColumn>
    <tableColumn id="6" xr3:uid="{8464B8A2-FA6F-403C-BB84-1A26C25CBA2B}" name="INVENTORY" dataDxfId="39" totalsRowDxfId="38">
      <calculatedColumnFormula>IF(_TBL_LAPTOP_INVENTORY_ACCOUNT_IN[[#This Row],[INVENTORY ITEM]] &lt;&gt; "", IF(COUNTIFS(_TBL_INVENTORY_IN[INVENTORY ITEM], _TBL_LAPTOP_INVENTORY_ACCOUNT_IN[[#This Row],[INVENTORY ITEM]],_TBL_INVENTORY_IN[IN], _TBL_LAPTOP_INVENTORY_ACCOUNT_IN[[#This Row],[IN]]) &gt; 0, IF(COUNTIFS(_TBL_INVENTORY_IN[DATE], _TBL_LAPTOP_INVENTORY_ACCOUNT_IN[[#This Row],[DATE]], _TBL_INVENTORY_IN[INVENTORY ITEM], _TBL_LAPTOP_INVENTORY_ACCOUNT_IN[[#This Row],[INVENTORY ITEM]],_TBL_INVENTORY_IN[IN], _TBL_LAPTOP_INVENTORY_ACCOUNT_IN[[#This Row],[IN]]) &gt; 0, 2, 1), 0), "")</calculatedColumnFormula>
    </tableColumn>
    <tableColumn id="5" xr3:uid="{A10090AA-B569-4E73-84D7-CB9BB9CD89C0}" name="REMARKS" dataDxfId="37" totalsRowDxfId="36">
      <calculatedColumnFormula>IF(IFERROR(_TBL_INVENTORY_IN[[#This Row],[REMARKS]], "")&lt;&gt;0, IFERROR(_TBL_INVENTORY_IN[[#This Row],[REMARKS]], ""), "")</calculatedColumnFormula>
    </tableColumn>
    <tableColumn id="10" xr3:uid="{1B6A8F81-4CD3-412F-B3A2-C032710C5771}" name="COST TOTAL" totalsRowFunction="sum" dataDxfId="35" totalsRowDxfId="34"/>
    <tableColumn id="12" xr3:uid="{161DBC59-E0E9-488B-9D75-AD60C50E18B7}" name="COST PER PIECE" totalsRowFunction="custom" dataDxfId="33" totalsRowDxfId="32">
      <calculatedColumnFormula>IFERROR(_TBL_LAPTOP_INVENTORY_ACCOUNT_IN[[#This Row],[COST TOTAL]]/_TBL_LAPTOP_INVENTORY_ACCOUNT_IN[[#This Row],[IN]], "")</calculatedColumnFormula>
      <totalsRowFormula>IFERROR(_TBL_LAPTOP_INVENTORY_ACCOUNT_IN[[#Totals],[COST TOTAL]]/_TBL_LAPTOP_INVENTORY_ACCOUNT_IN[[#Totals],[IN]], "")</totalsRow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7398A87A-C316-4DE1-B50C-121701319153}" name="PRINTER_INVENTORY" displayName="PRINTER_INVENTORY" ref="A1:H7" tableType="queryTable" totalsRowShown="0">
  <autoFilter ref="A1:H7" xr:uid="{7398A87A-C316-4DE1-B50C-121701319153}"/>
  <tableColumns count="8">
    <tableColumn id="1" xr3:uid="{D80C27E6-AF32-433B-A2DC-A7EB85E3691B}" uniqueName="1" name="DATE" queryTableFieldId="1" dataDxfId="29"/>
    <tableColumn id="2" xr3:uid="{D68EB8E7-2430-4786-943F-4361DB1CB3D9}" uniqueName="2" name="INVENTORY ITEM" queryTableFieldId="2" dataDxfId="28"/>
    <tableColumn id="3" xr3:uid="{B465836B-016F-43C0-BF72-0817E5DB981E}" uniqueName="3" name="IN" queryTableFieldId="3"/>
    <tableColumn id="4" xr3:uid="{68DECB5F-E9AA-4B97-BCED-AD47C428E0E0}" uniqueName="4" name="OUT" queryTableFieldId="4"/>
    <tableColumn id="5" xr3:uid="{8DEEC193-16E2-492B-ABC8-02118D322AB7}" uniqueName="5" name="TOTAL" queryTableFieldId="5"/>
    <tableColumn id="6" xr3:uid="{1AC20147-E557-47C0-8D06-FDEFA5B2BCA1}" uniqueName="6" name="BACKJOB" queryTableFieldId="6"/>
    <tableColumn id="7" xr3:uid="{FDFCCFCE-107E-43BF-A735-575D4F382153}" uniqueName="7" name="REMARKS" queryTableFieldId="7"/>
    <tableColumn id="8" xr3:uid="{51A35B44-44DF-4507-B787-3993F09156A0}" uniqueName="8" name="BOX ID" queryTableFieldId="8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5856519-32EA-4BE1-B1E9-DFF2700FD38D}" name="LAPTOP_PRODUCTION" displayName="LAPTOP_PRODUCTION" ref="A1:K53" tableType="queryTable" totalsRowShown="0">
  <autoFilter ref="A1:K53" xr:uid="{43EB7125-E397-43C4-987F-148C2CBA35A3}"/>
  <tableColumns count="11">
    <tableColumn id="1" xr3:uid="{F1D63087-85A0-49B5-A724-9E195928FE22}" uniqueName="1" name="ID" queryTableFieldId="1"/>
    <tableColumn id="2" xr3:uid="{BAF684A0-2167-4578-ABE2-CD75BB3D8DAB}" uniqueName="2" name="NAME" queryTableFieldId="2"/>
    <tableColumn id="10" xr3:uid="{BCB838CD-787A-4922-820F-DC48A096A4EC}" uniqueName="10" name="TYPE" queryTableFieldId="11"/>
    <tableColumn id="4" xr3:uid="{CFF1C044-9948-479D-9F48-B8CAE414EFD7}" uniqueName="4" name="TOTAL IN" queryTableFieldId="4"/>
    <tableColumn id="12" xr3:uid="{3528D31B-C0C3-4204-AFA1-308D200E3136}" uniqueName="12" name="TOTAL OUT" queryTableFieldId="14"/>
    <tableColumn id="5" xr3:uid="{567224A5-8191-4ADA-B18C-0F602E8191FC}" uniqueName="5" name="CURRENT STOCKS" queryTableFieldId="5"/>
    <tableColumn id="9" xr3:uid="{731D5400-0F3D-4D3E-937A-B4CD9339BB42}" uniqueName="9" name="ON PROCESS" queryTableFieldId="9"/>
    <tableColumn id="6" xr3:uid="{411C4146-4139-4CD9-A178-9510337F109C}" uniqueName="6" name="CHROME OS" queryTableFieldId="6"/>
    <tableColumn id="7" xr3:uid="{7B75B9A0-79F7-4C1D-BAC5-C745E59D2B02}" uniqueName="7" name="WINDOWS" queryTableFieldId="7"/>
    <tableColumn id="11" xr3:uid="{9ED3B384-5687-4CB1-955C-4AEF9C398250}" uniqueName="11" name="BACKJOB" queryTableFieldId="12"/>
    <tableColumn id="13" xr3:uid="{B1E0EA2B-3EE6-4BA1-952A-98AD7E675CE7}" uniqueName="13" name="IS VALID" queryTableFieldId="16" dataDxfId="15">
      <calculatedColumnFormula>IF(MIN(LAPTOP_PRODUCTION[[#This Row],[ON PROCESS]:[WINDOWS]]) &lt; 0,
    SUM(LAPTOP_PRODUCTION[[#This Row],[ON PROCESS]:[WINDOWS]], LAPTOP_PRODUCTION[[#This Row],[TOTAL OUT]], LAPTOP_PRODUCTION[[#This Row],[BACKJOB]], -LAPTOP_PRODUCTION[[#This Row],[TOTAL IN]] -MIN(LAPTOP_PRODUCTION[[#This Row],[ON PROCESS]:[WINDOWS]])),
    SUM(LAPTOP_PRODUCTION[[#This Row],[ON PROCESS]:[WINDOWS]], LAPTOP_PRODUCTION[[#This Row],[TOTAL OUT]], LAPTOP_PRODUCTION[[#This Row],[BACKJOB]], -LAPTOP_PRODUCTION[[#This Row],[TOTAL IN]])
)</calculatedColumnFormula>
    </tableColumn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1BE06B96-3114-42C3-80AF-2649DED6DB3C}" name="STOCKS_OFFICE_2" displayName="STOCKS_OFFICE_2" ref="B2:H58" tableType="queryTable" totalsRowShown="0">
  <autoFilter ref="B2:H58" xr:uid="{1BE06B96-3114-42C3-80AF-2649DED6DB3C}"/>
  <tableColumns count="7">
    <tableColumn id="1" xr3:uid="{9207E316-51C7-4FEF-AFF4-46A2F29D734E}" uniqueName="1" name="ID" queryTableFieldId="1"/>
    <tableColumn id="2" xr3:uid="{A478E17C-8796-461F-A131-57E3F0704BAA}" uniqueName="2" name="NAME" queryTableFieldId="2" dataDxfId="14"/>
    <tableColumn id="3" xr3:uid="{929F0981-4AEB-41C0-9B78-DD6B4445D40F}" uniqueName="3" name="TYPE" queryTableFieldId="3" dataDxfId="13"/>
    <tableColumn id="8" xr3:uid="{1DF8A428-D3E2-4859-90CD-0A8759C864B3}" uniqueName="8" name="TOTAL IN" queryTableFieldId="8" dataDxfId="12"/>
    <tableColumn id="4" xr3:uid="{44696607-B82A-449F-B251-4A6BBAA9A69E}" uniqueName="4" name="TOTAL OUT" queryTableFieldId="11"/>
    <tableColumn id="9" xr3:uid="{8EC085B0-E564-458B-B454-85F54FF495E2}" uniqueName="9" name="CURRENT STOCKS" queryTableFieldId="9" dataDxfId="11"/>
    <tableColumn id="10" xr3:uid="{971294A6-7F90-4E3E-8727-4D4C3C1AB825}" uniqueName="10" name="BACKJOB" queryTableFieldId="10" dataDxfId="10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CD02A46-3EDE-44CA-9FD1-77E189E558ED}" name="SALES_REPORT" displayName="SALES_REPORT" ref="A1:S5" tableType="queryTable" totalsRowShown="0">
  <autoFilter ref="A1:S5" xr:uid="{7B88F45F-52C5-4436-B11E-7FC56C3ACD0A}"/>
  <tableColumns count="19">
    <tableColumn id="1" xr3:uid="{6484B2A2-5474-4787-BDE0-2993CFA6B6D4}" uniqueName="1" name="DATE" queryTableFieldId="1" dataDxfId="8"/>
    <tableColumn id="2" xr3:uid="{25D1761C-BBBC-4CB4-8512-09D870C0A904}" uniqueName="2" name="MAIN PRODUCT" queryTableFieldId="2"/>
    <tableColumn id="3" xr3:uid="{2614A8C8-3E3A-4EAE-B613-0C584AA1274B}" uniqueName="3" name="SOURCE" queryTableFieldId="3"/>
    <tableColumn id="4" xr3:uid="{0CAB3EB4-8C89-4400-AD36-EDB39415D369}" uniqueName="4" name="PRICE DEFAULT" queryTableFieldId="4" dataDxfId="7"/>
    <tableColumn id="19" xr3:uid="{5D589C41-2DB0-4B5E-AAC0-EB8AB03ABBCE}" uniqueName="19" name="Add Ons Cost" queryTableFieldId="19" dataDxfId="6"/>
    <tableColumn id="6" xr3:uid="{8B7989A8-30ED-499D-B3D1-19E1A52EF4CE}" uniqueName="6" name="TOTAL PAYMEMT" queryTableFieldId="6" dataDxfId="5"/>
    <tableColumn id="7" xr3:uid="{71C94DA9-6A24-4A34-A11D-C5B3172C75D8}" uniqueName="7" name="CASH" queryTableFieldId="7" dataDxfId="4"/>
    <tableColumn id="8" xr3:uid="{12160BF4-66D4-4536-9EA2-E58EEBD214BF}" uniqueName="8" name="GCASH/BANK" queryTableFieldId="8" dataDxfId="3"/>
    <tableColumn id="9" xr3:uid="{8CED765E-D491-4AA6-A944-600FD414E9E7}" uniqueName="9" name="DOWNPAYMENT" queryTableFieldId="9" dataDxfId="2"/>
    <tableColumn id="10" xr3:uid="{F994CE5D-FCFE-4A08-AD14-3DC74B32735F}" uniqueName="10" name="BALANCE" queryTableFieldId="10" dataDxfId="1"/>
    <tableColumn id="11" xr3:uid="{DB692B2E-97B7-4D26-86CB-5AB50C148922}" uniqueName="11" name="SHIPPING FEE" queryTableFieldId="11" dataDxfId="0"/>
    <tableColumn id="12" xr3:uid="{9414B09F-F302-4FE8-BC25-F7CEBFE67F51}" uniqueName="12" name="Delivered" queryTableFieldId="12"/>
    <tableColumn id="13" xr3:uid="{B99A61A1-C292-4516-BA04-CF6FDE7A4B68}" uniqueName="13" name="Claimed" queryTableFieldId="13"/>
    <tableColumn id="14" xr3:uid="{70C9EF8B-3246-428B-824C-1D53BBF05EEA}" uniqueName="14" name="Deposited" queryTableFieldId="14"/>
    <tableColumn id="15" xr3:uid="{BDDECFEC-7771-4E65-B026-7508149BBF24}" uniqueName="15" name="RECEIVABLE" queryTableFieldId="15"/>
    <tableColumn id="5" xr3:uid="{E9B00641-A6A7-4479-944A-19D5F2BFE63B}" uniqueName="5" name="Add Ons 1" queryTableFieldId="5"/>
    <tableColumn id="16" xr3:uid="{D564A121-B4FC-47DE-A4C4-85F747B7AAC3}" uniqueName="16" name="Add Ons 2" queryTableFieldId="16"/>
    <tableColumn id="17" xr3:uid="{23B5C6D3-6B57-4F6B-9D63-FD4CB5E2C5C9}" uniqueName="17" name="Add Ons 3" queryTableFieldId="17"/>
    <tableColumn id="18" xr3:uid="{4D6BFA25-0BDF-4720-8FA9-334B6C8F0FEC}" uniqueName="18" name="Freebies" queryTableFieldId="18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84976-5577-47CA-9436-9394E28810A0}">
  <sheetPr codeName="Sheet1"/>
  <dimension ref="A2:F62"/>
  <sheetViews>
    <sheetView workbookViewId="0">
      <selection activeCell="B8" sqref="B8"/>
    </sheetView>
  </sheetViews>
  <sheetFormatPr defaultRowHeight="15" x14ac:dyDescent="0.25"/>
  <cols>
    <col min="1" max="1" width="8.7109375" bestFit="1" customWidth="1"/>
    <col min="2" max="2" width="27.5703125" bestFit="1" customWidth="1"/>
    <col min="3" max="3" width="7.5703125" bestFit="1" customWidth="1"/>
    <col min="4" max="4" width="5.28515625" bestFit="1" customWidth="1"/>
    <col min="5" max="5" width="11.85546875" bestFit="1" customWidth="1"/>
    <col min="6" max="6" width="9.28515625" bestFit="1" customWidth="1"/>
  </cols>
  <sheetData>
    <row r="2" spans="1:6" x14ac:dyDescent="0.25">
      <c r="A2"/>
      <c r="B2"/>
      <c r="C2"/>
      <c r="D2"/>
      <c r="E2"/>
      <c r="F2"/>
    </row>
    <row r="3" spans="1:6" x14ac:dyDescent="0.25">
      <c r="A3" s="6"/>
      <c r="B3" s="14"/>
      <c r="C3" s="14"/>
      <c r="D3"/>
      <c r="E3" s="14"/>
      <c r="F3" s="14"/>
    </row>
    <row r="4" spans="1:6" x14ac:dyDescent="0.25">
      <c r="A4" s="6"/>
      <c r="B4" s="14"/>
      <c r="C4" s="14"/>
      <c r="D4"/>
      <c r="E4" s="14"/>
      <c r="F4" s="14"/>
    </row>
    <row r="5" spans="1:6" x14ac:dyDescent="0.25">
      <c r="A5" s="6"/>
      <c r="B5" s="14"/>
      <c r="C5" s="14"/>
      <c r="D5"/>
      <c r="E5" s="14"/>
      <c r="F5" s="14"/>
    </row>
    <row r="6" spans="1:6" x14ac:dyDescent="0.25">
      <c r="A6" s="6"/>
      <c r="B6" s="14"/>
      <c r="C6" s="14"/>
      <c r="D6"/>
      <c r="E6" s="14"/>
      <c r="F6" s="14"/>
    </row>
    <row r="7" spans="1:6" x14ac:dyDescent="0.25">
      <c r="A7" s="6"/>
      <c r="B7" s="14"/>
      <c r="C7" s="14"/>
      <c r="D7"/>
      <c r="E7" s="14"/>
      <c r="F7" s="14"/>
    </row>
    <row r="8" spans="1:6" x14ac:dyDescent="0.25">
      <c r="A8" s="6"/>
      <c r="B8" s="14"/>
      <c r="C8" s="14"/>
      <c r="D8"/>
      <c r="E8" s="14"/>
      <c r="F8" s="14"/>
    </row>
    <row r="9" spans="1:6" x14ac:dyDescent="0.25">
      <c r="A9" s="6"/>
      <c r="B9" s="14"/>
      <c r="C9" s="14"/>
      <c r="D9"/>
      <c r="E9" s="14"/>
      <c r="F9" s="14"/>
    </row>
    <row r="10" spans="1:6" x14ac:dyDescent="0.25">
      <c r="A10" s="6"/>
      <c r="B10" s="14"/>
      <c r="C10" s="14"/>
      <c r="D10"/>
      <c r="E10" s="14"/>
      <c r="F10" s="14"/>
    </row>
    <row r="11" spans="1:6" x14ac:dyDescent="0.25">
      <c r="A11" s="6"/>
      <c r="B11" s="14"/>
      <c r="C11" s="14"/>
      <c r="D11"/>
      <c r="E11" s="14"/>
      <c r="F11" s="14"/>
    </row>
    <row r="12" spans="1:6" x14ac:dyDescent="0.25">
      <c r="A12" s="6"/>
      <c r="B12" s="14"/>
      <c r="C12" s="14"/>
      <c r="D12"/>
      <c r="E12" s="14"/>
      <c r="F12" s="14"/>
    </row>
    <row r="13" spans="1:6" x14ac:dyDescent="0.25">
      <c r="A13" s="6"/>
      <c r="B13" s="14"/>
      <c r="C13" s="14"/>
      <c r="D13"/>
      <c r="E13" s="14"/>
      <c r="F13" s="14"/>
    </row>
    <row r="14" spans="1:6" x14ac:dyDescent="0.25">
      <c r="A14" s="6"/>
      <c r="B14" s="14"/>
      <c r="C14" s="14"/>
      <c r="D14"/>
      <c r="E14" s="14"/>
      <c r="F14" s="14"/>
    </row>
    <row r="15" spans="1:6" x14ac:dyDescent="0.25">
      <c r="A15" s="6"/>
      <c r="B15" s="14"/>
      <c r="C15" s="14"/>
      <c r="D15"/>
      <c r="E15" s="14"/>
      <c r="F15" s="14"/>
    </row>
    <row r="16" spans="1:6" x14ac:dyDescent="0.25">
      <c r="A16" s="6"/>
      <c r="B16" s="14"/>
      <c r="C16" s="14"/>
      <c r="D16"/>
      <c r="E16" s="14"/>
      <c r="F16" s="14"/>
    </row>
    <row r="17" spans="1:6" x14ac:dyDescent="0.25">
      <c r="A17" s="6"/>
      <c r="B17" s="14"/>
      <c r="C17" s="14"/>
      <c r="D17"/>
      <c r="E17" s="14"/>
      <c r="F17" s="14"/>
    </row>
    <row r="18" spans="1:6" x14ac:dyDescent="0.25">
      <c r="A18" s="6"/>
      <c r="B18" s="14"/>
      <c r="C18" s="14"/>
      <c r="D18"/>
      <c r="E18" s="14"/>
      <c r="F18" s="14"/>
    </row>
    <row r="19" spans="1:6" x14ac:dyDescent="0.25">
      <c r="A19" s="6"/>
      <c r="B19" s="14"/>
      <c r="C19" s="14"/>
      <c r="D19"/>
      <c r="E19" s="14"/>
      <c r="F19" s="14"/>
    </row>
    <row r="20" spans="1:6" x14ac:dyDescent="0.25">
      <c r="A20" s="6"/>
      <c r="B20" s="14"/>
      <c r="C20" s="14"/>
      <c r="D20"/>
      <c r="E20" s="14"/>
      <c r="F20" s="14"/>
    </row>
    <row r="21" spans="1:6" x14ac:dyDescent="0.25">
      <c r="A21" s="6"/>
      <c r="B21" s="14"/>
      <c r="C21" s="14"/>
      <c r="D21"/>
      <c r="E21" s="14"/>
      <c r="F21" s="14"/>
    </row>
    <row r="22" spans="1:6" x14ac:dyDescent="0.25">
      <c r="A22" s="6"/>
      <c r="B22" s="14"/>
      <c r="C22" s="14"/>
      <c r="D22"/>
      <c r="E22" s="14"/>
      <c r="F22" s="14"/>
    </row>
    <row r="23" spans="1:6" x14ac:dyDescent="0.25">
      <c r="A23" s="6"/>
      <c r="B23" s="14"/>
      <c r="C23" s="14"/>
      <c r="D23"/>
      <c r="E23" s="14"/>
      <c r="F23" s="14"/>
    </row>
    <row r="24" spans="1:6" x14ac:dyDescent="0.25">
      <c r="A24" s="6"/>
      <c r="B24" s="14"/>
      <c r="C24" s="14"/>
      <c r="D24"/>
      <c r="E24" s="14"/>
      <c r="F24" s="14"/>
    </row>
    <row r="25" spans="1:6" x14ac:dyDescent="0.25">
      <c r="A25" s="6"/>
      <c r="B25" s="14"/>
      <c r="C25" s="14"/>
      <c r="D25"/>
      <c r="E25" s="14"/>
      <c r="F25" s="14"/>
    </row>
    <row r="26" spans="1:6" x14ac:dyDescent="0.25">
      <c r="A26" s="6"/>
      <c r="B26" s="14"/>
      <c r="C26" s="14"/>
      <c r="D26"/>
      <c r="E26" s="14"/>
      <c r="F26" s="14"/>
    </row>
    <row r="27" spans="1:6" x14ac:dyDescent="0.25">
      <c r="A27" s="6"/>
      <c r="B27" s="14"/>
      <c r="C27" s="14"/>
      <c r="D27"/>
      <c r="E27" s="14"/>
      <c r="F27" s="14"/>
    </row>
    <row r="28" spans="1:6" x14ac:dyDescent="0.25">
      <c r="A28" s="6"/>
      <c r="B28" s="14"/>
      <c r="C28" s="14"/>
      <c r="D28"/>
      <c r="E28" s="14"/>
      <c r="F28" s="14"/>
    </row>
    <row r="29" spans="1:6" x14ac:dyDescent="0.25">
      <c r="A29" s="6"/>
      <c r="B29" s="14"/>
      <c r="C29" s="14"/>
      <c r="D29"/>
      <c r="E29" s="14"/>
      <c r="F29" s="14"/>
    </row>
    <row r="30" spans="1:6" x14ac:dyDescent="0.25">
      <c r="A30" s="6"/>
      <c r="B30" s="14"/>
      <c r="C30" s="14"/>
      <c r="D30"/>
      <c r="E30" s="14"/>
      <c r="F30" s="14"/>
    </row>
    <row r="31" spans="1:6" x14ac:dyDescent="0.25">
      <c r="A31" s="6"/>
      <c r="B31" s="14"/>
      <c r="C31" s="14"/>
      <c r="D31"/>
      <c r="E31" s="14"/>
      <c r="F31" s="14"/>
    </row>
    <row r="32" spans="1:6" x14ac:dyDescent="0.25">
      <c r="A32" s="6"/>
      <c r="B32" s="14"/>
      <c r="C32" s="14"/>
      <c r="D32"/>
      <c r="E32" s="14"/>
      <c r="F32" s="14"/>
    </row>
    <row r="33" spans="1:6" x14ac:dyDescent="0.25">
      <c r="A33" s="6"/>
      <c r="B33" s="14"/>
      <c r="C33" s="14"/>
      <c r="D33"/>
      <c r="E33" s="14"/>
      <c r="F33" s="14"/>
    </row>
    <row r="34" spans="1:6" x14ac:dyDescent="0.25">
      <c r="A34" s="6"/>
      <c r="B34" s="14"/>
      <c r="C34" s="14"/>
      <c r="D34"/>
      <c r="E34" s="14"/>
      <c r="F34" s="14"/>
    </row>
    <row r="35" spans="1:6" x14ac:dyDescent="0.25">
      <c r="A35" s="6"/>
      <c r="B35" s="14"/>
      <c r="C35" s="14"/>
      <c r="D35"/>
      <c r="E35" s="14"/>
      <c r="F35" s="14"/>
    </row>
    <row r="36" spans="1:6" x14ac:dyDescent="0.25">
      <c r="A36" s="6"/>
      <c r="B36" s="14"/>
      <c r="C36" s="14"/>
      <c r="D36"/>
      <c r="E36" s="14"/>
      <c r="F36" s="14"/>
    </row>
    <row r="37" spans="1:6" x14ac:dyDescent="0.25">
      <c r="A37" s="6"/>
      <c r="B37" s="14"/>
      <c r="C37" s="14"/>
      <c r="D37"/>
      <c r="E37" s="14"/>
      <c r="F37" s="14"/>
    </row>
    <row r="38" spans="1:6" x14ac:dyDescent="0.25">
      <c r="A38" s="6"/>
      <c r="B38" s="14"/>
      <c r="C38" s="14"/>
      <c r="D38"/>
      <c r="E38" s="14"/>
      <c r="F38" s="14"/>
    </row>
    <row r="39" spans="1:6" x14ac:dyDescent="0.25">
      <c r="A39" s="6"/>
      <c r="B39" s="14"/>
      <c r="C39" s="14"/>
      <c r="D39"/>
      <c r="E39" s="14"/>
      <c r="F39" s="14"/>
    </row>
    <row r="40" spans="1:6" x14ac:dyDescent="0.25">
      <c r="A40" s="6"/>
      <c r="B40" s="14"/>
      <c r="C40" s="14"/>
      <c r="D40"/>
      <c r="E40" s="14"/>
      <c r="F40" s="14"/>
    </row>
    <row r="41" spans="1:6" x14ac:dyDescent="0.25">
      <c r="A41" s="6"/>
      <c r="B41" s="14"/>
      <c r="C41" s="14"/>
      <c r="D41"/>
      <c r="E41" s="14"/>
      <c r="F41" s="14"/>
    </row>
    <row r="42" spans="1:6" x14ac:dyDescent="0.25">
      <c r="A42" s="6"/>
      <c r="B42" s="14"/>
      <c r="C42" s="14"/>
      <c r="D42"/>
      <c r="E42" s="14"/>
      <c r="F42" s="14"/>
    </row>
    <row r="43" spans="1:6" x14ac:dyDescent="0.25">
      <c r="A43" s="6"/>
      <c r="B43" s="14"/>
      <c r="C43" s="14"/>
      <c r="D43"/>
      <c r="E43" s="14"/>
      <c r="F43" s="14"/>
    </row>
    <row r="44" spans="1:6" x14ac:dyDescent="0.25">
      <c r="A44" s="6"/>
      <c r="B44" s="14"/>
      <c r="C44" s="14"/>
      <c r="D44"/>
      <c r="E44" s="14"/>
      <c r="F44" s="14"/>
    </row>
    <row r="45" spans="1:6" x14ac:dyDescent="0.25">
      <c r="A45" s="6"/>
      <c r="B45" s="14"/>
      <c r="C45" s="14"/>
      <c r="D45"/>
      <c r="E45" s="14"/>
      <c r="F45" s="14"/>
    </row>
    <row r="46" spans="1:6" x14ac:dyDescent="0.25">
      <c r="A46" s="6"/>
      <c r="B46" s="14"/>
      <c r="C46" s="14"/>
      <c r="D46"/>
      <c r="E46" s="14"/>
      <c r="F46" s="14"/>
    </row>
    <row r="47" spans="1:6" x14ac:dyDescent="0.25">
      <c r="A47" s="6"/>
      <c r="B47" s="14"/>
      <c r="C47" s="14"/>
      <c r="D47"/>
      <c r="E47" s="14"/>
      <c r="F47" s="14"/>
    </row>
    <row r="48" spans="1:6" x14ac:dyDescent="0.25">
      <c r="A48" s="6"/>
      <c r="B48" s="14"/>
      <c r="C48" s="14"/>
      <c r="D48"/>
      <c r="E48" s="14"/>
      <c r="F48" s="14"/>
    </row>
    <row r="49" spans="1:6" x14ac:dyDescent="0.25">
      <c r="A49" s="6"/>
      <c r="B49" s="14"/>
      <c r="C49" s="14"/>
      <c r="D49"/>
      <c r="E49" s="14"/>
      <c r="F49" s="14"/>
    </row>
    <row r="50" spans="1:6" x14ac:dyDescent="0.25">
      <c r="A50" s="6"/>
      <c r="B50" s="14"/>
      <c r="C50" s="14"/>
      <c r="D50"/>
      <c r="E50" s="14"/>
      <c r="F50" s="14"/>
    </row>
    <row r="51" spans="1:6" x14ac:dyDescent="0.25">
      <c r="A51" s="6"/>
      <c r="B51" s="14"/>
      <c r="C51" s="14"/>
      <c r="D51"/>
      <c r="E51" s="14"/>
      <c r="F51" s="14"/>
    </row>
    <row r="52" spans="1:6" x14ac:dyDescent="0.25">
      <c r="A52" s="6"/>
      <c r="B52" s="14"/>
      <c r="C52" s="14"/>
      <c r="D52"/>
      <c r="E52" s="14"/>
      <c r="F52" s="14"/>
    </row>
    <row r="53" spans="1:6" x14ac:dyDescent="0.25">
      <c r="A53" s="6"/>
      <c r="B53" s="14"/>
      <c r="C53" s="14"/>
      <c r="D53"/>
      <c r="E53" s="14"/>
      <c r="F53" s="14"/>
    </row>
    <row r="54" spans="1:6" x14ac:dyDescent="0.25">
      <c r="A54" s="6"/>
      <c r="B54" s="14"/>
      <c r="C54" s="14"/>
      <c r="D54"/>
      <c r="E54" s="14"/>
      <c r="F54" s="14"/>
    </row>
    <row r="55" spans="1:6" x14ac:dyDescent="0.25">
      <c r="A55" s="6"/>
      <c r="B55" s="14"/>
      <c r="C55" s="14"/>
      <c r="D55"/>
      <c r="E55" s="14"/>
      <c r="F55" s="14"/>
    </row>
    <row r="56" spans="1:6" x14ac:dyDescent="0.25">
      <c r="A56" s="6"/>
      <c r="B56" s="14"/>
      <c r="C56" s="14"/>
      <c r="D56"/>
      <c r="E56" s="14"/>
      <c r="F56" s="14"/>
    </row>
    <row r="57" spans="1:6" x14ac:dyDescent="0.25">
      <c r="A57" s="6"/>
      <c r="B57" s="14"/>
      <c r="C57" s="14"/>
      <c r="D57"/>
      <c r="E57" s="14"/>
      <c r="F57" s="14"/>
    </row>
    <row r="58" spans="1:6" x14ac:dyDescent="0.25">
      <c r="A58" s="6"/>
      <c r="B58" s="14"/>
      <c r="C58" s="14"/>
      <c r="D58"/>
      <c r="E58" s="14"/>
      <c r="F58" s="14"/>
    </row>
    <row r="59" spans="1:6" x14ac:dyDescent="0.25">
      <c r="A59" s="6"/>
      <c r="B59" s="14"/>
      <c r="C59" s="14"/>
      <c r="D59"/>
      <c r="E59" s="14"/>
      <c r="F59" s="14"/>
    </row>
    <row r="60" spans="1:6" x14ac:dyDescent="0.25">
      <c r="A60" s="6"/>
      <c r="B60" s="14"/>
      <c r="C60" s="14"/>
      <c r="D60"/>
      <c r="E60" s="14"/>
      <c r="F60" s="14"/>
    </row>
    <row r="61" spans="1:6" x14ac:dyDescent="0.25">
      <c r="A61" s="6"/>
      <c r="B61" s="14"/>
      <c r="C61" s="14"/>
      <c r="D61"/>
      <c r="E61" s="14"/>
      <c r="F61" s="14"/>
    </row>
    <row r="62" spans="1:6" x14ac:dyDescent="0.25">
      <c r="A62" s="6"/>
      <c r="B62" s="14"/>
      <c r="C62" s="14"/>
      <c r="D62"/>
      <c r="E62" s="14"/>
      <c r="F62" s="14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1D65B8-B957-4B7C-B687-2950E64C32DD}">
  <sheetPr codeName="Sheet4"/>
  <dimension ref="A1:K206"/>
  <sheetViews>
    <sheetView workbookViewId="0"/>
  </sheetViews>
  <sheetFormatPr defaultRowHeight="15" x14ac:dyDescent="0.25"/>
  <cols>
    <col min="1" max="1" width="5.140625" bestFit="1" customWidth="1"/>
    <col min="2" max="2" width="27.5703125" bestFit="1" customWidth="1"/>
    <col min="3" max="3" width="16.7109375" bestFit="1" customWidth="1"/>
    <col min="4" max="4" width="27.5703125" bestFit="1" customWidth="1"/>
    <col min="5" max="6" width="18.85546875" bestFit="1" customWidth="1"/>
    <col min="7" max="8" width="17.28515625" bestFit="1" customWidth="1"/>
    <col min="9" max="9" width="17.85546875" bestFit="1" customWidth="1"/>
    <col min="10" max="11" width="22.42578125" bestFit="1" customWidth="1"/>
  </cols>
  <sheetData>
    <row r="1" spans="1:11" x14ac:dyDescent="0.25">
      <c r="A1"/>
      <c r="B1"/>
      <c r="C1"/>
      <c r="D1"/>
      <c r="E1"/>
      <c r="F1"/>
      <c r="G1"/>
      <c r="H1"/>
      <c r="I1"/>
      <c r="J1"/>
      <c r="K1"/>
    </row>
    <row r="2" spans="1:11" x14ac:dyDescent="0.25">
      <c r="A2"/>
      <c r="B2" s="14"/>
      <c r="C2"/>
      <c r="D2"/>
      <c r="E2"/>
      <c r="F2"/>
      <c r="G2"/>
      <c r="H2"/>
      <c r="I2"/>
      <c r="J2"/>
      <c r="K2"/>
    </row>
    <row r="3" spans="1:11" x14ac:dyDescent="0.25">
      <c r="A3"/>
      <c r="B3" s="14"/>
      <c r="C3"/>
      <c r="D3"/>
      <c r="E3"/>
      <c r="F3"/>
      <c r="G3"/>
      <c r="H3"/>
      <c r="I3"/>
      <c r="J3"/>
      <c r="K3"/>
    </row>
    <row r="4" spans="1:11" x14ac:dyDescent="0.25">
      <c r="A4"/>
      <c r="B4" s="14"/>
      <c r="C4"/>
      <c r="D4"/>
      <c r="E4"/>
      <c r="F4"/>
      <c r="G4"/>
      <c r="H4"/>
      <c r="I4"/>
      <c r="J4"/>
      <c r="K4"/>
    </row>
    <row r="5" spans="1:11" x14ac:dyDescent="0.25">
      <c r="A5"/>
      <c r="B5" s="14"/>
      <c r="C5"/>
      <c r="D5"/>
      <c r="E5"/>
      <c r="F5"/>
      <c r="G5"/>
      <c r="H5"/>
      <c r="I5"/>
      <c r="J5"/>
      <c r="K5"/>
    </row>
    <row r="6" spans="1:11" x14ac:dyDescent="0.25">
      <c r="A6"/>
      <c r="B6" s="14"/>
      <c r="C6"/>
      <c r="D6"/>
      <c r="E6"/>
      <c r="F6"/>
      <c r="G6"/>
      <c r="H6"/>
      <c r="I6"/>
      <c r="J6"/>
      <c r="K6"/>
    </row>
    <row r="7" spans="1:11" x14ac:dyDescent="0.25">
      <c r="A7"/>
      <c r="B7" s="14"/>
      <c r="C7"/>
      <c r="D7"/>
      <c r="E7"/>
      <c r="F7"/>
      <c r="G7"/>
      <c r="H7"/>
      <c r="I7"/>
      <c r="J7"/>
      <c r="K7"/>
    </row>
    <row r="8" spans="1:11" x14ac:dyDescent="0.25">
      <c r="A8"/>
      <c r="B8" s="14"/>
      <c r="C8"/>
      <c r="D8"/>
      <c r="E8"/>
      <c r="F8"/>
      <c r="G8"/>
      <c r="H8"/>
      <c r="I8"/>
      <c r="J8"/>
      <c r="K8"/>
    </row>
    <row r="9" spans="1:11" x14ac:dyDescent="0.25">
      <c r="A9"/>
      <c r="B9" s="14"/>
      <c r="C9"/>
      <c r="D9"/>
      <c r="E9"/>
      <c r="F9"/>
      <c r="G9"/>
      <c r="H9"/>
      <c r="I9"/>
      <c r="J9"/>
      <c r="K9"/>
    </row>
    <row r="10" spans="1:11" x14ac:dyDescent="0.25">
      <c r="A10"/>
      <c r="B10" s="14"/>
      <c r="C10"/>
      <c r="D10"/>
      <c r="E10"/>
      <c r="F10"/>
      <c r="G10"/>
      <c r="H10"/>
      <c r="I10"/>
      <c r="J10"/>
      <c r="K10"/>
    </row>
    <row r="11" spans="1:11" x14ac:dyDescent="0.25">
      <c r="A11"/>
      <c r="B11" s="14"/>
      <c r="C11"/>
      <c r="D11"/>
      <c r="E11"/>
      <c r="F11"/>
      <c r="G11"/>
      <c r="H11"/>
      <c r="I11"/>
      <c r="J11"/>
      <c r="K11"/>
    </row>
    <row r="12" spans="1:11" x14ac:dyDescent="0.25">
      <c r="A12"/>
      <c r="B12" s="14"/>
      <c r="C12"/>
      <c r="D12"/>
      <c r="E12"/>
      <c r="F12"/>
      <c r="G12"/>
      <c r="H12"/>
      <c r="I12"/>
      <c r="J12"/>
      <c r="K12"/>
    </row>
    <row r="13" spans="1:11" x14ac:dyDescent="0.25">
      <c r="A13"/>
      <c r="B13" s="14"/>
      <c r="C13"/>
      <c r="D13"/>
      <c r="E13"/>
      <c r="F13"/>
      <c r="G13"/>
      <c r="H13"/>
      <c r="I13"/>
      <c r="J13"/>
      <c r="K13"/>
    </row>
    <row r="14" spans="1:11" x14ac:dyDescent="0.25">
      <c r="A14"/>
      <c r="B14" s="14"/>
      <c r="C14"/>
      <c r="D14"/>
      <c r="E14"/>
      <c r="F14"/>
      <c r="G14"/>
      <c r="H14"/>
      <c r="I14"/>
      <c r="J14"/>
      <c r="K14"/>
    </row>
    <row r="15" spans="1:11" x14ac:dyDescent="0.25">
      <c r="A15"/>
      <c r="B15" s="14"/>
      <c r="C15"/>
      <c r="D15"/>
      <c r="E15"/>
      <c r="F15"/>
      <c r="G15"/>
      <c r="H15"/>
      <c r="I15"/>
      <c r="J15"/>
      <c r="K15"/>
    </row>
    <row r="16" spans="1:11" x14ac:dyDescent="0.25">
      <c r="A16"/>
      <c r="B16" s="14"/>
      <c r="C16"/>
      <c r="D16"/>
      <c r="E16"/>
      <c r="F16"/>
      <c r="G16"/>
      <c r="H16"/>
      <c r="I16"/>
      <c r="J16"/>
      <c r="K16"/>
    </row>
    <row r="17" spans="1:11" x14ac:dyDescent="0.25">
      <c r="A17"/>
      <c r="B17" s="14"/>
      <c r="C17"/>
      <c r="D17"/>
      <c r="E17"/>
      <c r="F17"/>
      <c r="G17"/>
      <c r="H17"/>
      <c r="I17"/>
      <c r="J17"/>
      <c r="K17"/>
    </row>
    <row r="18" spans="1:11" x14ac:dyDescent="0.25">
      <c r="A18"/>
      <c r="B18" s="14"/>
      <c r="C18"/>
      <c r="D18"/>
      <c r="E18"/>
      <c r="F18"/>
      <c r="G18"/>
      <c r="H18"/>
      <c r="I18"/>
      <c r="J18"/>
      <c r="K18"/>
    </row>
    <row r="19" spans="1:11" x14ac:dyDescent="0.25">
      <c r="A19"/>
      <c r="B19" s="14"/>
      <c r="C19"/>
      <c r="D19"/>
      <c r="E19"/>
      <c r="F19"/>
      <c r="G19"/>
      <c r="H19"/>
      <c r="I19"/>
      <c r="J19"/>
      <c r="K19"/>
    </row>
    <row r="20" spans="1:11" x14ac:dyDescent="0.25">
      <c r="A20"/>
      <c r="B20" s="14"/>
      <c r="C20"/>
      <c r="D20"/>
      <c r="E20"/>
      <c r="F20"/>
      <c r="G20"/>
      <c r="H20"/>
      <c r="I20"/>
      <c r="J20"/>
      <c r="K20"/>
    </row>
    <row r="21" spans="1:11" x14ac:dyDescent="0.25">
      <c r="A21"/>
      <c r="B21" s="14"/>
      <c r="C21"/>
      <c r="D21"/>
      <c r="E21"/>
      <c r="F21"/>
      <c r="G21"/>
      <c r="H21"/>
      <c r="I21"/>
      <c r="J21"/>
      <c r="K21"/>
    </row>
    <row r="22" spans="1:11" x14ac:dyDescent="0.25">
      <c r="A22"/>
      <c r="B22" s="14"/>
      <c r="C22"/>
      <c r="D22"/>
      <c r="E22"/>
      <c r="F22"/>
      <c r="G22"/>
      <c r="H22"/>
      <c r="I22"/>
      <c r="J22"/>
      <c r="K22"/>
    </row>
    <row r="23" spans="1:11" x14ac:dyDescent="0.25">
      <c r="A23"/>
      <c r="B23" s="14"/>
      <c r="C23"/>
      <c r="D23"/>
      <c r="E23"/>
      <c r="F23"/>
      <c r="G23"/>
      <c r="H23"/>
      <c r="I23"/>
      <c r="J23"/>
      <c r="K23"/>
    </row>
    <row r="24" spans="1:11" x14ac:dyDescent="0.25">
      <c r="A24"/>
      <c r="B24" s="14"/>
      <c r="C24"/>
      <c r="D24"/>
      <c r="E24"/>
      <c r="F24"/>
      <c r="G24"/>
      <c r="H24"/>
      <c r="I24"/>
      <c r="J24"/>
      <c r="K24"/>
    </row>
    <row r="25" spans="1:11" x14ac:dyDescent="0.25">
      <c r="A25"/>
      <c r="B25" s="14"/>
      <c r="C25"/>
      <c r="D25"/>
      <c r="E25"/>
      <c r="F25"/>
      <c r="G25"/>
      <c r="H25"/>
      <c r="I25"/>
      <c r="J25"/>
      <c r="K25"/>
    </row>
    <row r="26" spans="1:11" x14ac:dyDescent="0.25">
      <c r="A26"/>
      <c r="B26" s="14"/>
      <c r="C26"/>
      <c r="D26"/>
      <c r="E26"/>
      <c r="F26"/>
      <c r="G26"/>
      <c r="H26"/>
      <c r="I26"/>
      <c r="J26"/>
      <c r="K26"/>
    </row>
    <row r="27" spans="1:11" x14ac:dyDescent="0.25">
      <c r="A27"/>
      <c r="B27" s="14"/>
      <c r="C27"/>
      <c r="D27"/>
      <c r="E27"/>
      <c r="F27"/>
      <c r="G27"/>
      <c r="H27"/>
      <c r="I27"/>
      <c r="J27"/>
      <c r="K27"/>
    </row>
    <row r="28" spans="1:11" x14ac:dyDescent="0.25">
      <c r="A28"/>
      <c r="B28" s="14"/>
      <c r="C28"/>
      <c r="D28"/>
      <c r="E28"/>
      <c r="F28"/>
      <c r="G28"/>
      <c r="H28"/>
      <c r="I28"/>
      <c r="J28"/>
      <c r="K28"/>
    </row>
    <row r="29" spans="1:11" x14ac:dyDescent="0.25">
      <c r="A29"/>
      <c r="B29" s="14"/>
      <c r="C29"/>
      <c r="D29"/>
      <c r="E29"/>
      <c r="F29"/>
      <c r="G29"/>
      <c r="H29"/>
      <c r="I29"/>
      <c r="J29"/>
      <c r="K29"/>
    </row>
    <row r="30" spans="1:11" x14ac:dyDescent="0.25">
      <c r="A30"/>
      <c r="B30" s="14"/>
      <c r="C30"/>
      <c r="D30"/>
      <c r="E30"/>
      <c r="F30"/>
      <c r="G30"/>
      <c r="H30"/>
      <c r="I30"/>
      <c r="J30"/>
      <c r="K30"/>
    </row>
    <row r="31" spans="1:11" x14ac:dyDescent="0.25">
      <c r="A31"/>
      <c r="B31" s="14"/>
      <c r="C31"/>
      <c r="D31"/>
      <c r="E31"/>
      <c r="F31"/>
      <c r="G31"/>
      <c r="H31"/>
      <c r="I31"/>
      <c r="J31"/>
      <c r="K31"/>
    </row>
    <row r="32" spans="1:11" x14ac:dyDescent="0.25">
      <c r="A32"/>
      <c r="B32" s="14"/>
      <c r="C32"/>
      <c r="D32"/>
      <c r="E32"/>
      <c r="F32"/>
      <c r="G32"/>
      <c r="H32"/>
      <c r="I32"/>
      <c r="J32"/>
      <c r="K32"/>
    </row>
    <row r="33" spans="1:11" x14ac:dyDescent="0.25">
      <c r="A33"/>
      <c r="B33" s="14"/>
      <c r="C33"/>
      <c r="D33"/>
      <c r="E33"/>
      <c r="F33"/>
      <c r="G33"/>
      <c r="H33"/>
      <c r="I33"/>
      <c r="J33"/>
      <c r="K33"/>
    </row>
    <row r="34" spans="1:11" x14ac:dyDescent="0.25">
      <c r="A34"/>
      <c r="B34" s="14"/>
      <c r="C34"/>
      <c r="D34"/>
      <c r="E34"/>
      <c r="F34"/>
      <c r="G34"/>
      <c r="H34"/>
      <c r="I34"/>
      <c r="J34"/>
      <c r="K34"/>
    </row>
    <row r="35" spans="1:11" x14ac:dyDescent="0.25">
      <c r="A35"/>
      <c r="B35" s="14"/>
      <c r="C35"/>
      <c r="D35"/>
      <c r="E35"/>
      <c r="F35"/>
      <c r="G35"/>
      <c r="H35"/>
      <c r="I35"/>
      <c r="J35"/>
      <c r="K35"/>
    </row>
    <row r="36" spans="1:11" x14ac:dyDescent="0.25">
      <c r="A36"/>
      <c r="B36" s="14"/>
      <c r="C36"/>
      <c r="D36"/>
      <c r="E36"/>
      <c r="F36"/>
      <c r="G36"/>
      <c r="H36"/>
      <c r="I36"/>
      <c r="J36"/>
      <c r="K36"/>
    </row>
    <row r="37" spans="1:11" x14ac:dyDescent="0.25">
      <c r="A37"/>
      <c r="B37" s="14"/>
      <c r="C37"/>
      <c r="D37"/>
      <c r="E37"/>
      <c r="F37"/>
      <c r="G37"/>
      <c r="H37"/>
      <c r="I37"/>
      <c r="J37"/>
      <c r="K37"/>
    </row>
    <row r="38" spans="1:11" x14ac:dyDescent="0.25">
      <c r="A38"/>
      <c r="B38" s="14"/>
      <c r="C38"/>
      <c r="D38"/>
      <c r="E38"/>
      <c r="F38"/>
      <c r="G38"/>
      <c r="H38"/>
      <c r="I38"/>
      <c r="J38"/>
      <c r="K38"/>
    </row>
    <row r="39" spans="1:11" x14ac:dyDescent="0.25">
      <c r="A39"/>
      <c r="B39" s="14"/>
      <c r="C39"/>
      <c r="D39"/>
      <c r="E39"/>
      <c r="F39"/>
      <c r="G39"/>
      <c r="H39"/>
      <c r="I39"/>
      <c r="J39"/>
      <c r="K39"/>
    </row>
    <row r="40" spans="1:11" x14ac:dyDescent="0.25">
      <c r="A40"/>
      <c r="B40" s="14"/>
      <c r="C40"/>
      <c r="D40"/>
      <c r="E40"/>
      <c r="F40"/>
      <c r="G40"/>
      <c r="H40"/>
      <c r="I40"/>
      <c r="J40"/>
      <c r="K40"/>
    </row>
    <row r="41" spans="1:11" x14ac:dyDescent="0.25">
      <c r="A41"/>
      <c r="B41" s="14"/>
      <c r="C41"/>
      <c r="D41"/>
      <c r="E41"/>
      <c r="F41"/>
      <c r="G41"/>
      <c r="H41"/>
      <c r="I41"/>
      <c r="J41"/>
      <c r="K41"/>
    </row>
    <row r="42" spans="1:11" x14ac:dyDescent="0.25">
      <c r="A42"/>
      <c r="B42" s="14"/>
      <c r="C42"/>
      <c r="D42"/>
      <c r="E42"/>
      <c r="F42"/>
      <c r="G42"/>
      <c r="H42"/>
      <c r="I42"/>
      <c r="J42"/>
      <c r="K42"/>
    </row>
    <row r="43" spans="1:11" x14ac:dyDescent="0.25">
      <c r="A43"/>
      <c r="B43" s="14"/>
      <c r="C43"/>
      <c r="D43"/>
      <c r="E43"/>
      <c r="F43"/>
      <c r="G43"/>
      <c r="H43"/>
      <c r="I43"/>
      <c r="J43"/>
      <c r="K43"/>
    </row>
    <row r="44" spans="1:11" x14ac:dyDescent="0.25">
      <c r="A44"/>
      <c r="B44" s="14"/>
      <c r="C44"/>
      <c r="D44"/>
      <c r="E44"/>
      <c r="F44"/>
      <c r="G44"/>
      <c r="H44"/>
      <c r="I44"/>
      <c r="J44"/>
      <c r="K44"/>
    </row>
    <row r="45" spans="1:11" x14ac:dyDescent="0.25">
      <c r="A45"/>
      <c r="B45" s="14"/>
      <c r="C45"/>
      <c r="D45"/>
      <c r="E45"/>
      <c r="F45"/>
      <c r="G45"/>
      <c r="H45"/>
      <c r="I45"/>
      <c r="J45"/>
      <c r="K45"/>
    </row>
    <row r="46" spans="1:11" x14ac:dyDescent="0.25">
      <c r="A46"/>
      <c r="B46" s="14"/>
      <c r="C46"/>
      <c r="D46"/>
      <c r="E46"/>
      <c r="F46"/>
      <c r="G46"/>
      <c r="H46"/>
      <c r="I46"/>
      <c r="J46"/>
      <c r="K46"/>
    </row>
    <row r="47" spans="1:11" x14ac:dyDescent="0.25">
      <c r="A47"/>
      <c r="B47" s="14"/>
      <c r="C47"/>
      <c r="D47"/>
      <c r="E47"/>
      <c r="F47"/>
      <c r="G47"/>
      <c r="H47"/>
      <c r="I47"/>
      <c r="J47"/>
      <c r="K47"/>
    </row>
    <row r="48" spans="1:11" x14ac:dyDescent="0.25">
      <c r="A48"/>
      <c r="B48" s="14"/>
      <c r="C48"/>
      <c r="D48"/>
      <c r="E48"/>
      <c r="F48"/>
      <c r="G48"/>
      <c r="H48"/>
      <c r="I48"/>
      <c r="J48"/>
      <c r="K48"/>
    </row>
    <row r="49" spans="1:11" x14ac:dyDescent="0.25">
      <c r="A49"/>
      <c r="B49" s="14"/>
      <c r="C49"/>
      <c r="D49"/>
      <c r="E49"/>
      <c r="F49"/>
      <c r="G49"/>
      <c r="H49"/>
      <c r="I49"/>
      <c r="J49"/>
      <c r="K49"/>
    </row>
    <row r="50" spans="1:11" x14ac:dyDescent="0.25">
      <c r="A50"/>
      <c r="B50" s="14"/>
      <c r="C50"/>
      <c r="D50"/>
      <c r="E50"/>
      <c r="F50"/>
      <c r="G50"/>
      <c r="H50"/>
      <c r="I50"/>
      <c r="J50"/>
      <c r="K50"/>
    </row>
    <row r="51" spans="1:11" x14ac:dyDescent="0.25">
      <c r="B51" s="14"/>
      <c r="D51"/>
      <c r="E51"/>
      <c r="F51"/>
      <c r="G51"/>
      <c r="H51"/>
      <c r="I51"/>
      <c r="J51"/>
      <c r="K51"/>
    </row>
    <row r="52" spans="1:11" x14ac:dyDescent="0.25">
      <c r="B52" s="14"/>
      <c r="D52"/>
      <c r="E52"/>
      <c r="F52"/>
      <c r="G52"/>
      <c r="H52"/>
      <c r="I52"/>
      <c r="J52"/>
      <c r="K52"/>
    </row>
    <row r="53" spans="1:11" x14ac:dyDescent="0.25">
      <c r="B53" s="14"/>
      <c r="D53"/>
      <c r="E53"/>
      <c r="F53"/>
      <c r="G53"/>
      <c r="H53"/>
      <c r="I53"/>
      <c r="J53"/>
      <c r="K53"/>
    </row>
    <row r="54" spans="1:11" x14ac:dyDescent="0.25">
      <c r="B54" s="14"/>
      <c r="D54"/>
      <c r="E54"/>
      <c r="F54"/>
      <c r="G54"/>
      <c r="H54"/>
      <c r="I54"/>
      <c r="J54"/>
      <c r="K54"/>
    </row>
    <row r="55" spans="1:11" x14ac:dyDescent="0.25">
      <c r="B55" s="14"/>
      <c r="D55"/>
      <c r="E55"/>
      <c r="F55"/>
      <c r="G55"/>
      <c r="H55"/>
      <c r="I55"/>
      <c r="J55"/>
      <c r="K55"/>
    </row>
    <row r="56" spans="1:11" x14ac:dyDescent="0.25">
      <c r="B56" s="14"/>
      <c r="D56"/>
      <c r="E56"/>
      <c r="F56"/>
      <c r="G56"/>
      <c r="H56"/>
      <c r="I56"/>
      <c r="J56"/>
      <c r="K56"/>
    </row>
    <row r="57" spans="1:11" x14ac:dyDescent="0.25">
      <c r="B57" s="14"/>
      <c r="D57"/>
      <c r="E57"/>
      <c r="F57"/>
      <c r="G57"/>
      <c r="H57"/>
      <c r="I57"/>
      <c r="J57"/>
      <c r="K57"/>
    </row>
    <row r="58" spans="1:11" x14ac:dyDescent="0.25">
      <c r="B58" s="14"/>
      <c r="D58"/>
      <c r="E58"/>
      <c r="F58"/>
      <c r="G58"/>
      <c r="H58"/>
      <c r="I58"/>
      <c r="J58"/>
      <c r="K58"/>
    </row>
    <row r="59" spans="1:11" x14ac:dyDescent="0.25">
      <c r="B59" s="14"/>
      <c r="D59"/>
      <c r="E59"/>
      <c r="F59"/>
      <c r="G59"/>
      <c r="H59"/>
      <c r="I59"/>
      <c r="J59"/>
      <c r="K59"/>
    </row>
    <row r="60" spans="1:11" x14ac:dyDescent="0.25">
      <c r="B60" s="14"/>
      <c r="D60"/>
      <c r="E60"/>
      <c r="F60"/>
      <c r="G60"/>
      <c r="H60"/>
      <c r="I60"/>
      <c r="J60"/>
      <c r="K60"/>
    </row>
    <row r="61" spans="1:11" x14ac:dyDescent="0.25">
      <c r="B61" s="14"/>
      <c r="D61"/>
      <c r="E61"/>
      <c r="F61"/>
      <c r="G61"/>
      <c r="H61"/>
      <c r="I61"/>
      <c r="J61"/>
      <c r="K61"/>
    </row>
    <row r="62" spans="1:11" x14ac:dyDescent="0.25">
      <c r="B62" s="14"/>
      <c r="D62"/>
      <c r="E62"/>
      <c r="F62"/>
      <c r="G62"/>
      <c r="H62"/>
      <c r="I62"/>
      <c r="J62"/>
      <c r="K62"/>
    </row>
    <row r="63" spans="1:11" x14ac:dyDescent="0.25">
      <c r="B63" s="14"/>
      <c r="D63"/>
      <c r="E63"/>
      <c r="F63"/>
      <c r="G63"/>
      <c r="H63"/>
      <c r="I63"/>
      <c r="J63"/>
      <c r="K63"/>
    </row>
    <row r="64" spans="1:11" x14ac:dyDescent="0.25">
      <c r="B64" s="14"/>
      <c r="D64"/>
      <c r="E64"/>
      <c r="F64"/>
      <c r="G64"/>
      <c r="H64"/>
      <c r="I64"/>
      <c r="J64"/>
      <c r="K64"/>
    </row>
    <row r="65" spans="2:11" x14ac:dyDescent="0.25">
      <c r="B65" s="14"/>
      <c r="D65"/>
      <c r="E65"/>
      <c r="F65"/>
      <c r="G65"/>
      <c r="H65"/>
      <c r="I65"/>
      <c r="J65"/>
      <c r="K65"/>
    </row>
    <row r="66" spans="2:11" x14ac:dyDescent="0.25">
      <c r="B66" s="14"/>
      <c r="D66"/>
      <c r="E66"/>
      <c r="F66"/>
      <c r="G66"/>
      <c r="H66"/>
      <c r="I66"/>
      <c r="J66"/>
      <c r="K66"/>
    </row>
    <row r="67" spans="2:11" x14ac:dyDescent="0.25">
      <c r="B67" s="14"/>
      <c r="D67"/>
      <c r="E67"/>
      <c r="F67"/>
      <c r="G67"/>
      <c r="H67"/>
      <c r="I67"/>
      <c r="J67"/>
      <c r="K67"/>
    </row>
    <row r="68" spans="2:11" x14ac:dyDescent="0.25">
      <c r="B68" s="14"/>
      <c r="D68"/>
      <c r="E68"/>
      <c r="F68"/>
      <c r="G68"/>
      <c r="H68"/>
      <c r="I68"/>
      <c r="J68"/>
      <c r="K68"/>
    </row>
    <row r="69" spans="2:11" x14ac:dyDescent="0.25">
      <c r="B69" s="14"/>
      <c r="D69"/>
      <c r="E69"/>
      <c r="F69"/>
      <c r="G69"/>
      <c r="H69"/>
      <c r="I69"/>
      <c r="J69"/>
      <c r="K69"/>
    </row>
    <row r="70" spans="2:11" x14ac:dyDescent="0.25">
      <c r="B70" s="14"/>
      <c r="D70"/>
      <c r="E70"/>
      <c r="F70"/>
      <c r="G70"/>
      <c r="H70"/>
      <c r="I70"/>
      <c r="J70"/>
      <c r="K70"/>
    </row>
    <row r="71" spans="2:11" x14ac:dyDescent="0.25">
      <c r="B71" s="14"/>
      <c r="D71"/>
      <c r="E71"/>
      <c r="F71"/>
      <c r="G71"/>
      <c r="H71"/>
      <c r="I71"/>
      <c r="J71"/>
      <c r="K71"/>
    </row>
    <row r="72" spans="2:11" x14ac:dyDescent="0.25">
      <c r="B72" s="14"/>
      <c r="D72"/>
      <c r="E72"/>
      <c r="F72"/>
      <c r="G72"/>
      <c r="H72"/>
      <c r="I72"/>
      <c r="J72"/>
      <c r="K72"/>
    </row>
    <row r="73" spans="2:11" x14ac:dyDescent="0.25">
      <c r="B73" s="14"/>
      <c r="D73"/>
      <c r="E73"/>
      <c r="F73"/>
      <c r="G73"/>
      <c r="H73"/>
      <c r="I73"/>
      <c r="J73"/>
      <c r="K73"/>
    </row>
    <row r="74" spans="2:11" x14ac:dyDescent="0.25">
      <c r="B74" s="14"/>
      <c r="D74"/>
      <c r="E74"/>
      <c r="F74"/>
      <c r="G74"/>
      <c r="H74"/>
      <c r="I74"/>
      <c r="J74"/>
      <c r="K74"/>
    </row>
    <row r="75" spans="2:11" x14ac:dyDescent="0.25">
      <c r="B75" s="14"/>
      <c r="D75"/>
      <c r="E75"/>
      <c r="F75"/>
      <c r="G75"/>
      <c r="H75"/>
      <c r="I75"/>
      <c r="J75"/>
      <c r="K75"/>
    </row>
    <row r="76" spans="2:11" x14ac:dyDescent="0.25">
      <c r="B76" s="14"/>
      <c r="D76"/>
      <c r="E76"/>
      <c r="F76"/>
      <c r="G76"/>
      <c r="H76"/>
      <c r="I76"/>
      <c r="J76"/>
      <c r="K76"/>
    </row>
    <row r="77" spans="2:11" x14ac:dyDescent="0.25">
      <c r="B77" s="14"/>
      <c r="D77"/>
      <c r="E77"/>
      <c r="F77"/>
      <c r="G77"/>
      <c r="H77"/>
      <c r="I77"/>
      <c r="J77"/>
      <c r="K77"/>
    </row>
    <row r="78" spans="2:11" x14ac:dyDescent="0.25">
      <c r="B78" s="14"/>
      <c r="D78"/>
      <c r="E78"/>
      <c r="F78"/>
      <c r="G78"/>
      <c r="H78"/>
      <c r="I78"/>
      <c r="J78"/>
      <c r="K78"/>
    </row>
    <row r="79" spans="2:11" x14ac:dyDescent="0.25">
      <c r="B79" s="14"/>
      <c r="D79"/>
      <c r="E79"/>
      <c r="F79"/>
      <c r="G79"/>
      <c r="H79"/>
      <c r="I79"/>
      <c r="J79"/>
      <c r="K79"/>
    </row>
    <row r="80" spans="2:11" x14ac:dyDescent="0.25">
      <c r="B80" s="14"/>
      <c r="D80"/>
      <c r="E80"/>
      <c r="F80"/>
      <c r="G80"/>
      <c r="H80"/>
      <c r="I80"/>
      <c r="J80"/>
      <c r="K80"/>
    </row>
    <row r="81" spans="2:11" x14ac:dyDescent="0.25">
      <c r="B81" s="14"/>
      <c r="D81"/>
      <c r="E81"/>
      <c r="F81"/>
      <c r="G81"/>
      <c r="H81"/>
      <c r="I81"/>
      <c r="J81"/>
      <c r="K81"/>
    </row>
    <row r="82" spans="2:11" x14ac:dyDescent="0.25">
      <c r="B82" s="14"/>
      <c r="D82"/>
      <c r="E82"/>
      <c r="F82"/>
      <c r="G82"/>
      <c r="H82"/>
      <c r="I82"/>
      <c r="J82"/>
      <c r="K82"/>
    </row>
    <row r="83" spans="2:11" x14ac:dyDescent="0.25">
      <c r="B83" s="14"/>
      <c r="D83"/>
      <c r="E83"/>
      <c r="F83"/>
      <c r="G83"/>
      <c r="H83"/>
      <c r="I83"/>
      <c r="J83"/>
      <c r="K83"/>
    </row>
    <row r="84" spans="2:11" x14ac:dyDescent="0.25">
      <c r="B84" s="14"/>
      <c r="D84"/>
      <c r="E84"/>
      <c r="F84"/>
      <c r="G84"/>
      <c r="H84"/>
      <c r="I84"/>
      <c r="J84"/>
      <c r="K84"/>
    </row>
    <row r="85" spans="2:11" x14ac:dyDescent="0.25">
      <c r="B85" s="14"/>
      <c r="D85"/>
      <c r="E85"/>
      <c r="F85"/>
      <c r="G85"/>
      <c r="H85"/>
      <c r="I85"/>
      <c r="J85"/>
      <c r="K85"/>
    </row>
    <row r="86" spans="2:11" x14ac:dyDescent="0.25">
      <c r="B86" s="14"/>
      <c r="D86"/>
      <c r="E86"/>
      <c r="F86"/>
      <c r="G86"/>
      <c r="H86"/>
      <c r="I86"/>
      <c r="J86"/>
      <c r="K86"/>
    </row>
    <row r="87" spans="2:11" x14ac:dyDescent="0.25">
      <c r="B87" s="14"/>
      <c r="D87"/>
      <c r="E87"/>
      <c r="F87"/>
      <c r="G87"/>
      <c r="H87"/>
      <c r="I87"/>
      <c r="J87"/>
      <c r="K87"/>
    </row>
    <row r="88" spans="2:11" x14ac:dyDescent="0.25">
      <c r="B88" s="14"/>
      <c r="D88"/>
      <c r="E88"/>
      <c r="F88"/>
      <c r="G88"/>
      <c r="H88"/>
      <c r="I88"/>
      <c r="J88"/>
      <c r="K88"/>
    </row>
    <row r="89" spans="2:11" x14ac:dyDescent="0.25">
      <c r="B89" s="14"/>
      <c r="D89"/>
      <c r="E89"/>
      <c r="F89"/>
      <c r="G89"/>
      <c r="H89"/>
      <c r="I89"/>
      <c r="J89"/>
      <c r="K89"/>
    </row>
    <row r="90" spans="2:11" x14ac:dyDescent="0.25">
      <c r="B90" s="14"/>
      <c r="D90"/>
      <c r="E90"/>
      <c r="F90"/>
      <c r="G90"/>
      <c r="H90"/>
      <c r="I90"/>
      <c r="J90"/>
      <c r="K90"/>
    </row>
    <row r="91" spans="2:11" x14ac:dyDescent="0.25">
      <c r="B91" s="14"/>
      <c r="D91"/>
      <c r="E91"/>
      <c r="F91"/>
      <c r="G91"/>
      <c r="H91"/>
      <c r="I91"/>
      <c r="J91"/>
      <c r="K91"/>
    </row>
    <row r="92" spans="2:11" x14ac:dyDescent="0.25">
      <c r="B92" s="14"/>
      <c r="D92"/>
      <c r="E92"/>
      <c r="F92"/>
      <c r="G92"/>
      <c r="H92"/>
      <c r="I92"/>
      <c r="J92"/>
      <c r="K92"/>
    </row>
    <row r="93" spans="2:11" x14ac:dyDescent="0.25">
      <c r="B93" s="14"/>
      <c r="D93"/>
      <c r="E93"/>
      <c r="F93"/>
      <c r="G93"/>
      <c r="H93"/>
      <c r="I93"/>
      <c r="J93"/>
      <c r="K93"/>
    </row>
    <row r="94" spans="2:11" x14ac:dyDescent="0.25">
      <c r="B94" s="14"/>
      <c r="D94"/>
      <c r="E94"/>
      <c r="F94"/>
      <c r="G94"/>
      <c r="H94"/>
      <c r="I94"/>
      <c r="J94"/>
      <c r="K94"/>
    </row>
    <row r="95" spans="2:11" x14ac:dyDescent="0.25">
      <c r="B95" s="14"/>
      <c r="D95"/>
      <c r="E95"/>
      <c r="F95"/>
      <c r="G95"/>
      <c r="H95"/>
      <c r="I95"/>
      <c r="J95"/>
      <c r="K95"/>
    </row>
    <row r="96" spans="2:11" x14ac:dyDescent="0.25">
      <c r="B96" s="14"/>
      <c r="D96"/>
      <c r="E96"/>
      <c r="F96"/>
      <c r="G96"/>
      <c r="H96"/>
      <c r="I96"/>
      <c r="J96"/>
      <c r="K96"/>
    </row>
    <row r="97" spans="2:11" x14ac:dyDescent="0.25">
      <c r="B97" s="14"/>
      <c r="D97"/>
      <c r="E97"/>
      <c r="F97"/>
      <c r="G97"/>
      <c r="H97"/>
      <c r="I97"/>
      <c r="J97"/>
      <c r="K97"/>
    </row>
    <row r="98" spans="2:11" x14ac:dyDescent="0.25">
      <c r="B98" s="14"/>
      <c r="D98"/>
      <c r="E98"/>
      <c r="F98"/>
      <c r="G98"/>
      <c r="H98"/>
      <c r="I98"/>
      <c r="J98"/>
      <c r="K98"/>
    </row>
    <row r="99" spans="2:11" x14ac:dyDescent="0.25">
      <c r="B99" s="14"/>
      <c r="D99"/>
      <c r="E99"/>
      <c r="F99"/>
      <c r="G99"/>
      <c r="H99"/>
      <c r="I99"/>
      <c r="J99"/>
      <c r="K99"/>
    </row>
    <row r="100" spans="2:11" x14ac:dyDescent="0.25">
      <c r="B100" s="14"/>
      <c r="D100"/>
      <c r="E100"/>
      <c r="F100"/>
      <c r="G100"/>
      <c r="H100"/>
      <c r="I100"/>
      <c r="J100"/>
      <c r="K100"/>
    </row>
    <row r="101" spans="2:11" x14ac:dyDescent="0.25">
      <c r="B101" s="14"/>
      <c r="D101"/>
      <c r="E101"/>
      <c r="F101"/>
      <c r="G101"/>
      <c r="H101"/>
      <c r="I101"/>
      <c r="J101"/>
      <c r="K101"/>
    </row>
    <row r="102" spans="2:11" x14ac:dyDescent="0.25">
      <c r="B102" s="14"/>
      <c r="D102"/>
      <c r="E102"/>
      <c r="F102"/>
      <c r="G102"/>
      <c r="H102"/>
      <c r="I102"/>
      <c r="J102"/>
      <c r="K102"/>
    </row>
    <row r="103" spans="2:11" x14ac:dyDescent="0.25">
      <c r="B103" s="14"/>
      <c r="D103"/>
      <c r="E103"/>
      <c r="F103"/>
      <c r="G103"/>
      <c r="H103"/>
      <c r="I103"/>
      <c r="J103"/>
      <c r="K103"/>
    </row>
    <row r="104" spans="2:11" x14ac:dyDescent="0.25">
      <c r="B104" s="14"/>
      <c r="D104"/>
      <c r="E104"/>
      <c r="F104"/>
      <c r="G104"/>
      <c r="H104"/>
      <c r="I104"/>
      <c r="J104"/>
      <c r="K104"/>
    </row>
    <row r="105" spans="2:11" x14ac:dyDescent="0.25">
      <c r="B105" s="14"/>
      <c r="D105"/>
      <c r="E105"/>
      <c r="F105"/>
      <c r="G105"/>
      <c r="H105"/>
      <c r="I105"/>
      <c r="J105"/>
      <c r="K105"/>
    </row>
    <row r="106" spans="2:11" x14ac:dyDescent="0.25">
      <c r="B106" s="14"/>
      <c r="D106"/>
      <c r="E106"/>
      <c r="F106"/>
      <c r="G106"/>
      <c r="H106"/>
      <c r="I106"/>
      <c r="J106"/>
      <c r="K106"/>
    </row>
    <row r="107" spans="2:11" x14ac:dyDescent="0.25">
      <c r="B107" s="14"/>
      <c r="D107"/>
      <c r="E107"/>
      <c r="F107"/>
      <c r="G107"/>
      <c r="H107"/>
      <c r="I107"/>
      <c r="J107"/>
      <c r="K107"/>
    </row>
    <row r="108" spans="2:11" x14ac:dyDescent="0.25">
      <c r="B108" s="14"/>
      <c r="D108"/>
      <c r="E108"/>
      <c r="F108"/>
      <c r="G108"/>
      <c r="H108"/>
      <c r="I108"/>
      <c r="J108"/>
      <c r="K108"/>
    </row>
    <row r="109" spans="2:11" x14ac:dyDescent="0.25">
      <c r="B109" s="14"/>
      <c r="D109"/>
      <c r="E109"/>
      <c r="F109"/>
      <c r="G109"/>
      <c r="H109"/>
      <c r="I109"/>
      <c r="J109"/>
      <c r="K109"/>
    </row>
    <row r="110" spans="2:11" x14ac:dyDescent="0.25">
      <c r="B110" s="14"/>
      <c r="D110"/>
      <c r="E110"/>
      <c r="F110"/>
      <c r="G110"/>
      <c r="H110"/>
      <c r="I110"/>
      <c r="J110"/>
      <c r="K110"/>
    </row>
    <row r="111" spans="2:11" x14ac:dyDescent="0.25">
      <c r="B111" s="14"/>
      <c r="D111"/>
      <c r="E111"/>
      <c r="F111"/>
      <c r="G111"/>
      <c r="H111"/>
      <c r="I111"/>
      <c r="J111"/>
      <c r="K111"/>
    </row>
    <row r="112" spans="2:11" x14ac:dyDescent="0.25">
      <c r="B112" s="14"/>
      <c r="D112"/>
      <c r="E112"/>
      <c r="F112"/>
      <c r="G112"/>
      <c r="H112"/>
      <c r="I112"/>
      <c r="J112"/>
      <c r="K112"/>
    </row>
    <row r="113" spans="2:11" x14ac:dyDescent="0.25">
      <c r="B113" s="14"/>
      <c r="D113"/>
      <c r="E113"/>
      <c r="F113"/>
      <c r="G113"/>
      <c r="H113"/>
      <c r="I113"/>
      <c r="J113"/>
      <c r="K113"/>
    </row>
    <row r="114" spans="2:11" x14ac:dyDescent="0.25">
      <c r="B114" s="14"/>
      <c r="D114"/>
      <c r="E114"/>
      <c r="F114"/>
      <c r="G114"/>
      <c r="H114"/>
      <c r="I114"/>
      <c r="J114"/>
      <c r="K114"/>
    </row>
    <row r="115" spans="2:11" x14ac:dyDescent="0.25">
      <c r="B115" s="14"/>
      <c r="D115"/>
      <c r="E115"/>
      <c r="F115"/>
      <c r="G115"/>
      <c r="H115"/>
      <c r="I115"/>
      <c r="J115"/>
      <c r="K115"/>
    </row>
    <row r="116" spans="2:11" x14ac:dyDescent="0.25">
      <c r="B116" s="14"/>
      <c r="D116"/>
      <c r="E116"/>
      <c r="F116"/>
      <c r="G116"/>
      <c r="H116"/>
      <c r="I116"/>
      <c r="J116"/>
      <c r="K116"/>
    </row>
    <row r="117" spans="2:11" x14ac:dyDescent="0.25">
      <c r="B117" s="14"/>
      <c r="D117"/>
      <c r="E117"/>
      <c r="F117"/>
      <c r="G117"/>
      <c r="H117"/>
      <c r="I117"/>
      <c r="J117"/>
      <c r="K117"/>
    </row>
    <row r="118" spans="2:11" x14ac:dyDescent="0.25">
      <c r="B118" s="14"/>
      <c r="D118"/>
      <c r="E118"/>
      <c r="F118"/>
      <c r="G118"/>
      <c r="H118"/>
      <c r="I118"/>
      <c r="J118"/>
      <c r="K118"/>
    </row>
    <row r="119" spans="2:11" x14ac:dyDescent="0.25">
      <c r="B119" s="14"/>
      <c r="D119"/>
      <c r="E119"/>
      <c r="F119"/>
      <c r="G119"/>
      <c r="H119"/>
      <c r="I119"/>
      <c r="J119"/>
      <c r="K119"/>
    </row>
    <row r="120" spans="2:11" x14ac:dyDescent="0.25">
      <c r="B120" s="14"/>
      <c r="D120"/>
      <c r="E120"/>
      <c r="F120"/>
      <c r="G120"/>
      <c r="H120"/>
      <c r="I120"/>
      <c r="J120"/>
      <c r="K120"/>
    </row>
    <row r="121" spans="2:11" x14ac:dyDescent="0.25">
      <c r="B121" s="14"/>
      <c r="D121"/>
      <c r="E121"/>
      <c r="F121"/>
      <c r="G121"/>
      <c r="H121"/>
      <c r="I121"/>
      <c r="J121"/>
      <c r="K121"/>
    </row>
    <row r="122" spans="2:11" x14ac:dyDescent="0.25">
      <c r="B122" s="14"/>
      <c r="D122"/>
      <c r="E122"/>
      <c r="F122"/>
      <c r="G122"/>
      <c r="H122"/>
      <c r="I122"/>
      <c r="J122"/>
      <c r="K122"/>
    </row>
    <row r="123" spans="2:11" x14ac:dyDescent="0.25">
      <c r="B123" s="14"/>
      <c r="D123"/>
      <c r="E123"/>
      <c r="F123"/>
      <c r="G123"/>
      <c r="H123"/>
      <c r="I123"/>
      <c r="J123"/>
      <c r="K123"/>
    </row>
    <row r="124" spans="2:11" x14ac:dyDescent="0.25">
      <c r="B124" s="14"/>
      <c r="D124"/>
      <c r="E124"/>
      <c r="F124"/>
      <c r="G124"/>
      <c r="H124"/>
      <c r="I124"/>
      <c r="J124"/>
      <c r="K124"/>
    </row>
    <row r="125" spans="2:11" x14ac:dyDescent="0.25">
      <c r="B125" s="14"/>
      <c r="D125"/>
      <c r="E125"/>
      <c r="F125"/>
      <c r="G125"/>
      <c r="H125"/>
      <c r="I125"/>
      <c r="J125"/>
      <c r="K125"/>
    </row>
    <row r="126" spans="2:11" x14ac:dyDescent="0.25">
      <c r="B126" s="14"/>
      <c r="D126"/>
      <c r="E126"/>
      <c r="F126"/>
      <c r="G126"/>
      <c r="H126"/>
      <c r="I126"/>
      <c r="J126"/>
      <c r="K126"/>
    </row>
    <row r="127" spans="2:11" x14ac:dyDescent="0.25">
      <c r="B127" s="14"/>
      <c r="D127"/>
      <c r="E127"/>
      <c r="F127"/>
      <c r="G127"/>
      <c r="H127"/>
      <c r="I127"/>
      <c r="J127"/>
      <c r="K127"/>
    </row>
    <row r="128" spans="2:11" x14ac:dyDescent="0.25">
      <c r="B128" s="14"/>
      <c r="D128"/>
      <c r="E128"/>
      <c r="F128"/>
      <c r="G128"/>
      <c r="H128"/>
      <c r="I128"/>
      <c r="J128"/>
      <c r="K128"/>
    </row>
    <row r="129" spans="2:11" x14ac:dyDescent="0.25">
      <c r="B129" s="14"/>
      <c r="D129"/>
      <c r="E129"/>
      <c r="F129"/>
      <c r="G129"/>
      <c r="H129"/>
      <c r="I129"/>
      <c r="J129"/>
      <c r="K129"/>
    </row>
    <row r="130" spans="2:11" x14ac:dyDescent="0.25">
      <c r="B130" s="14"/>
      <c r="D130"/>
      <c r="E130"/>
      <c r="F130"/>
      <c r="G130"/>
      <c r="H130"/>
      <c r="I130"/>
      <c r="J130"/>
      <c r="K130"/>
    </row>
    <row r="131" spans="2:11" x14ac:dyDescent="0.25">
      <c r="B131" s="14"/>
      <c r="D131"/>
      <c r="E131"/>
      <c r="F131"/>
      <c r="G131"/>
      <c r="H131"/>
      <c r="I131"/>
      <c r="J131"/>
      <c r="K131"/>
    </row>
    <row r="132" spans="2:11" x14ac:dyDescent="0.25">
      <c r="B132" s="14"/>
      <c r="D132"/>
      <c r="E132"/>
      <c r="F132"/>
      <c r="G132"/>
      <c r="H132"/>
      <c r="I132"/>
      <c r="J132"/>
      <c r="K132"/>
    </row>
    <row r="133" spans="2:11" x14ac:dyDescent="0.25">
      <c r="B133" s="14"/>
      <c r="D133"/>
      <c r="E133"/>
      <c r="F133"/>
      <c r="G133"/>
      <c r="H133"/>
      <c r="I133"/>
      <c r="J133"/>
      <c r="K133"/>
    </row>
    <row r="134" spans="2:11" x14ac:dyDescent="0.25">
      <c r="B134" s="14"/>
      <c r="D134"/>
      <c r="E134"/>
      <c r="F134"/>
      <c r="G134"/>
      <c r="H134"/>
      <c r="I134"/>
      <c r="J134"/>
      <c r="K134"/>
    </row>
    <row r="135" spans="2:11" x14ac:dyDescent="0.25">
      <c r="B135" s="14"/>
      <c r="D135"/>
      <c r="E135"/>
      <c r="F135"/>
      <c r="G135"/>
      <c r="H135"/>
      <c r="I135"/>
      <c r="J135"/>
      <c r="K135"/>
    </row>
    <row r="136" spans="2:11" x14ac:dyDescent="0.25">
      <c r="B136" s="14"/>
      <c r="D136"/>
      <c r="E136"/>
      <c r="F136"/>
      <c r="G136"/>
      <c r="H136"/>
      <c r="I136"/>
      <c r="J136"/>
      <c r="K136"/>
    </row>
    <row r="137" spans="2:11" x14ac:dyDescent="0.25">
      <c r="B137" s="14"/>
      <c r="D137"/>
      <c r="E137"/>
      <c r="F137"/>
      <c r="G137"/>
      <c r="H137"/>
      <c r="I137"/>
      <c r="J137"/>
      <c r="K137"/>
    </row>
    <row r="138" spans="2:11" x14ac:dyDescent="0.25">
      <c r="B138" s="14"/>
      <c r="D138"/>
      <c r="E138"/>
      <c r="F138"/>
      <c r="G138"/>
      <c r="H138"/>
      <c r="I138"/>
      <c r="J138"/>
      <c r="K138"/>
    </row>
    <row r="139" spans="2:11" x14ac:dyDescent="0.25">
      <c r="B139" s="14"/>
      <c r="D139"/>
      <c r="E139"/>
      <c r="F139"/>
      <c r="G139"/>
      <c r="H139"/>
      <c r="I139"/>
      <c r="J139"/>
      <c r="K139"/>
    </row>
    <row r="140" spans="2:11" x14ac:dyDescent="0.25">
      <c r="B140" s="14"/>
      <c r="D140"/>
      <c r="E140"/>
      <c r="F140"/>
      <c r="G140"/>
      <c r="H140"/>
      <c r="I140"/>
      <c r="J140"/>
      <c r="K140"/>
    </row>
    <row r="141" spans="2:11" x14ac:dyDescent="0.25">
      <c r="B141" s="14"/>
      <c r="D141"/>
      <c r="E141"/>
      <c r="F141"/>
      <c r="G141"/>
      <c r="H141"/>
      <c r="I141"/>
      <c r="J141"/>
      <c r="K141"/>
    </row>
    <row r="142" spans="2:11" x14ac:dyDescent="0.25">
      <c r="B142" s="14"/>
      <c r="D142"/>
      <c r="E142"/>
      <c r="F142"/>
      <c r="G142"/>
      <c r="H142"/>
      <c r="I142"/>
      <c r="J142"/>
      <c r="K142"/>
    </row>
    <row r="143" spans="2:11" x14ac:dyDescent="0.25">
      <c r="B143" s="14"/>
      <c r="D143"/>
      <c r="E143"/>
      <c r="F143"/>
      <c r="G143"/>
      <c r="H143"/>
      <c r="I143"/>
      <c r="J143"/>
      <c r="K143"/>
    </row>
    <row r="144" spans="2:11" x14ac:dyDescent="0.25">
      <c r="B144" s="14"/>
      <c r="D144"/>
      <c r="E144"/>
      <c r="F144"/>
      <c r="G144"/>
      <c r="H144"/>
      <c r="I144"/>
      <c r="J144"/>
      <c r="K144"/>
    </row>
    <row r="145" spans="2:11" x14ac:dyDescent="0.25">
      <c r="B145" s="14"/>
      <c r="D145"/>
      <c r="E145"/>
      <c r="F145"/>
      <c r="G145"/>
      <c r="H145"/>
      <c r="I145"/>
      <c r="J145"/>
      <c r="K145"/>
    </row>
    <row r="146" spans="2:11" x14ac:dyDescent="0.25">
      <c r="B146" s="14"/>
      <c r="D146"/>
      <c r="E146"/>
      <c r="F146"/>
      <c r="G146"/>
      <c r="H146"/>
      <c r="I146"/>
      <c r="J146"/>
      <c r="K146"/>
    </row>
    <row r="147" spans="2:11" x14ac:dyDescent="0.25">
      <c r="B147" s="14"/>
      <c r="D147"/>
      <c r="E147"/>
      <c r="F147"/>
      <c r="G147"/>
      <c r="H147"/>
      <c r="I147"/>
      <c r="J147"/>
      <c r="K147"/>
    </row>
    <row r="148" spans="2:11" x14ac:dyDescent="0.25">
      <c r="B148" s="14"/>
      <c r="D148"/>
      <c r="E148"/>
      <c r="F148"/>
      <c r="G148"/>
      <c r="H148"/>
      <c r="I148"/>
      <c r="J148"/>
      <c r="K148"/>
    </row>
    <row r="149" spans="2:11" x14ac:dyDescent="0.25">
      <c r="B149" s="14"/>
      <c r="D149"/>
      <c r="E149"/>
      <c r="F149"/>
      <c r="G149"/>
      <c r="H149"/>
      <c r="I149"/>
      <c r="J149"/>
      <c r="K149"/>
    </row>
    <row r="150" spans="2:11" x14ac:dyDescent="0.25">
      <c r="B150" s="14"/>
      <c r="D150"/>
      <c r="E150"/>
      <c r="F150"/>
      <c r="G150"/>
      <c r="H150"/>
      <c r="I150"/>
      <c r="J150"/>
      <c r="K150"/>
    </row>
    <row r="151" spans="2:11" x14ac:dyDescent="0.25">
      <c r="B151" s="14"/>
      <c r="D151"/>
      <c r="E151"/>
      <c r="F151"/>
      <c r="G151"/>
      <c r="H151"/>
      <c r="I151"/>
      <c r="J151"/>
      <c r="K151"/>
    </row>
    <row r="152" spans="2:11" x14ac:dyDescent="0.25">
      <c r="B152" s="14"/>
      <c r="D152"/>
      <c r="E152"/>
      <c r="F152"/>
      <c r="G152"/>
      <c r="H152"/>
      <c r="I152"/>
      <c r="J152"/>
      <c r="K152"/>
    </row>
    <row r="153" spans="2:11" x14ac:dyDescent="0.25">
      <c r="B153" s="14"/>
      <c r="D153"/>
      <c r="E153"/>
      <c r="F153"/>
      <c r="G153"/>
      <c r="H153"/>
      <c r="I153"/>
      <c r="J153"/>
      <c r="K153"/>
    </row>
    <row r="154" spans="2:11" x14ac:dyDescent="0.25">
      <c r="B154" s="14"/>
      <c r="D154"/>
      <c r="E154"/>
      <c r="F154"/>
      <c r="G154"/>
      <c r="H154"/>
      <c r="I154"/>
      <c r="J154"/>
      <c r="K154"/>
    </row>
    <row r="155" spans="2:11" x14ac:dyDescent="0.25">
      <c r="B155" s="14"/>
      <c r="D155"/>
      <c r="E155"/>
      <c r="F155"/>
      <c r="G155"/>
      <c r="H155"/>
      <c r="I155"/>
      <c r="J155"/>
      <c r="K155"/>
    </row>
    <row r="156" spans="2:11" x14ac:dyDescent="0.25">
      <c r="B156" s="14"/>
      <c r="D156"/>
      <c r="E156"/>
      <c r="F156"/>
      <c r="G156"/>
      <c r="H156"/>
      <c r="I156"/>
      <c r="J156"/>
      <c r="K156"/>
    </row>
    <row r="157" spans="2:11" x14ac:dyDescent="0.25">
      <c r="B157" s="14"/>
      <c r="D157"/>
      <c r="E157"/>
      <c r="F157"/>
      <c r="G157"/>
      <c r="H157"/>
      <c r="I157"/>
      <c r="J157"/>
      <c r="K157"/>
    </row>
    <row r="158" spans="2:11" x14ac:dyDescent="0.25">
      <c r="B158" s="14"/>
      <c r="D158"/>
      <c r="E158"/>
      <c r="F158"/>
      <c r="G158"/>
      <c r="H158"/>
      <c r="I158"/>
      <c r="J158"/>
      <c r="K158"/>
    </row>
    <row r="159" spans="2:11" x14ac:dyDescent="0.25">
      <c r="B159" s="14"/>
      <c r="D159"/>
      <c r="E159"/>
      <c r="F159"/>
      <c r="G159"/>
      <c r="H159"/>
      <c r="I159"/>
      <c r="J159"/>
      <c r="K159"/>
    </row>
    <row r="160" spans="2:11" x14ac:dyDescent="0.25">
      <c r="B160" s="14"/>
      <c r="D160"/>
      <c r="E160"/>
      <c r="F160"/>
      <c r="G160"/>
      <c r="H160"/>
      <c r="I160"/>
      <c r="J160"/>
      <c r="K160"/>
    </row>
    <row r="161" spans="2:11" x14ac:dyDescent="0.25">
      <c r="B161" s="14"/>
      <c r="D161"/>
      <c r="E161"/>
      <c r="F161"/>
      <c r="G161"/>
      <c r="H161"/>
      <c r="I161"/>
      <c r="J161"/>
      <c r="K161"/>
    </row>
    <row r="162" spans="2:11" x14ac:dyDescent="0.25">
      <c r="B162" s="14"/>
      <c r="D162"/>
      <c r="E162"/>
      <c r="F162"/>
      <c r="G162"/>
      <c r="H162"/>
      <c r="I162"/>
      <c r="J162"/>
      <c r="K162"/>
    </row>
    <row r="163" spans="2:11" x14ac:dyDescent="0.25">
      <c r="B163" s="14"/>
      <c r="D163"/>
      <c r="E163"/>
      <c r="F163"/>
      <c r="G163"/>
      <c r="H163"/>
      <c r="I163"/>
      <c r="J163"/>
      <c r="K163"/>
    </row>
    <row r="164" spans="2:11" x14ac:dyDescent="0.25">
      <c r="B164" s="14"/>
      <c r="D164"/>
      <c r="E164"/>
      <c r="F164"/>
      <c r="G164"/>
      <c r="H164"/>
      <c r="I164"/>
      <c r="J164"/>
      <c r="K164"/>
    </row>
    <row r="165" spans="2:11" x14ac:dyDescent="0.25">
      <c r="B165" s="14"/>
      <c r="D165"/>
      <c r="E165"/>
      <c r="F165"/>
      <c r="G165"/>
      <c r="H165"/>
      <c r="I165"/>
      <c r="J165"/>
      <c r="K165"/>
    </row>
    <row r="166" spans="2:11" x14ac:dyDescent="0.25">
      <c r="B166" s="14"/>
      <c r="D166"/>
      <c r="E166"/>
      <c r="F166"/>
      <c r="G166"/>
      <c r="H166"/>
      <c r="I166"/>
      <c r="J166"/>
      <c r="K166"/>
    </row>
    <row r="167" spans="2:11" x14ac:dyDescent="0.25">
      <c r="B167" s="14"/>
      <c r="D167"/>
      <c r="E167"/>
      <c r="F167"/>
      <c r="G167"/>
      <c r="H167"/>
      <c r="I167"/>
      <c r="J167"/>
      <c r="K167"/>
    </row>
    <row r="168" spans="2:11" x14ac:dyDescent="0.25">
      <c r="B168" s="14"/>
      <c r="D168"/>
      <c r="E168"/>
      <c r="F168"/>
      <c r="G168"/>
      <c r="H168"/>
      <c r="I168"/>
      <c r="J168"/>
      <c r="K168"/>
    </row>
    <row r="169" spans="2:11" x14ac:dyDescent="0.25">
      <c r="B169" s="14"/>
      <c r="D169"/>
      <c r="E169"/>
      <c r="F169"/>
      <c r="G169"/>
      <c r="H169"/>
      <c r="I169"/>
      <c r="J169"/>
      <c r="K169"/>
    </row>
    <row r="170" spans="2:11" x14ac:dyDescent="0.25">
      <c r="B170" s="14"/>
      <c r="D170"/>
      <c r="E170"/>
      <c r="F170"/>
      <c r="G170"/>
      <c r="H170"/>
      <c r="I170"/>
      <c r="J170"/>
      <c r="K170"/>
    </row>
    <row r="171" spans="2:11" x14ac:dyDescent="0.25">
      <c r="B171" s="14"/>
      <c r="D171"/>
      <c r="E171"/>
      <c r="F171"/>
      <c r="G171"/>
      <c r="H171"/>
      <c r="I171"/>
      <c r="J171"/>
      <c r="K171"/>
    </row>
    <row r="172" spans="2:11" x14ac:dyDescent="0.25">
      <c r="B172" s="14"/>
      <c r="D172"/>
      <c r="E172"/>
      <c r="F172"/>
      <c r="G172"/>
      <c r="H172"/>
      <c r="I172"/>
      <c r="J172"/>
      <c r="K172"/>
    </row>
    <row r="173" spans="2:11" x14ac:dyDescent="0.25">
      <c r="B173" s="14"/>
      <c r="D173"/>
      <c r="E173"/>
      <c r="F173"/>
      <c r="G173"/>
      <c r="H173"/>
      <c r="I173"/>
      <c r="J173"/>
      <c r="K173"/>
    </row>
    <row r="174" spans="2:11" x14ac:dyDescent="0.25">
      <c r="B174" s="14"/>
      <c r="D174"/>
      <c r="E174"/>
      <c r="F174"/>
      <c r="G174"/>
      <c r="H174"/>
      <c r="I174"/>
      <c r="J174"/>
      <c r="K174"/>
    </row>
    <row r="175" spans="2:11" x14ac:dyDescent="0.25">
      <c r="B175" s="14"/>
      <c r="D175"/>
      <c r="E175"/>
      <c r="F175"/>
      <c r="G175"/>
      <c r="H175"/>
      <c r="I175"/>
      <c r="J175"/>
      <c r="K175"/>
    </row>
    <row r="176" spans="2:11" x14ac:dyDescent="0.25">
      <c r="B176" s="14"/>
      <c r="D176"/>
      <c r="E176"/>
      <c r="F176"/>
      <c r="G176"/>
      <c r="H176"/>
      <c r="I176"/>
      <c r="J176"/>
      <c r="K176"/>
    </row>
    <row r="177" spans="2:11" x14ac:dyDescent="0.25">
      <c r="B177" s="14"/>
      <c r="D177"/>
      <c r="E177"/>
      <c r="F177"/>
      <c r="G177"/>
      <c r="H177"/>
      <c r="I177"/>
      <c r="J177"/>
      <c r="K177"/>
    </row>
    <row r="178" spans="2:11" x14ac:dyDescent="0.25">
      <c r="B178" s="14"/>
      <c r="D178"/>
      <c r="E178"/>
      <c r="F178"/>
      <c r="G178"/>
      <c r="H178"/>
      <c r="I178"/>
      <c r="J178"/>
      <c r="K178"/>
    </row>
    <row r="179" spans="2:11" x14ac:dyDescent="0.25">
      <c r="B179" s="14"/>
      <c r="D179"/>
      <c r="E179"/>
      <c r="F179"/>
      <c r="G179"/>
      <c r="H179"/>
      <c r="I179"/>
      <c r="J179"/>
      <c r="K179"/>
    </row>
    <row r="180" spans="2:11" x14ac:dyDescent="0.25">
      <c r="B180" s="14"/>
      <c r="D180"/>
      <c r="E180"/>
      <c r="F180"/>
      <c r="G180"/>
      <c r="H180"/>
      <c r="I180"/>
      <c r="J180"/>
      <c r="K180"/>
    </row>
    <row r="181" spans="2:11" x14ac:dyDescent="0.25">
      <c r="B181" s="14"/>
      <c r="D181"/>
      <c r="E181"/>
      <c r="F181"/>
      <c r="G181"/>
      <c r="H181"/>
      <c r="I181"/>
      <c r="J181"/>
      <c r="K181"/>
    </row>
    <row r="182" spans="2:11" x14ac:dyDescent="0.25">
      <c r="B182" s="14"/>
      <c r="D182"/>
      <c r="E182"/>
      <c r="F182"/>
      <c r="G182"/>
      <c r="H182"/>
      <c r="I182"/>
      <c r="J182"/>
      <c r="K182"/>
    </row>
    <row r="183" spans="2:11" x14ac:dyDescent="0.25">
      <c r="B183" s="14"/>
      <c r="D183"/>
      <c r="E183"/>
      <c r="F183"/>
      <c r="G183"/>
      <c r="H183"/>
      <c r="I183"/>
      <c r="J183"/>
      <c r="K183"/>
    </row>
    <row r="184" spans="2:11" x14ac:dyDescent="0.25">
      <c r="B184" s="14"/>
      <c r="D184"/>
      <c r="E184"/>
      <c r="F184"/>
      <c r="G184"/>
      <c r="H184"/>
      <c r="I184"/>
      <c r="J184"/>
      <c r="K184"/>
    </row>
    <row r="185" spans="2:11" x14ac:dyDescent="0.25">
      <c r="B185" s="14"/>
      <c r="D185"/>
      <c r="E185"/>
      <c r="F185"/>
      <c r="G185"/>
      <c r="H185"/>
      <c r="I185"/>
      <c r="J185"/>
      <c r="K185"/>
    </row>
    <row r="186" spans="2:11" x14ac:dyDescent="0.25">
      <c r="B186" s="14"/>
      <c r="D186"/>
      <c r="E186"/>
      <c r="F186"/>
      <c r="G186"/>
      <c r="H186"/>
      <c r="I186"/>
      <c r="J186"/>
      <c r="K186"/>
    </row>
    <row r="187" spans="2:11" x14ac:dyDescent="0.25">
      <c r="B187" s="14"/>
      <c r="D187"/>
      <c r="E187"/>
      <c r="F187"/>
      <c r="G187"/>
      <c r="H187"/>
      <c r="I187"/>
      <c r="J187"/>
      <c r="K187"/>
    </row>
    <row r="188" spans="2:11" x14ac:dyDescent="0.25">
      <c r="B188" s="14"/>
      <c r="D188"/>
      <c r="E188"/>
      <c r="F188"/>
      <c r="G188"/>
      <c r="H188"/>
      <c r="I188"/>
      <c r="J188"/>
      <c r="K188"/>
    </row>
    <row r="189" spans="2:11" x14ac:dyDescent="0.25">
      <c r="B189" s="14"/>
      <c r="D189"/>
      <c r="E189"/>
      <c r="F189"/>
      <c r="G189"/>
      <c r="H189"/>
      <c r="I189"/>
      <c r="J189"/>
      <c r="K189"/>
    </row>
    <row r="190" spans="2:11" x14ac:dyDescent="0.25">
      <c r="B190" s="14"/>
      <c r="D190"/>
      <c r="E190"/>
      <c r="F190"/>
      <c r="G190"/>
      <c r="H190"/>
      <c r="I190"/>
      <c r="J190"/>
      <c r="K190"/>
    </row>
    <row r="191" spans="2:11" x14ac:dyDescent="0.25">
      <c r="B191" s="14"/>
      <c r="D191"/>
      <c r="E191"/>
      <c r="F191"/>
      <c r="G191"/>
      <c r="H191"/>
      <c r="I191"/>
      <c r="J191"/>
      <c r="K191"/>
    </row>
    <row r="192" spans="2:11" x14ac:dyDescent="0.25">
      <c r="B192" s="14"/>
      <c r="D192"/>
      <c r="E192"/>
      <c r="F192"/>
      <c r="G192"/>
      <c r="H192"/>
      <c r="I192"/>
      <c r="J192"/>
      <c r="K192"/>
    </row>
    <row r="193" spans="2:11" x14ac:dyDescent="0.25">
      <c r="B193" s="14"/>
      <c r="D193"/>
      <c r="E193"/>
      <c r="F193"/>
      <c r="G193"/>
      <c r="H193"/>
      <c r="I193"/>
      <c r="J193"/>
      <c r="K193"/>
    </row>
    <row r="194" spans="2:11" x14ac:dyDescent="0.25">
      <c r="B194" s="14"/>
      <c r="D194"/>
      <c r="E194"/>
      <c r="F194"/>
      <c r="G194"/>
      <c r="H194"/>
      <c r="I194"/>
      <c r="J194"/>
      <c r="K194"/>
    </row>
    <row r="195" spans="2:11" x14ac:dyDescent="0.25">
      <c r="B195" s="14"/>
      <c r="D195"/>
      <c r="E195"/>
      <c r="F195"/>
      <c r="G195"/>
      <c r="H195"/>
      <c r="I195"/>
      <c r="J195"/>
      <c r="K195"/>
    </row>
    <row r="196" spans="2:11" x14ac:dyDescent="0.25">
      <c r="B196" s="14"/>
      <c r="D196"/>
      <c r="E196"/>
      <c r="F196"/>
      <c r="G196"/>
      <c r="H196"/>
      <c r="I196"/>
      <c r="J196"/>
      <c r="K196"/>
    </row>
    <row r="197" spans="2:11" x14ac:dyDescent="0.25">
      <c r="B197" s="14"/>
      <c r="D197"/>
      <c r="E197"/>
      <c r="F197"/>
      <c r="G197"/>
      <c r="H197"/>
      <c r="I197"/>
      <c r="J197"/>
      <c r="K197"/>
    </row>
    <row r="198" spans="2:11" x14ac:dyDescent="0.25">
      <c r="B198" s="14"/>
      <c r="D198"/>
      <c r="E198"/>
      <c r="F198"/>
      <c r="G198"/>
      <c r="H198"/>
      <c r="I198"/>
      <c r="J198"/>
      <c r="K198"/>
    </row>
    <row r="199" spans="2:11" x14ac:dyDescent="0.25">
      <c r="B199" s="14"/>
      <c r="D199"/>
      <c r="E199"/>
      <c r="F199"/>
      <c r="G199"/>
      <c r="H199"/>
      <c r="I199"/>
      <c r="J199"/>
      <c r="K199"/>
    </row>
    <row r="200" spans="2:11" x14ac:dyDescent="0.25">
      <c r="B200" s="14"/>
      <c r="D200"/>
      <c r="E200"/>
      <c r="F200"/>
      <c r="G200"/>
      <c r="H200"/>
      <c r="I200"/>
      <c r="J200"/>
      <c r="K200"/>
    </row>
    <row r="201" spans="2:11" x14ac:dyDescent="0.25">
      <c r="B201" s="14"/>
      <c r="D201"/>
      <c r="E201"/>
      <c r="F201"/>
      <c r="G201"/>
      <c r="H201"/>
      <c r="I201"/>
      <c r="J201"/>
      <c r="K201"/>
    </row>
    <row r="202" spans="2:11" x14ac:dyDescent="0.25">
      <c r="B202" s="14"/>
      <c r="D202"/>
      <c r="E202"/>
      <c r="F202"/>
      <c r="G202"/>
      <c r="H202"/>
      <c r="I202"/>
      <c r="J202"/>
      <c r="K202"/>
    </row>
    <row r="203" spans="2:11" x14ac:dyDescent="0.25">
      <c r="B203" s="14"/>
      <c r="D203"/>
      <c r="E203"/>
      <c r="F203"/>
      <c r="G203"/>
      <c r="H203"/>
      <c r="I203"/>
      <c r="J203"/>
      <c r="K203"/>
    </row>
    <row r="204" spans="2:11" x14ac:dyDescent="0.25">
      <c r="B204" s="14"/>
      <c r="D204"/>
      <c r="E204"/>
      <c r="F204"/>
      <c r="G204"/>
      <c r="H204"/>
      <c r="I204"/>
      <c r="J204"/>
      <c r="K204"/>
    </row>
    <row r="205" spans="2:11" x14ac:dyDescent="0.25">
      <c r="B205" s="14"/>
      <c r="D205"/>
      <c r="E205"/>
      <c r="F205"/>
      <c r="G205"/>
      <c r="H205"/>
      <c r="I205"/>
      <c r="J205"/>
      <c r="K205"/>
    </row>
    <row r="206" spans="2:11" x14ac:dyDescent="0.25">
      <c r="B206" s="14"/>
      <c r="D206"/>
      <c r="E206"/>
      <c r="F206"/>
      <c r="G206"/>
      <c r="H206"/>
      <c r="I206"/>
      <c r="J206"/>
      <c r="K206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F80662-C4DE-4CD8-BF0D-D8B36DB0B250}">
  <sheetPr codeName="Sheet5"/>
  <dimension ref="A1:G109"/>
  <sheetViews>
    <sheetView topLeftCell="A14" workbookViewId="0">
      <selection activeCell="B1" sqref="B1"/>
    </sheetView>
  </sheetViews>
  <sheetFormatPr defaultRowHeight="15" x14ac:dyDescent="0.25"/>
  <cols>
    <col min="1" max="1" width="5.140625" bestFit="1" customWidth="1"/>
    <col min="2" max="2" width="27.5703125" bestFit="1" customWidth="1"/>
    <col min="3" max="3" width="8.42578125" bestFit="1" customWidth="1"/>
    <col min="4" max="4" width="9.5703125" bestFit="1" customWidth="1"/>
    <col min="5" max="5" width="18.42578125" bestFit="1" customWidth="1"/>
    <col min="6" max="6" width="14" bestFit="1" customWidth="1"/>
    <col min="7" max="7" width="8.5703125" bestFit="1" customWidth="1"/>
  </cols>
  <sheetData>
    <row r="1" spans="1:7" x14ac:dyDescent="0.25">
      <c r="A1"/>
      <c r="B1"/>
      <c r="C1"/>
      <c r="D1"/>
      <c r="E1"/>
      <c r="F1"/>
      <c r="G1"/>
    </row>
    <row r="2" spans="1:7" x14ac:dyDescent="0.25">
      <c r="A2"/>
      <c r="B2" s="14"/>
      <c r="C2" s="14"/>
      <c r="D2" s="14"/>
      <c r="E2" s="14"/>
      <c r="F2" s="14"/>
      <c r="G2" s="14"/>
    </row>
    <row r="3" spans="1:7" x14ac:dyDescent="0.25">
      <c r="A3"/>
      <c r="B3" s="14"/>
      <c r="C3" s="14"/>
      <c r="D3" s="14"/>
      <c r="E3" s="14"/>
      <c r="F3" s="14"/>
      <c r="G3" s="14"/>
    </row>
    <row r="4" spans="1:7" x14ac:dyDescent="0.25">
      <c r="A4"/>
      <c r="B4" s="14"/>
      <c r="C4" s="14"/>
      <c r="D4" s="14"/>
      <c r="E4" s="14"/>
      <c r="F4" s="14"/>
      <c r="G4" s="14"/>
    </row>
    <row r="5" spans="1:7" x14ac:dyDescent="0.25">
      <c r="A5"/>
      <c r="B5" s="14"/>
      <c r="C5" s="14"/>
      <c r="D5" s="14"/>
      <c r="E5" s="14"/>
      <c r="F5" s="14"/>
      <c r="G5" s="14"/>
    </row>
    <row r="6" spans="1:7" x14ac:dyDescent="0.25">
      <c r="A6"/>
      <c r="B6" s="14"/>
      <c r="C6" s="14"/>
      <c r="D6" s="14"/>
      <c r="E6" s="14"/>
      <c r="F6" s="14"/>
      <c r="G6" s="14"/>
    </row>
    <row r="7" spans="1:7" x14ac:dyDescent="0.25">
      <c r="A7"/>
      <c r="B7" s="14"/>
      <c r="C7" s="14"/>
      <c r="D7" s="14"/>
      <c r="E7" s="14"/>
      <c r="F7" s="14"/>
      <c r="G7" s="14"/>
    </row>
    <row r="8" spans="1:7" x14ac:dyDescent="0.25">
      <c r="A8"/>
      <c r="B8" s="14"/>
      <c r="C8" s="14"/>
      <c r="D8" s="14"/>
      <c r="E8" s="14"/>
      <c r="F8" s="14"/>
      <c r="G8" s="14"/>
    </row>
    <row r="9" spans="1:7" x14ac:dyDescent="0.25">
      <c r="A9"/>
      <c r="B9" s="14"/>
      <c r="C9" s="14"/>
      <c r="D9" s="14"/>
      <c r="E9" s="14"/>
      <c r="F9" s="14"/>
      <c r="G9" s="14"/>
    </row>
    <row r="10" spans="1:7" x14ac:dyDescent="0.25">
      <c r="A10"/>
      <c r="B10" s="14"/>
      <c r="C10" s="14"/>
      <c r="D10" s="14"/>
      <c r="E10" s="14"/>
      <c r="F10" s="14"/>
      <c r="G10" s="14"/>
    </row>
    <row r="11" spans="1:7" x14ac:dyDescent="0.25">
      <c r="A11"/>
      <c r="B11" s="14"/>
      <c r="C11" s="14"/>
      <c r="D11" s="14"/>
      <c r="E11" s="14"/>
      <c r="F11" s="14"/>
      <c r="G11" s="14"/>
    </row>
    <row r="12" spans="1:7" x14ac:dyDescent="0.25">
      <c r="A12"/>
      <c r="B12" s="14"/>
      <c r="C12" s="14"/>
      <c r="D12" s="14"/>
      <c r="E12" s="14"/>
      <c r="F12" s="14"/>
      <c r="G12" s="14"/>
    </row>
    <row r="13" spans="1:7" x14ac:dyDescent="0.25">
      <c r="A13"/>
      <c r="B13" s="14"/>
      <c r="C13" s="14"/>
      <c r="D13" s="14"/>
      <c r="E13" s="14"/>
      <c r="F13" s="14"/>
      <c r="G13" s="14"/>
    </row>
    <row r="14" spans="1:7" x14ac:dyDescent="0.25">
      <c r="A14"/>
      <c r="B14" s="14"/>
      <c r="C14" s="14"/>
      <c r="D14" s="14"/>
      <c r="E14" s="14"/>
      <c r="F14" s="14"/>
      <c r="G14" s="14"/>
    </row>
    <row r="15" spans="1:7" x14ac:dyDescent="0.25">
      <c r="A15"/>
      <c r="B15" s="14"/>
      <c r="C15" s="14"/>
      <c r="D15" s="14"/>
      <c r="E15" s="14"/>
      <c r="F15" s="14"/>
      <c r="G15" s="14"/>
    </row>
    <row r="16" spans="1:7" x14ac:dyDescent="0.25">
      <c r="A16"/>
      <c r="B16" s="14"/>
      <c r="C16" s="14"/>
      <c r="D16" s="14"/>
      <c r="E16" s="14"/>
      <c r="F16" s="14"/>
      <c r="G16" s="14"/>
    </row>
    <row r="17" spans="1:7" x14ac:dyDescent="0.25">
      <c r="A17"/>
      <c r="B17" s="14"/>
      <c r="C17" s="14"/>
      <c r="D17" s="14"/>
      <c r="E17" s="14"/>
      <c r="F17" s="14"/>
      <c r="G17" s="14"/>
    </row>
    <row r="18" spans="1:7" x14ac:dyDescent="0.25">
      <c r="A18"/>
      <c r="B18" s="14"/>
      <c r="C18" s="14"/>
      <c r="D18" s="14"/>
      <c r="E18" s="14"/>
      <c r="F18" s="14"/>
      <c r="G18" s="14"/>
    </row>
    <row r="19" spans="1:7" x14ac:dyDescent="0.25">
      <c r="A19"/>
      <c r="B19" s="14"/>
      <c r="C19" s="14"/>
      <c r="D19" s="14"/>
      <c r="E19" s="14"/>
      <c r="F19" s="14"/>
      <c r="G19" s="14"/>
    </row>
    <row r="20" spans="1:7" x14ac:dyDescent="0.25">
      <c r="A20"/>
      <c r="B20" s="14"/>
      <c r="C20" s="14"/>
      <c r="D20" s="14"/>
      <c r="E20" s="14"/>
      <c r="F20" s="14"/>
      <c r="G20" s="14"/>
    </row>
    <row r="21" spans="1:7" x14ac:dyDescent="0.25">
      <c r="A21"/>
      <c r="B21" s="14"/>
      <c r="C21" s="14"/>
      <c r="D21" s="14"/>
      <c r="E21" s="14"/>
      <c r="F21" s="14"/>
      <c r="G21" s="14"/>
    </row>
    <row r="22" spans="1:7" x14ac:dyDescent="0.25">
      <c r="A22"/>
      <c r="B22" s="14"/>
      <c r="C22" s="14"/>
      <c r="D22" s="14"/>
      <c r="E22" s="14"/>
      <c r="F22" s="14"/>
      <c r="G22" s="14"/>
    </row>
    <row r="23" spans="1:7" x14ac:dyDescent="0.25">
      <c r="A23"/>
      <c r="B23" s="14"/>
      <c r="C23" s="14"/>
      <c r="D23" s="14"/>
      <c r="E23" s="14"/>
      <c r="F23" s="14"/>
      <c r="G23" s="14"/>
    </row>
    <row r="24" spans="1:7" x14ac:dyDescent="0.25">
      <c r="A24"/>
      <c r="B24" s="14"/>
      <c r="C24" s="14"/>
      <c r="D24" s="14"/>
      <c r="E24" s="14"/>
      <c r="F24" s="14"/>
      <c r="G24" s="14"/>
    </row>
    <row r="25" spans="1:7" x14ac:dyDescent="0.25">
      <c r="A25"/>
      <c r="B25" s="14"/>
      <c r="C25" s="14"/>
      <c r="D25" s="14"/>
      <c r="E25" s="14"/>
      <c r="F25" s="14"/>
      <c r="G25" s="14"/>
    </row>
    <row r="26" spans="1:7" x14ac:dyDescent="0.25">
      <c r="A26"/>
      <c r="B26" s="14"/>
      <c r="C26" s="14"/>
      <c r="D26" s="14"/>
      <c r="E26" s="14"/>
      <c r="F26" s="14"/>
      <c r="G26" s="14"/>
    </row>
    <row r="27" spans="1:7" x14ac:dyDescent="0.25">
      <c r="A27"/>
      <c r="B27" s="14"/>
      <c r="C27" s="14"/>
      <c r="D27" s="14"/>
      <c r="E27" s="14"/>
      <c r="F27" s="14"/>
      <c r="G27" s="14"/>
    </row>
    <row r="28" spans="1:7" x14ac:dyDescent="0.25">
      <c r="A28"/>
      <c r="B28" s="14"/>
      <c r="C28" s="14"/>
      <c r="D28" s="14"/>
      <c r="E28" s="14"/>
      <c r="F28" s="14"/>
      <c r="G28" s="14"/>
    </row>
    <row r="29" spans="1:7" x14ac:dyDescent="0.25">
      <c r="A29"/>
      <c r="B29" s="14"/>
      <c r="C29" s="14"/>
      <c r="D29" s="14"/>
      <c r="E29" s="14"/>
      <c r="F29" s="14"/>
      <c r="G29" s="14"/>
    </row>
    <row r="30" spans="1:7" x14ac:dyDescent="0.25">
      <c r="A30"/>
      <c r="B30" s="14"/>
      <c r="C30" s="14"/>
      <c r="D30" s="14"/>
      <c r="E30" s="14"/>
      <c r="F30" s="14"/>
      <c r="G30" s="14"/>
    </row>
    <row r="31" spans="1:7" x14ac:dyDescent="0.25">
      <c r="A31"/>
      <c r="B31" s="14"/>
      <c r="C31" s="14"/>
      <c r="D31" s="14"/>
      <c r="E31" s="14"/>
      <c r="F31" s="14"/>
      <c r="G31" s="14"/>
    </row>
    <row r="32" spans="1:7" x14ac:dyDescent="0.25">
      <c r="A32"/>
      <c r="B32" s="14"/>
      <c r="C32" s="14"/>
      <c r="D32" s="14"/>
      <c r="E32" s="14"/>
      <c r="F32" s="14"/>
      <c r="G32" s="14"/>
    </row>
    <row r="33" spans="1:7" x14ac:dyDescent="0.25">
      <c r="A33"/>
      <c r="B33" s="14"/>
      <c r="C33" s="14"/>
      <c r="D33" s="14"/>
      <c r="E33" s="14"/>
      <c r="F33" s="14"/>
      <c r="G33" s="14"/>
    </row>
    <row r="34" spans="1:7" x14ac:dyDescent="0.25">
      <c r="A34"/>
      <c r="B34" s="14"/>
      <c r="C34" s="14"/>
      <c r="D34" s="14"/>
      <c r="E34" s="14"/>
      <c r="F34" s="14"/>
      <c r="G34" s="14"/>
    </row>
    <row r="35" spans="1:7" x14ac:dyDescent="0.25">
      <c r="A35"/>
      <c r="B35" s="14"/>
      <c r="C35" s="14"/>
      <c r="D35" s="14"/>
      <c r="E35" s="14"/>
      <c r="F35" s="14"/>
      <c r="G35" s="14"/>
    </row>
    <row r="36" spans="1:7" x14ac:dyDescent="0.25">
      <c r="A36"/>
      <c r="B36" s="14"/>
      <c r="C36" s="14"/>
      <c r="D36" s="14"/>
      <c r="E36" s="14"/>
      <c r="F36" s="14"/>
      <c r="G36" s="14"/>
    </row>
    <row r="37" spans="1:7" x14ac:dyDescent="0.25">
      <c r="A37"/>
      <c r="B37" s="14"/>
      <c r="C37" s="14"/>
      <c r="D37" s="14"/>
      <c r="E37" s="14"/>
      <c r="F37" s="14"/>
      <c r="G37" s="14"/>
    </row>
    <row r="38" spans="1:7" x14ac:dyDescent="0.25">
      <c r="A38"/>
      <c r="B38" s="14"/>
      <c r="C38" s="14"/>
      <c r="D38" s="14"/>
      <c r="E38" s="14"/>
      <c r="F38" s="14"/>
      <c r="G38" s="14"/>
    </row>
    <row r="39" spans="1:7" x14ac:dyDescent="0.25">
      <c r="A39"/>
      <c r="B39" s="14"/>
      <c r="C39" s="14"/>
      <c r="D39" s="14"/>
      <c r="E39" s="14"/>
      <c r="F39" s="14"/>
      <c r="G39" s="14"/>
    </row>
    <row r="40" spans="1:7" x14ac:dyDescent="0.25">
      <c r="A40"/>
      <c r="B40" s="14"/>
      <c r="C40" s="14"/>
      <c r="D40" s="14"/>
      <c r="E40" s="14"/>
      <c r="F40" s="14"/>
      <c r="G40" s="14"/>
    </row>
    <row r="41" spans="1:7" x14ac:dyDescent="0.25">
      <c r="A41"/>
      <c r="B41" s="14"/>
      <c r="C41" s="14"/>
      <c r="D41" s="14"/>
      <c r="E41" s="14"/>
      <c r="F41" s="14"/>
      <c r="G41" s="14"/>
    </row>
    <row r="42" spans="1:7" x14ac:dyDescent="0.25">
      <c r="A42"/>
      <c r="B42" s="14"/>
      <c r="C42" s="14"/>
      <c r="D42" s="14"/>
      <c r="E42" s="14"/>
      <c r="F42" s="14"/>
      <c r="G42" s="14"/>
    </row>
    <row r="43" spans="1:7" x14ac:dyDescent="0.25">
      <c r="A43"/>
      <c r="B43" s="14"/>
      <c r="C43" s="14"/>
      <c r="D43" s="14"/>
      <c r="E43" s="14"/>
      <c r="F43" s="14"/>
      <c r="G43" s="14"/>
    </row>
    <row r="44" spans="1:7" x14ac:dyDescent="0.25">
      <c r="A44"/>
      <c r="B44" s="14"/>
      <c r="C44" s="14"/>
      <c r="D44" s="14"/>
      <c r="E44" s="14"/>
      <c r="F44" s="14"/>
      <c r="G44" s="14"/>
    </row>
    <row r="45" spans="1:7" x14ac:dyDescent="0.25">
      <c r="A45"/>
      <c r="B45" s="14"/>
      <c r="C45" s="14"/>
      <c r="D45" s="14"/>
      <c r="E45" s="14"/>
      <c r="F45" s="14"/>
      <c r="G45" s="14"/>
    </row>
    <row r="46" spans="1:7" x14ac:dyDescent="0.25">
      <c r="A46"/>
      <c r="B46" s="14"/>
      <c r="C46" s="14"/>
      <c r="D46" s="14"/>
      <c r="E46" s="14"/>
      <c r="F46" s="14"/>
      <c r="G46" s="14"/>
    </row>
    <row r="47" spans="1:7" x14ac:dyDescent="0.25">
      <c r="A47"/>
      <c r="B47" s="14"/>
      <c r="C47" s="14"/>
      <c r="D47" s="14"/>
      <c r="E47" s="14"/>
      <c r="F47" s="14"/>
      <c r="G47" s="14"/>
    </row>
    <row r="48" spans="1:7" x14ac:dyDescent="0.25">
      <c r="A48"/>
      <c r="B48" s="14"/>
      <c r="C48" s="14"/>
      <c r="D48" s="14"/>
      <c r="E48" s="14"/>
      <c r="F48" s="14"/>
      <c r="G48" s="14"/>
    </row>
    <row r="49" spans="1:7" x14ac:dyDescent="0.25">
      <c r="A49"/>
      <c r="B49" s="14"/>
      <c r="C49" s="14"/>
      <c r="D49" s="14"/>
      <c r="E49" s="14"/>
      <c r="F49" s="14"/>
      <c r="G49" s="14"/>
    </row>
    <row r="50" spans="1:7" x14ac:dyDescent="0.25">
      <c r="A50"/>
      <c r="B50" s="14"/>
      <c r="C50" s="14"/>
      <c r="D50" s="14"/>
      <c r="E50" s="14"/>
      <c r="F50" s="14"/>
      <c r="G50" s="14"/>
    </row>
    <row r="51" spans="1:7" x14ac:dyDescent="0.25">
      <c r="A51"/>
      <c r="B51" s="14"/>
      <c r="C51" s="14"/>
      <c r="D51" s="14"/>
      <c r="E51" s="14"/>
      <c r="F51" s="14"/>
      <c r="G51" s="14"/>
    </row>
    <row r="52" spans="1:7" x14ac:dyDescent="0.25">
      <c r="A52"/>
      <c r="B52" s="14"/>
      <c r="C52" s="14"/>
      <c r="D52" s="14"/>
      <c r="E52" s="14"/>
      <c r="F52" s="14"/>
      <c r="G52" s="14"/>
    </row>
    <row r="53" spans="1:7" x14ac:dyDescent="0.25">
      <c r="A53"/>
      <c r="B53" s="14"/>
      <c r="C53" s="14"/>
      <c r="D53" s="14"/>
      <c r="E53" s="14"/>
      <c r="F53" s="14"/>
      <c r="G53" s="14"/>
    </row>
    <row r="54" spans="1:7" x14ac:dyDescent="0.25">
      <c r="A54"/>
      <c r="B54" s="14"/>
      <c r="C54" s="14"/>
      <c r="D54" s="14"/>
      <c r="E54" s="14"/>
      <c r="F54" s="14"/>
      <c r="G54" s="14"/>
    </row>
    <row r="55" spans="1:7" x14ac:dyDescent="0.25">
      <c r="A55"/>
      <c r="B55" s="14"/>
      <c r="C55" s="14"/>
      <c r="D55" s="14"/>
      <c r="E55" s="14"/>
      <c r="F55" s="14"/>
      <c r="G55" s="14"/>
    </row>
    <row r="56" spans="1:7" x14ac:dyDescent="0.25">
      <c r="A56"/>
      <c r="B56" s="14"/>
      <c r="C56" s="14"/>
      <c r="D56" s="14"/>
      <c r="E56" s="14"/>
      <c r="F56" s="14"/>
      <c r="G56" s="14"/>
    </row>
    <row r="57" spans="1:7" x14ac:dyDescent="0.25">
      <c r="A57"/>
      <c r="B57" s="14"/>
      <c r="C57" s="14"/>
      <c r="D57" s="14"/>
      <c r="E57" s="14"/>
      <c r="F57" s="14"/>
      <c r="G57" s="14"/>
    </row>
    <row r="58" spans="1:7" x14ac:dyDescent="0.25">
      <c r="A58"/>
      <c r="B58" s="14"/>
      <c r="C58" s="14"/>
      <c r="D58" s="14"/>
      <c r="E58" s="14"/>
      <c r="F58" s="14"/>
      <c r="G58" s="14"/>
    </row>
    <row r="59" spans="1:7" x14ac:dyDescent="0.25">
      <c r="A59"/>
      <c r="B59" s="14"/>
      <c r="C59" s="14"/>
      <c r="D59" s="14"/>
      <c r="E59" s="14"/>
      <c r="F59" s="14"/>
      <c r="G59" s="14"/>
    </row>
    <row r="60" spans="1:7" x14ac:dyDescent="0.25">
      <c r="A60"/>
      <c r="B60" s="14"/>
      <c r="C60" s="14"/>
      <c r="D60" s="14"/>
      <c r="E60" s="14"/>
      <c r="F60" s="14"/>
      <c r="G60" s="14"/>
    </row>
    <row r="61" spans="1:7" x14ac:dyDescent="0.25">
      <c r="A61"/>
      <c r="B61" s="14"/>
      <c r="C61" s="14"/>
      <c r="D61" s="14"/>
      <c r="E61" s="14"/>
      <c r="F61" s="14"/>
      <c r="G61" s="14"/>
    </row>
    <row r="62" spans="1:7" x14ac:dyDescent="0.25">
      <c r="A62"/>
      <c r="B62" s="14"/>
      <c r="C62" s="14"/>
      <c r="D62" s="14"/>
      <c r="E62" s="14"/>
      <c r="F62" s="14"/>
      <c r="G62" s="14"/>
    </row>
    <row r="63" spans="1:7" x14ac:dyDescent="0.25">
      <c r="A63"/>
      <c r="B63" s="14"/>
      <c r="C63" s="14"/>
      <c r="D63" s="14"/>
      <c r="E63" s="14"/>
      <c r="F63" s="14"/>
      <c r="G63" s="14"/>
    </row>
    <row r="64" spans="1:7" x14ac:dyDescent="0.25">
      <c r="A64"/>
      <c r="B64" s="14"/>
      <c r="C64" s="14"/>
      <c r="D64" s="14"/>
      <c r="E64" s="14"/>
      <c r="F64" s="14"/>
      <c r="G64" s="14"/>
    </row>
    <row r="65" spans="1:7" x14ac:dyDescent="0.25">
      <c r="A65"/>
      <c r="B65" s="14"/>
      <c r="C65" s="14"/>
      <c r="D65" s="14"/>
      <c r="E65" s="14"/>
      <c r="F65" s="14"/>
      <c r="G65" s="14"/>
    </row>
    <row r="66" spans="1:7" x14ac:dyDescent="0.25">
      <c r="A66"/>
      <c r="B66" s="14"/>
      <c r="C66" s="14"/>
      <c r="D66" s="14"/>
      <c r="E66" s="14"/>
      <c r="F66" s="14"/>
      <c r="G66" s="14"/>
    </row>
    <row r="67" spans="1:7" x14ac:dyDescent="0.25">
      <c r="A67"/>
      <c r="B67" s="14"/>
      <c r="C67" s="14"/>
      <c r="D67" s="14"/>
      <c r="E67" s="14"/>
      <c r="F67" s="14"/>
      <c r="G67" s="14"/>
    </row>
    <row r="68" spans="1:7" x14ac:dyDescent="0.25">
      <c r="A68"/>
      <c r="B68" s="14"/>
      <c r="C68" s="14"/>
      <c r="D68" s="14"/>
      <c r="E68" s="14"/>
      <c r="F68" s="14"/>
      <c r="G68" s="14"/>
    </row>
    <row r="69" spans="1:7" x14ac:dyDescent="0.25">
      <c r="A69"/>
      <c r="B69" s="14"/>
      <c r="C69" s="14"/>
      <c r="D69" s="14"/>
      <c r="E69" s="14"/>
      <c r="F69" s="14"/>
      <c r="G69" s="14"/>
    </row>
    <row r="70" spans="1:7" x14ac:dyDescent="0.25">
      <c r="A70"/>
      <c r="B70" s="14"/>
      <c r="C70" s="14"/>
      <c r="D70" s="14"/>
      <c r="E70" s="14"/>
      <c r="F70" s="14"/>
      <c r="G70" s="14"/>
    </row>
    <row r="71" spans="1:7" x14ac:dyDescent="0.25">
      <c r="A71"/>
      <c r="B71" s="14"/>
      <c r="C71" s="14"/>
      <c r="D71" s="14"/>
      <c r="E71" s="14"/>
      <c r="F71" s="14"/>
      <c r="G71" s="14"/>
    </row>
    <row r="72" spans="1:7" x14ac:dyDescent="0.25">
      <c r="A72"/>
      <c r="B72" s="14"/>
      <c r="C72" s="14"/>
      <c r="D72" s="14"/>
      <c r="E72" s="14"/>
      <c r="F72" s="14"/>
      <c r="G72" s="14"/>
    </row>
    <row r="73" spans="1:7" x14ac:dyDescent="0.25">
      <c r="A73"/>
      <c r="B73" s="14"/>
      <c r="C73" s="14"/>
      <c r="D73" s="14"/>
      <c r="E73" s="14"/>
      <c r="F73" s="14"/>
      <c r="G73" s="14"/>
    </row>
    <row r="74" spans="1:7" x14ac:dyDescent="0.25">
      <c r="A74"/>
      <c r="B74" s="14"/>
      <c r="C74" s="14"/>
      <c r="D74" s="14"/>
      <c r="E74" s="14"/>
      <c r="F74" s="14"/>
      <c r="G74" s="14"/>
    </row>
    <row r="75" spans="1:7" x14ac:dyDescent="0.25">
      <c r="A75"/>
      <c r="B75" s="14"/>
      <c r="C75" s="14"/>
      <c r="D75" s="14"/>
      <c r="E75" s="14"/>
      <c r="F75" s="14"/>
      <c r="G75" s="14"/>
    </row>
    <row r="76" spans="1:7" x14ac:dyDescent="0.25">
      <c r="A76"/>
      <c r="B76" s="14"/>
      <c r="C76" s="14"/>
      <c r="D76" s="14"/>
      <c r="E76" s="14"/>
      <c r="F76" s="14"/>
      <c r="G76" s="14"/>
    </row>
    <row r="77" spans="1:7" x14ac:dyDescent="0.25">
      <c r="A77"/>
      <c r="B77" s="14"/>
      <c r="C77" s="14"/>
      <c r="D77" s="14"/>
      <c r="E77" s="14"/>
      <c r="F77" s="14"/>
      <c r="G77" s="14"/>
    </row>
    <row r="78" spans="1:7" x14ac:dyDescent="0.25">
      <c r="A78"/>
      <c r="B78" s="14"/>
      <c r="C78" s="14"/>
      <c r="D78" s="14"/>
      <c r="E78" s="14"/>
      <c r="F78" s="14"/>
      <c r="G78" s="14"/>
    </row>
    <row r="79" spans="1:7" x14ac:dyDescent="0.25">
      <c r="A79"/>
      <c r="B79" s="14"/>
      <c r="C79" s="14"/>
      <c r="D79" s="14"/>
      <c r="E79" s="14"/>
      <c r="F79" s="14"/>
      <c r="G79" s="14"/>
    </row>
    <row r="80" spans="1:7" x14ac:dyDescent="0.25">
      <c r="A80"/>
      <c r="B80" s="14"/>
      <c r="C80" s="14"/>
      <c r="D80" s="14"/>
      <c r="E80" s="14"/>
      <c r="F80" s="14"/>
      <c r="G80" s="14"/>
    </row>
    <row r="81" spans="1:7" x14ac:dyDescent="0.25">
      <c r="A81"/>
      <c r="B81" s="14"/>
      <c r="C81" s="14"/>
      <c r="D81" s="14"/>
      <c r="E81" s="14"/>
      <c r="F81" s="14"/>
      <c r="G81" s="14"/>
    </row>
    <row r="82" spans="1:7" x14ac:dyDescent="0.25">
      <c r="A82"/>
      <c r="B82" s="14"/>
      <c r="C82" s="14"/>
      <c r="D82" s="14"/>
      <c r="E82" s="14"/>
      <c r="F82" s="14"/>
      <c r="G82" s="14"/>
    </row>
    <row r="83" spans="1:7" x14ac:dyDescent="0.25">
      <c r="A83"/>
      <c r="B83" s="14"/>
      <c r="C83" s="14"/>
      <c r="D83" s="14"/>
      <c r="E83" s="14"/>
      <c r="F83" s="14"/>
      <c r="G83" s="14"/>
    </row>
    <row r="84" spans="1:7" x14ac:dyDescent="0.25">
      <c r="A84"/>
      <c r="B84" s="14"/>
      <c r="C84" s="14"/>
      <c r="D84" s="14"/>
      <c r="E84" s="14"/>
      <c r="F84" s="14"/>
      <c r="G84" s="14"/>
    </row>
    <row r="85" spans="1:7" x14ac:dyDescent="0.25">
      <c r="A85"/>
      <c r="B85" s="14"/>
      <c r="C85" s="14"/>
      <c r="D85" s="14"/>
      <c r="E85" s="14"/>
      <c r="F85" s="14"/>
      <c r="G85" s="14"/>
    </row>
    <row r="86" spans="1:7" x14ac:dyDescent="0.25">
      <c r="A86"/>
      <c r="B86" s="14"/>
      <c r="C86" s="14"/>
      <c r="D86" s="14"/>
      <c r="E86" s="14"/>
      <c r="F86" s="14"/>
      <c r="G86" s="14"/>
    </row>
    <row r="87" spans="1:7" x14ac:dyDescent="0.25">
      <c r="A87"/>
      <c r="B87" s="14"/>
      <c r="C87" s="14"/>
      <c r="D87" s="14"/>
      <c r="E87" s="14"/>
      <c r="F87" s="14"/>
      <c r="G87" s="14"/>
    </row>
    <row r="88" spans="1:7" x14ac:dyDescent="0.25">
      <c r="A88"/>
      <c r="B88" s="14"/>
      <c r="C88" s="14"/>
      <c r="D88" s="14"/>
      <c r="E88" s="14"/>
      <c r="F88" s="14"/>
      <c r="G88" s="14"/>
    </row>
    <row r="89" spans="1:7" x14ac:dyDescent="0.25">
      <c r="A89"/>
      <c r="B89" s="14"/>
      <c r="C89" s="14"/>
      <c r="D89" s="14"/>
      <c r="E89" s="14"/>
      <c r="F89" s="14"/>
      <c r="G89" s="14"/>
    </row>
    <row r="90" spans="1:7" x14ac:dyDescent="0.25">
      <c r="A90"/>
      <c r="B90" s="14"/>
      <c r="C90" s="14"/>
      <c r="D90" s="14"/>
      <c r="E90" s="14"/>
      <c r="F90" s="14"/>
      <c r="G90" s="14"/>
    </row>
    <row r="91" spans="1:7" x14ac:dyDescent="0.25">
      <c r="A91"/>
      <c r="B91" s="14"/>
      <c r="C91" s="14"/>
      <c r="D91" s="14"/>
      <c r="E91" s="14"/>
      <c r="F91" s="14"/>
      <c r="G91" s="14"/>
    </row>
    <row r="92" spans="1:7" x14ac:dyDescent="0.25">
      <c r="A92"/>
      <c r="B92" s="14"/>
      <c r="C92" s="14"/>
      <c r="D92" s="14"/>
      <c r="E92" s="14"/>
      <c r="F92" s="14"/>
      <c r="G92" s="14"/>
    </row>
    <row r="93" spans="1:7" x14ac:dyDescent="0.25">
      <c r="A93"/>
      <c r="B93" s="14"/>
      <c r="C93" s="14"/>
      <c r="D93" s="14"/>
      <c r="E93" s="14"/>
      <c r="F93" s="14"/>
      <c r="G93" s="14"/>
    </row>
    <row r="94" spans="1:7" x14ac:dyDescent="0.25">
      <c r="A94"/>
      <c r="B94" s="14"/>
      <c r="C94" s="14"/>
      <c r="D94" s="14"/>
      <c r="E94" s="14"/>
      <c r="F94" s="14"/>
      <c r="G94" s="14"/>
    </row>
    <row r="95" spans="1:7" x14ac:dyDescent="0.25">
      <c r="A95"/>
      <c r="B95" s="14"/>
      <c r="C95" s="14"/>
      <c r="D95" s="14"/>
      <c r="E95" s="14"/>
      <c r="F95" s="14"/>
      <c r="G95" s="14"/>
    </row>
    <row r="96" spans="1:7" x14ac:dyDescent="0.25">
      <c r="A96"/>
      <c r="B96" s="14"/>
      <c r="C96" s="14"/>
      <c r="D96" s="14"/>
      <c r="E96" s="14"/>
      <c r="F96" s="14"/>
      <c r="G96" s="14"/>
    </row>
    <row r="97" spans="1:7" x14ac:dyDescent="0.25">
      <c r="A97"/>
      <c r="B97" s="14"/>
      <c r="C97" s="14"/>
      <c r="D97" s="14"/>
      <c r="E97" s="14"/>
      <c r="F97" s="14"/>
      <c r="G97" s="14"/>
    </row>
    <row r="98" spans="1:7" x14ac:dyDescent="0.25">
      <c r="A98"/>
      <c r="B98" s="14"/>
      <c r="C98" s="14"/>
      <c r="D98" s="14"/>
      <c r="E98" s="14"/>
      <c r="F98" s="14"/>
      <c r="G98" s="14"/>
    </row>
    <row r="99" spans="1:7" x14ac:dyDescent="0.25">
      <c r="A99"/>
      <c r="B99" s="14"/>
      <c r="C99" s="14"/>
      <c r="D99" s="14"/>
      <c r="E99" s="14"/>
      <c r="F99" s="14"/>
      <c r="G99" s="14"/>
    </row>
    <row r="100" spans="1:7" x14ac:dyDescent="0.25">
      <c r="A100"/>
      <c r="B100" s="14"/>
      <c r="C100" s="14"/>
      <c r="D100" s="14"/>
      <c r="E100" s="14"/>
      <c r="F100" s="14"/>
      <c r="G100" s="14"/>
    </row>
    <row r="101" spans="1:7" x14ac:dyDescent="0.25">
      <c r="A101"/>
      <c r="B101" s="14"/>
      <c r="C101" s="14"/>
      <c r="D101" s="14"/>
      <c r="E101" s="14"/>
      <c r="F101" s="14"/>
      <c r="G101" s="14"/>
    </row>
    <row r="102" spans="1:7" x14ac:dyDescent="0.25">
      <c r="A102"/>
      <c r="B102" s="14"/>
      <c r="C102" s="14"/>
      <c r="D102" s="14"/>
      <c r="E102" s="14"/>
      <c r="F102" s="14"/>
      <c r="G102" s="14"/>
    </row>
    <row r="103" spans="1:7" x14ac:dyDescent="0.25">
      <c r="A103"/>
      <c r="B103" s="14"/>
      <c r="C103" s="14"/>
      <c r="D103" s="14"/>
      <c r="E103" s="14"/>
      <c r="F103" s="14"/>
      <c r="G103" s="14"/>
    </row>
    <row r="104" spans="1:7" x14ac:dyDescent="0.25">
      <c r="A104"/>
      <c r="B104" s="14"/>
      <c r="C104" s="14"/>
      <c r="D104" s="14"/>
      <c r="E104" s="14"/>
      <c r="F104" s="14"/>
      <c r="G104" s="14"/>
    </row>
    <row r="105" spans="1:7" x14ac:dyDescent="0.25">
      <c r="A105"/>
      <c r="B105" s="14"/>
      <c r="C105" s="14"/>
      <c r="D105" s="14"/>
      <c r="E105" s="14"/>
      <c r="F105" s="14"/>
      <c r="G105" s="14"/>
    </row>
    <row r="106" spans="1:7" x14ac:dyDescent="0.25">
      <c r="A106"/>
      <c r="B106" s="14"/>
      <c r="C106" s="14"/>
      <c r="D106" s="14"/>
      <c r="E106" s="14"/>
      <c r="F106" s="14"/>
      <c r="G106" s="14"/>
    </row>
    <row r="107" spans="1:7" x14ac:dyDescent="0.25">
      <c r="A107"/>
      <c r="B107" s="14"/>
      <c r="C107" s="14"/>
      <c r="D107" s="14"/>
      <c r="E107" s="14"/>
      <c r="F107" s="14"/>
      <c r="G107" s="14"/>
    </row>
    <row r="108" spans="1:7" x14ac:dyDescent="0.25">
      <c r="A108"/>
      <c r="B108" s="14"/>
      <c r="C108" s="14"/>
      <c r="D108" s="14"/>
      <c r="E108" s="14"/>
      <c r="F108" s="14"/>
      <c r="G108" s="14"/>
    </row>
    <row r="109" spans="1:7" x14ac:dyDescent="0.25">
      <c r="A109"/>
      <c r="B109" s="14"/>
      <c r="C109" s="14"/>
      <c r="D109" s="14"/>
      <c r="E109" s="14"/>
      <c r="F109" s="14"/>
      <c r="G109" s="14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C1DAE-6A3C-45B1-90F2-A6D1191012B5}">
  <sheetPr codeName="Sheet6"/>
  <dimension ref="A1:H4"/>
  <sheetViews>
    <sheetView workbookViewId="0"/>
  </sheetViews>
  <sheetFormatPr defaultRowHeight="15" x14ac:dyDescent="0.25"/>
  <cols>
    <col min="1" max="1" width="10.7109375" bestFit="1" customWidth="1"/>
    <col min="2" max="2" width="20.7109375" bestFit="1" customWidth="1"/>
    <col min="3" max="3" width="5.28515625" bestFit="1" customWidth="1"/>
    <col min="4" max="4" width="7.140625" bestFit="1" customWidth="1"/>
    <col min="5" max="5" width="8.85546875" bestFit="1" customWidth="1"/>
    <col min="6" max="6" width="11.28515625" bestFit="1" customWidth="1"/>
    <col min="7" max="7" width="11.85546875" bestFit="1" customWidth="1"/>
    <col min="8" max="8" width="9.28515625" bestFit="1" customWidth="1"/>
  </cols>
  <sheetData>
    <row r="1" spans="1:8" x14ac:dyDescent="0.25">
      <c r="A1"/>
      <c r="B1"/>
      <c r="C1"/>
      <c r="D1"/>
      <c r="E1"/>
      <c r="F1"/>
      <c r="G1"/>
      <c r="H1"/>
    </row>
    <row r="2" spans="1:8" x14ac:dyDescent="0.25">
      <c r="A2" s="14"/>
      <c r="B2" s="14"/>
      <c r="C2"/>
      <c r="D2"/>
      <c r="E2"/>
    </row>
    <row r="3" spans="1:8" x14ac:dyDescent="0.25">
      <c r="A3" s="14"/>
      <c r="B3" s="14"/>
      <c r="C3"/>
      <c r="D3"/>
      <c r="E3"/>
    </row>
    <row r="4" spans="1:8" x14ac:dyDescent="0.25">
      <c r="A4" s="14"/>
      <c r="B4" s="14"/>
      <c r="C4"/>
      <c r="D4"/>
      <c r="E4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94895-2690-476A-B3F9-8DF5CB013870}">
  <sheetPr codeName="Sheet7"/>
  <dimension ref="A1:K53"/>
  <sheetViews>
    <sheetView workbookViewId="0"/>
  </sheetViews>
  <sheetFormatPr defaultRowHeight="15" x14ac:dyDescent="0.25"/>
  <cols>
    <col min="1" max="1" width="27.5703125" bestFit="1" customWidth="1"/>
    <col min="2" max="2" width="11.28515625" bestFit="1" customWidth="1"/>
    <col min="3" max="3" width="13.140625" bestFit="1" customWidth="1"/>
    <col min="4" max="4" width="27.5703125" bestFit="1" customWidth="1"/>
    <col min="5" max="5" width="5.28515625" bestFit="1" customWidth="1"/>
    <col min="6" max="6" width="9.42578125" style="30" bestFit="1" customWidth="1"/>
    <col min="7" max="7" width="11.140625" style="30" bestFit="1" customWidth="1"/>
    <col min="8" max="8" width="14.140625" style="30" bestFit="1" customWidth="1"/>
    <col min="9" max="10" width="11.5703125" style="30" bestFit="1" customWidth="1"/>
    <col min="11" max="11" width="9.140625" style="30"/>
  </cols>
  <sheetData>
    <row r="1" spans="1:11" x14ac:dyDescent="0.25">
      <c r="A1"/>
      <c r="B1"/>
      <c r="C1"/>
      <c r="D1" s="30"/>
      <c r="F1"/>
      <c r="G1"/>
      <c r="H1"/>
      <c r="I1"/>
      <c r="J1"/>
      <c r="K1"/>
    </row>
    <row r="2" spans="1:11" x14ac:dyDescent="0.25">
      <c r="A2" s="14"/>
      <c r="B2"/>
      <c r="D2" s="30"/>
      <c r="F2"/>
      <c r="G2"/>
      <c r="H2"/>
      <c r="I2"/>
      <c r="J2"/>
      <c r="K2"/>
    </row>
    <row r="3" spans="1:11" x14ac:dyDescent="0.25">
      <c r="A3" s="14"/>
      <c r="B3"/>
      <c r="D3" s="30"/>
      <c r="F3"/>
      <c r="G3"/>
      <c r="H3"/>
      <c r="I3"/>
      <c r="J3"/>
      <c r="K3"/>
    </row>
    <row r="4" spans="1:11" x14ac:dyDescent="0.25">
      <c r="A4" s="14"/>
      <c r="B4"/>
      <c r="D4" s="30"/>
      <c r="F4"/>
      <c r="G4"/>
      <c r="H4"/>
      <c r="I4"/>
      <c r="J4"/>
      <c r="K4"/>
    </row>
    <row r="5" spans="1:11" x14ac:dyDescent="0.25">
      <c r="A5" s="14"/>
      <c r="B5"/>
      <c r="D5" s="30"/>
      <c r="F5"/>
      <c r="G5"/>
      <c r="H5"/>
      <c r="I5"/>
      <c r="J5"/>
      <c r="K5"/>
    </row>
    <row r="6" spans="1:11" x14ac:dyDescent="0.25">
      <c r="A6" s="14"/>
      <c r="B6"/>
      <c r="D6" s="30"/>
      <c r="F6"/>
      <c r="G6"/>
      <c r="H6"/>
      <c r="I6"/>
      <c r="J6"/>
      <c r="K6"/>
    </row>
    <row r="7" spans="1:11" x14ac:dyDescent="0.25">
      <c r="A7" s="14"/>
      <c r="B7"/>
      <c r="D7" s="30"/>
      <c r="F7"/>
      <c r="G7"/>
      <c r="H7"/>
      <c r="I7"/>
      <c r="J7"/>
      <c r="K7"/>
    </row>
    <row r="8" spans="1:11" x14ac:dyDescent="0.25">
      <c r="A8" s="14"/>
      <c r="B8"/>
      <c r="D8" s="30"/>
      <c r="F8"/>
      <c r="G8"/>
      <c r="H8"/>
      <c r="I8"/>
      <c r="J8"/>
      <c r="K8"/>
    </row>
    <row r="9" spans="1:11" x14ac:dyDescent="0.25">
      <c r="A9" s="14"/>
      <c r="B9"/>
      <c r="D9" s="30"/>
      <c r="F9"/>
      <c r="G9"/>
      <c r="H9"/>
      <c r="I9"/>
      <c r="J9"/>
      <c r="K9"/>
    </row>
    <row r="10" spans="1:11" x14ac:dyDescent="0.25">
      <c r="A10" s="14"/>
      <c r="B10"/>
      <c r="D10" s="30"/>
      <c r="F10"/>
      <c r="G10"/>
      <c r="H10"/>
      <c r="I10"/>
      <c r="J10"/>
      <c r="K10"/>
    </row>
    <row r="11" spans="1:11" x14ac:dyDescent="0.25">
      <c r="A11" s="14"/>
      <c r="B11"/>
      <c r="D11" s="30"/>
      <c r="F11"/>
      <c r="G11"/>
      <c r="H11"/>
      <c r="I11"/>
      <c r="J11"/>
      <c r="K11"/>
    </row>
    <row r="12" spans="1:11" x14ac:dyDescent="0.25">
      <c r="A12" s="14"/>
      <c r="B12"/>
      <c r="D12" s="30"/>
      <c r="F12"/>
      <c r="G12"/>
      <c r="H12"/>
      <c r="I12"/>
      <c r="J12"/>
      <c r="K12"/>
    </row>
    <row r="13" spans="1:11" x14ac:dyDescent="0.25">
      <c r="A13" s="14"/>
      <c r="B13"/>
      <c r="D13" s="30"/>
      <c r="F13"/>
      <c r="G13"/>
      <c r="H13"/>
      <c r="I13"/>
      <c r="J13"/>
      <c r="K13"/>
    </row>
    <row r="14" spans="1:11" x14ac:dyDescent="0.25">
      <c r="A14" s="14"/>
      <c r="B14"/>
      <c r="D14" s="30"/>
      <c r="F14"/>
      <c r="G14"/>
      <c r="H14"/>
      <c r="I14"/>
      <c r="J14"/>
      <c r="K14"/>
    </row>
    <row r="15" spans="1:11" x14ac:dyDescent="0.25">
      <c r="A15" s="14"/>
      <c r="B15"/>
      <c r="D15" s="30"/>
      <c r="F15"/>
      <c r="G15"/>
      <c r="H15"/>
      <c r="I15"/>
      <c r="J15"/>
      <c r="K15"/>
    </row>
    <row r="16" spans="1:11" x14ac:dyDescent="0.25">
      <c r="A16" s="14"/>
      <c r="B16"/>
      <c r="D16" s="30"/>
      <c r="F16"/>
      <c r="G16"/>
      <c r="H16"/>
      <c r="I16"/>
      <c r="J16"/>
      <c r="K16"/>
    </row>
    <row r="17" spans="1:11" x14ac:dyDescent="0.25">
      <c r="A17" s="14"/>
      <c r="B17"/>
      <c r="D17" s="30"/>
      <c r="F17"/>
      <c r="G17"/>
      <c r="H17"/>
      <c r="I17"/>
      <c r="J17"/>
      <c r="K17"/>
    </row>
    <row r="18" spans="1:11" x14ac:dyDescent="0.25">
      <c r="A18" s="14"/>
      <c r="B18"/>
      <c r="D18" s="30"/>
      <c r="F18"/>
      <c r="G18"/>
      <c r="H18"/>
      <c r="I18"/>
      <c r="J18"/>
      <c r="K18"/>
    </row>
    <row r="19" spans="1:11" x14ac:dyDescent="0.25">
      <c r="A19" s="14"/>
      <c r="B19"/>
      <c r="D19" s="30"/>
      <c r="F19"/>
      <c r="G19"/>
      <c r="H19"/>
      <c r="I19"/>
      <c r="J19"/>
      <c r="K19"/>
    </row>
    <row r="20" spans="1:11" x14ac:dyDescent="0.25">
      <c r="A20" s="14"/>
      <c r="B20"/>
      <c r="D20" s="30"/>
      <c r="F20"/>
      <c r="G20"/>
      <c r="H20"/>
      <c r="I20"/>
      <c r="J20"/>
      <c r="K20"/>
    </row>
    <row r="21" spans="1:11" x14ac:dyDescent="0.25">
      <c r="A21" s="14"/>
      <c r="B21"/>
      <c r="D21" s="30"/>
      <c r="F21"/>
      <c r="G21"/>
      <c r="H21"/>
      <c r="I21"/>
      <c r="J21"/>
      <c r="K21"/>
    </row>
    <row r="22" spans="1:11" x14ac:dyDescent="0.25">
      <c r="A22" s="14"/>
      <c r="B22"/>
      <c r="D22" s="30"/>
      <c r="F22"/>
      <c r="G22"/>
      <c r="H22"/>
      <c r="I22"/>
      <c r="J22"/>
      <c r="K22"/>
    </row>
    <row r="23" spans="1:11" x14ac:dyDescent="0.25">
      <c r="A23" s="14"/>
      <c r="B23"/>
      <c r="D23" s="30"/>
      <c r="F23"/>
      <c r="G23"/>
      <c r="H23"/>
      <c r="I23"/>
      <c r="J23"/>
      <c r="K23"/>
    </row>
    <row r="24" spans="1:11" x14ac:dyDescent="0.25">
      <c r="A24" s="14"/>
      <c r="B24"/>
      <c r="D24" s="30"/>
      <c r="F24"/>
      <c r="G24"/>
      <c r="H24"/>
      <c r="I24"/>
      <c r="J24"/>
      <c r="K24"/>
    </row>
    <row r="25" spans="1:11" x14ac:dyDescent="0.25">
      <c r="A25" s="14"/>
      <c r="B25"/>
      <c r="D25" s="30"/>
      <c r="F25"/>
      <c r="G25"/>
      <c r="H25"/>
      <c r="I25"/>
      <c r="J25"/>
      <c r="K25"/>
    </row>
    <row r="26" spans="1:11" x14ac:dyDescent="0.25">
      <c r="A26" s="14"/>
      <c r="B26"/>
      <c r="D26" s="30"/>
      <c r="F26"/>
      <c r="G26"/>
      <c r="H26"/>
      <c r="I26"/>
      <c r="J26"/>
      <c r="K26"/>
    </row>
    <row r="27" spans="1:11" x14ac:dyDescent="0.25">
      <c r="A27" s="14"/>
      <c r="B27"/>
      <c r="D27" s="30"/>
      <c r="F27"/>
      <c r="G27"/>
      <c r="H27"/>
      <c r="I27"/>
      <c r="J27"/>
      <c r="K27"/>
    </row>
    <row r="28" spans="1:11" x14ac:dyDescent="0.25">
      <c r="A28" s="14"/>
      <c r="B28"/>
      <c r="D28" s="30"/>
      <c r="F28"/>
      <c r="G28"/>
      <c r="H28"/>
      <c r="I28"/>
      <c r="J28"/>
      <c r="K28"/>
    </row>
    <row r="29" spans="1:11" x14ac:dyDescent="0.25">
      <c r="A29" s="14"/>
      <c r="B29"/>
      <c r="D29" s="30"/>
      <c r="F29"/>
      <c r="G29"/>
      <c r="H29"/>
      <c r="I29"/>
      <c r="J29"/>
      <c r="K29"/>
    </row>
    <row r="30" spans="1:11" x14ac:dyDescent="0.25">
      <c r="A30" s="14"/>
      <c r="B30"/>
      <c r="D30" s="30"/>
      <c r="F30"/>
      <c r="G30"/>
      <c r="H30"/>
      <c r="I30"/>
      <c r="J30"/>
      <c r="K30"/>
    </row>
    <row r="31" spans="1:11" x14ac:dyDescent="0.25">
      <c r="A31" s="14"/>
      <c r="D31" s="30"/>
      <c r="F31"/>
      <c r="G31"/>
      <c r="H31"/>
      <c r="I31"/>
      <c r="J31"/>
      <c r="K31"/>
    </row>
    <row r="32" spans="1:11" x14ac:dyDescent="0.25">
      <c r="A32" s="14"/>
      <c r="D32" s="30"/>
      <c r="F32"/>
      <c r="G32"/>
      <c r="H32"/>
      <c r="I32"/>
      <c r="J32"/>
      <c r="K32"/>
    </row>
    <row r="33" spans="1:11" x14ac:dyDescent="0.25">
      <c r="A33" s="14"/>
      <c r="B33"/>
      <c r="D33" s="30"/>
      <c r="F33"/>
      <c r="G33"/>
      <c r="H33"/>
      <c r="I33"/>
      <c r="J33"/>
      <c r="K33"/>
    </row>
    <row r="34" spans="1:11" x14ac:dyDescent="0.25">
      <c r="A34" s="14"/>
      <c r="B34"/>
      <c r="D34" s="30"/>
      <c r="F34"/>
      <c r="G34"/>
      <c r="H34"/>
      <c r="I34"/>
      <c r="J34"/>
      <c r="K34"/>
    </row>
    <row r="35" spans="1:11" x14ac:dyDescent="0.25">
      <c r="A35" s="14"/>
      <c r="D35" s="30"/>
      <c r="F35"/>
      <c r="G35"/>
      <c r="H35"/>
      <c r="I35"/>
      <c r="J35"/>
      <c r="K35"/>
    </row>
    <row r="36" spans="1:11" x14ac:dyDescent="0.25">
      <c r="A36" s="14"/>
      <c r="B36"/>
      <c r="D36" s="30"/>
      <c r="F36"/>
      <c r="G36"/>
      <c r="H36"/>
      <c r="I36"/>
      <c r="J36"/>
      <c r="K36"/>
    </row>
    <row r="37" spans="1:11" x14ac:dyDescent="0.25">
      <c r="A37" s="14"/>
      <c r="B37"/>
      <c r="D37" s="30"/>
      <c r="F37"/>
      <c r="G37"/>
      <c r="H37"/>
      <c r="I37"/>
      <c r="J37"/>
      <c r="K37"/>
    </row>
    <row r="38" spans="1:11" x14ac:dyDescent="0.25">
      <c r="A38" s="14"/>
      <c r="B38"/>
      <c r="D38" s="30"/>
      <c r="F38"/>
      <c r="G38"/>
      <c r="H38"/>
      <c r="I38"/>
      <c r="J38"/>
      <c r="K38"/>
    </row>
    <row r="39" spans="1:11" x14ac:dyDescent="0.25">
      <c r="A39" s="14"/>
      <c r="B39"/>
      <c r="D39" s="30"/>
      <c r="F39"/>
      <c r="G39"/>
      <c r="H39"/>
      <c r="I39"/>
      <c r="J39"/>
      <c r="K39"/>
    </row>
    <row r="40" spans="1:11" x14ac:dyDescent="0.25">
      <c r="A40" s="14"/>
      <c r="B40"/>
      <c r="D40" s="30"/>
      <c r="F40"/>
      <c r="G40"/>
      <c r="H40"/>
      <c r="I40"/>
      <c r="J40"/>
      <c r="K40"/>
    </row>
    <row r="41" spans="1:11" x14ac:dyDescent="0.25">
      <c r="A41" s="14"/>
      <c r="B41"/>
      <c r="D41" s="30"/>
      <c r="F41"/>
      <c r="G41"/>
      <c r="H41"/>
      <c r="I41"/>
      <c r="J41"/>
      <c r="K41"/>
    </row>
    <row r="42" spans="1:11" x14ac:dyDescent="0.25">
      <c r="A42" s="14"/>
      <c r="B42"/>
      <c r="D42" s="30"/>
      <c r="F42"/>
      <c r="G42"/>
      <c r="H42"/>
      <c r="I42"/>
      <c r="J42"/>
      <c r="K42"/>
    </row>
    <row r="43" spans="1:11" x14ac:dyDescent="0.25">
      <c r="A43" s="14"/>
      <c r="D43" s="30"/>
      <c r="F43"/>
      <c r="G43"/>
      <c r="H43"/>
      <c r="I43"/>
      <c r="J43"/>
      <c r="K43"/>
    </row>
    <row r="44" spans="1:11" x14ac:dyDescent="0.25">
      <c r="A44" s="14"/>
      <c r="D44" s="30"/>
      <c r="F44"/>
      <c r="G44"/>
      <c r="H44"/>
      <c r="I44"/>
      <c r="J44"/>
      <c r="K44"/>
    </row>
    <row r="45" spans="1:11" x14ac:dyDescent="0.25">
      <c r="A45" s="14"/>
      <c r="B45"/>
      <c r="D45" s="30"/>
      <c r="F45"/>
      <c r="G45"/>
      <c r="H45"/>
      <c r="I45"/>
      <c r="J45"/>
      <c r="K45"/>
    </row>
    <row r="46" spans="1:11" x14ac:dyDescent="0.25">
      <c r="A46" s="14"/>
      <c r="B46"/>
      <c r="D46" s="30"/>
      <c r="F46"/>
      <c r="G46"/>
      <c r="H46"/>
      <c r="I46"/>
      <c r="J46"/>
      <c r="K46"/>
    </row>
    <row r="47" spans="1:11" x14ac:dyDescent="0.25">
      <c r="A47" s="14"/>
      <c r="D47" s="30"/>
      <c r="F47"/>
      <c r="G47"/>
      <c r="H47"/>
      <c r="I47"/>
      <c r="J47"/>
      <c r="K47"/>
    </row>
    <row r="48" spans="1:11" x14ac:dyDescent="0.25">
      <c r="A48" s="14"/>
      <c r="D48" s="30"/>
      <c r="F48"/>
      <c r="G48"/>
      <c r="H48"/>
      <c r="I48"/>
      <c r="J48"/>
      <c r="K48"/>
    </row>
    <row r="49" spans="1:11" x14ac:dyDescent="0.25">
      <c r="A49" s="14"/>
      <c r="D49" s="30"/>
      <c r="F49"/>
      <c r="G49"/>
      <c r="H49"/>
      <c r="I49"/>
      <c r="J49"/>
      <c r="K49"/>
    </row>
    <row r="50" spans="1:11" x14ac:dyDescent="0.25">
      <c r="A50" s="14"/>
      <c r="D50" s="30"/>
      <c r="F50"/>
      <c r="G50"/>
      <c r="H50"/>
      <c r="I50"/>
      <c r="J50"/>
      <c r="K50"/>
    </row>
    <row r="51" spans="1:11" x14ac:dyDescent="0.25">
      <c r="A51" s="14"/>
      <c r="D51" s="30"/>
      <c r="F51"/>
      <c r="G51"/>
      <c r="H51"/>
      <c r="I51"/>
      <c r="J51"/>
      <c r="K51"/>
    </row>
    <row r="52" spans="1:11" x14ac:dyDescent="0.25">
      <c r="A52" s="14"/>
      <c r="B52"/>
      <c r="D52" s="30"/>
      <c r="F52"/>
      <c r="G52"/>
      <c r="H52"/>
      <c r="I52"/>
      <c r="J52"/>
      <c r="K52"/>
    </row>
    <row r="53" spans="1:11" x14ac:dyDescent="0.25">
      <c r="A53" s="14"/>
      <c r="D53" s="30"/>
      <c r="F53"/>
      <c r="G53"/>
      <c r="H53"/>
      <c r="I53"/>
      <c r="J53"/>
      <c r="K53"/>
    </row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71CFB-B8DC-490F-BE65-2AD1B532161F}">
  <sheetPr codeName="Sheet2"/>
  <dimension ref="B1:H13"/>
  <sheetViews>
    <sheetView zoomScale="93" workbookViewId="0">
      <selection activeCell="C15" sqref="C15"/>
    </sheetView>
  </sheetViews>
  <sheetFormatPr defaultRowHeight="15" x14ac:dyDescent="0.25"/>
  <cols>
    <col min="2" max="2" width="18.42578125" customWidth="1"/>
    <col min="3" max="3" width="42.7109375" customWidth="1"/>
    <col min="4" max="4" width="15.5703125" style="16" customWidth="1"/>
    <col min="5" max="5" width="19.7109375" customWidth="1"/>
    <col min="6" max="6" width="42" customWidth="1"/>
    <col min="7" max="7" width="22.85546875" customWidth="1"/>
    <col min="8" max="8" width="20.28515625" customWidth="1"/>
    <col min="10" max="10" width="20" bestFit="1" customWidth="1"/>
  </cols>
  <sheetData>
    <row r="1" spans="2:8" x14ac:dyDescent="0.25">
      <c r="C1" s="32" t="s">
        <v>9</v>
      </c>
      <c r="D1" s="32"/>
    </row>
    <row r="2" spans="2:8" ht="15.75" thickBot="1" x14ac:dyDescent="0.3">
      <c r="B2" s="1" t="s">
        <v>0</v>
      </c>
      <c r="C2" s="1" t="s">
        <v>1</v>
      </c>
      <c r="D2" s="15" t="s">
        <v>2</v>
      </c>
      <c r="E2" s="1" t="s">
        <v>5</v>
      </c>
      <c r="F2" s="1" t="s">
        <v>3</v>
      </c>
      <c r="G2" s="1" t="s">
        <v>6</v>
      </c>
      <c r="H2" s="1" t="s">
        <v>7</v>
      </c>
    </row>
    <row r="3" spans="2:8" x14ac:dyDescent="0.25">
      <c r="B3" s="3"/>
      <c r="C3" s="18"/>
      <c r="D3" s="19"/>
      <c r="E3" s="2"/>
      <c r="F3" s="2"/>
      <c r="G3" s="24"/>
      <c r="H3" s="7"/>
    </row>
    <row r="4" spans="2:8" x14ac:dyDescent="0.25">
      <c r="B4" s="3"/>
      <c r="C4" s="20"/>
      <c r="D4" s="21"/>
      <c r="E4" s="2"/>
      <c r="F4" s="2"/>
      <c r="G4" s="25"/>
      <c r="H4" s="7"/>
    </row>
    <row r="5" spans="2:8" x14ac:dyDescent="0.25">
      <c r="B5" s="3"/>
      <c r="C5" s="20"/>
      <c r="D5" s="21"/>
      <c r="E5" s="2" t="str">
        <f>IF(_TBL_LAPTOP_INVENTORY_ACCOUNT_IN[[#This Row],[INVENTORY ITEM]] &lt;&gt; "", IF(COUNTIFS(_TBL_INVENTORY_IN[INVENTORY ITEM], _TBL_LAPTOP_INVENTORY_ACCOUNT_IN[[#This Row],[INVENTORY ITEM]],_TBL_INVENTORY_IN[IN], _TBL_LAPTOP_INVENTORY_ACCOUNT_IN[[#This Row],[IN]]) &gt; 0, IF(COUNTIFS(_TBL_INVENTORY_IN[DATE], _TBL_LAPTOP_INVENTORY_ACCOUNT_IN[[#This Row],[DATE]], _TBL_INVENTORY_IN[INVENTORY ITEM], _TBL_LAPTOP_INVENTORY_ACCOUNT_IN[[#This Row],[INVENTORY ITEM]],_TBL_INVENTORY_IN[IN], _TBL_LAPTOP_INVENTORY_ACCOUNT_IN[[#This Row],[IN]]) &gt; 0, 2, 1), 0), "")</f>
        <v/>
      </c>
      <c r="F5" s="2" t="str">
        <f>IF(IFERROR(_TBL_INVENTORY_IN[[#This Row],[REMARKS]], "")&lt;&gt;0, IFERROR(_TBL_INVENTORY_IN[[#This Row],[REMARKS]], ""), "")</f>
        <v/>
      </c>
      <c r="G5" s="25"/>
      <c r="H5" s="7" t="str">
        <f>IFERROR(_TBL_LAPTOP_INVENTORY_ACCOUNT_IN[[#This Row],[COST TOTAL]]/_TBL_LAPTOP_INVENTORY_ACCOUNT_IN[[#This Row],[IN]], "")</f>
        <v/>
      </c>
    </row>
    <row r="6" spans="2:8" x14ac:dyDescent="0.25">
      <c r="B6" s="3"/>
      <c r="C6" s="20"/>
      <c r="D6" s="21"/>
      <c r="E6" s="2" t="str">
        <f>IF(_TBL_LAPTOP_INVENTORY_ACCOUNT_IN[[#This Row],[INVENTORY ITEM]] &lt;&gt; "", IF(COUNTIFS(_TBL_INVENTORY_IN[INVENTORY ITEM], _TBL_LAPTOP_INVENTORY_ACCOUNT_IN[[#This Row],[INVENTORY ITEM]],_TBL_INVENTORY_IN[IN], _TBL_LAPTOP_INVENTORY_ACCOUNT_IN[[#This Row],[IN]]) &gt; 0, IF(COUNTIFS(_TBL_INVENTORY_IN[DATE], _TBL_LAPTOP_INVENTORY_ACCOUNT_IN[[#This Row],[DATE]], _TBL_INVENTORY_IN[INVENTORY ITEM], _TBL_LAPTOP_INVENTORY_ACCOUNT_IN[[#This Row],[INVENTORY ITEM]],_TBL_INVENTORY_IN[IN], _TBL_LAPTOP_INVENTORY_ACCOUNT_IN[[#This Row],[IN]]) &gt; 0, 2, 1), 0), "")</f>
        <v/>
      </c>
      <c r="F6" s="2" t="str">
        <f>IF(IFERROR(_TBL_INVENTORY_IN[[#This Row],[REMARKS]], "")&lt;&gt;0, IFERROR(_TBL_INVENTORY_IN[[#This Row],[REMARKS]], ""), "")</f>
        <v/>
      </c>
      <c r="G6" s="25"/>
      <c r="H6" s="7" t="str">
        <f>IFERROR(_TBL_LAPTOP_INVENTORY_ACCOUNT_IN[[#This Row],[COST TOTAL]]/_TBL_LAPTOP_INVENTORY_ACCOUNT_IN[[#This Row],[IN]], "")</f>
        <v/>
      </c>
    </row>
    <row r="7" spans="2:8" x14ac:dyDescent="0.25">
      <c r="B7" s="3"/>
      <c r="C7" s="20"/>
      <c r="D7" s="21"/>
      <c r="E7" s="2" t="str">
        <f>IF(_TBL_LAPTOP_INVENTORY_ACCOUNT_IN[[#This Row],[INVENTORY ITEM]] &lt;&gt; "", IF(COUNTIFS(_TBL_INVENTORY_IN[INVENTORY ITEM], _TBL_LAPTOP_INVENTORY_ACCOUNT_IN[[#This Row],[INVENTORY ITEM]],_TBL_INVENTORY_IN[IN], _TBL_LAPTOP_INVENTORY_ACCOUNT_IN[[#This Row],[IN]]) &gt; 0, IF(COUNTIFS(_TBL_INVENTORY_IN[DATE], _TBL_LAPTOP_INVENTORY_ACCOUNT_IN[[#This Row],[DATE]], _TBL_INVENTORY_IN[INVENTORY ITEM], _TBL_LAPTOP_INVENTORY_ACCOUNT_IN[[#This Row],[INVENTORY ITEM]],_TBL_INVENTORY_IN[IN], _TBL_LAPTOP_INVENTORY_ACCOUNT_IN[[#This Row],[IN]]) &gt; 0, 2, 1), 0), "")</f>
        <v/>
      </c>
      <c r="F7" s="2" t="str">
        <f>IF(IFERROR(_TBL_INVENTORY_IN[[#This Row],[REMARKS]], "")&lt;&gt;0, IFERROR(_TBL_INVENTORY_IN[[#This Row],[REMARKS]], ""), "")</f>
        <v/>
      </c>
      <c r="G7" s="25"/>
      <c r="H7" s="7" t="str">
        <f>IFERROR(_TBL_LAPTOP_INVENTORY_ACCOUNT_IN[[#This Row],[COST TOTAL]]/_TBL_LAPTOP_INVENTORY_ACCOUNT_IN[[#This Row],[IN]], "")</f>
        <v/>
      </c>
    </row>
    <row r="8" spans="2:8" x14ac:dyDescent="0.25">
      <c r="B8" s="3"/>
      <c r="C8" s="20"/>
      <c r="D8" s="21"/>
      <c r="E8" s="2" t="str">
        <f>IF(_TBL_LAPTOP_INVENTORY_ACCOUNT_IN[[#This Row],[INVENTORY ITEM]] &lt;&gt; "", IF(COUNTIFS(_TBL_INVENTORY_IN[INVENTORY ITEM], _TBL_LAPTOP_INVENTORY_ACCOUNT_IN[[#This Row],[INVENTORY ITEM]],_TBL_INVENTORY_IN[IN], _TBL_LAPTOP_INVENTORY_ACCOUNT_IN[[#This Row],[IN]]) &gt; 0, IF(COUNTIFS(_TBL_INVENTORY_IN[DATE], _TBL_LAPTOP_INVENTORY_ACCOUNT_IN[[#This Row],[DATE]], _TBL_INVENTORY_IN[INVENTORY ITEM], _TBL_LAPTOP_INVENTORY_ACCOUNT_IN[[#This Row],[INVENTORY ITEM]],_TBL_INVENTORY_IN[IN], _TBL_LAPTOP_INVENTORY_ACCOUNT_IN[[#This Row],[IN]]) &gt; 0, 2, 1), 0), "")</f>
        <v/>
      </c>
      <c r="F8" s="2" t="str">
        <f>IF(IFERROR(_TBL_INVENTORY_IN[[#This Row],[REMARKS]], "")&lt;&gt;0, IFERROR(_TBL_INVENTORY_IN[[#This Row],[REMARKS]], ""), "")</f>
        <v/>
      </c>
      <c r="G8" s="25"/>
      <c r="H8" s="7" t="str">
        <f>IFERROR(_TBL_LAPTOP_INVENTORY_ACCOUNT_IN[[#This Row],[COST TOTAL]]/_TBL_LAPTOP_INVENTORY_ACCOUNT_IN[[#This Row],[IN]], "")</f>
        <v/>
      </c>
    </row>
    <row r="9" spans="2:8" x14ac:dyDescent="0.25">
      <c r="B9" s="3"/>
      <c r="C9" s="20"/>
      <c r="D9" s="21"/>
      <c r="E9" s="2" t="str">
        <f>IF(_TBL_LAPTOP_INVENTORY_ACCOUNT_IN[[#This Row],[INVENTORY ITEM]] &lt;&gt; "", IF(COUNTIFS(_TBL_INVENTORY_IN[INVENTORY ITEM], _TBL_LAPTOP_INVENTORY_ACCOUNT_IN[[#This Row],[INVENTORY ITEM]],_TBL_INVENTORY_IN[IN], _TBL_LAPTOP_INVENTORY_ACCOUNT_IN[[#This Row],[IN]]) &gt; 0, IF(COUNTIFS(_TBL_INVENTORY_IN[DATE], _TBL_LAPTOP_INVENTORY_ACCOUNT_IN[[#This Row],[DATE]], _TBL_INVENTORY_IN[INVENTORY ITEM], _TBL_LAPTOP_INVENTORY_ACCOUNT_IN[[#This Row],[INVENTORY ITEM]],_TBL_INVENTORY_IN[IN], _TBL_LAPTOP_INVENTORY_ACCOUNT_IN[[#This Row],[IN]]) &gt; 0, 2, 1), 0), "")</f>
        <v/>
      </c>
      <c r="F9" s="2" t="str">
        <f>IF(IFERROR(_TBL_INVENTORY_IN[[#This Row],[REMARKS]], "")&lt;&gt;0, IFERROR(_TBL_INVENTORY_IN[[#This Row],[REMARKS]], ""), "")</f>
        <v/>
      </c>
      <c r="G9" s="25"/>
      <c r="H9" s="7" t="str">
        <f>IFERROR(_TBL_LAPTOP_INVENTORY_ACCOUNT_IN[[#This Row],[COST TOTAL]]/_TBL_LAPTOP_INVENTORY_ACCOUNT_IN[[#This Row],[IN]], "")</f>
        <v/>
      </c>
    </row>
    <row r="10" spans="2:8" x14ac:dyDescent="0.25">
      <c r="B10" s="3"/>
      <c r="C10" s="20"/>
      <c r="D10" s="21"/>
      <c r="E10" s="2" t="str">
        <f>IF(_TBL_LAPTOP_INVENTORY_ACCOUNT_IN[[#This Row],[INVENTORY ITEM]] &lt;&gt; "", IF(COUNTIFS(_TBL_INVENTORY_IN[INVENTORY ITEM], _TBL_LAPTOP_INVENTORY_ACCOUNT_IN[[#This Row],[INVENTORY ITEM]],_TBL_INVENTORY_IN[IN], _TBL_LAPTOP_INVENTORY_ACCOUNT_IN[[#This Row],[IN]]) &gt; 0, IF(COUNTIFS(_TBL_INVENTORY_IN[DATE], _TBL_LAPTOP_INVENTORY_ACCOUNT_IN[[#This Row],[DATE]], _TBL_INVENTORY_IN[INVENTORY ITEM], _TBL_LAPTOP_INVENTORY_ACCOUNT_IN[[#This Row],[INVENTORY ITEM]],_TBL_INVENTORY_IN[IN], _TBL_LAPTOP_INVENTORY_ACCOUNT_IN[[#This Row],[IN]]) &gt; 0, 2, 1), 0), "")</f>
        <v/>
      </c>
      <c r="F10" s="2" t="str">
        <f>IF(IFERROR(_TBL_INVENTORY_IN[[#This Row],[REMARKS]], "")&lt;&gt;0, IFERROR(_TBL_INVENTORY_IN[[#This Row],[REMARKS]], ""), "")</f>
        <v/>
      </c>
      <c r="G10" s="25"/>
      <c r="H10" s="7" t="str">
        <f>IFERROR(_TBL_LAPTOP_INVENTORY_ACCOUNT_IN[[#This Row],[COST TOTAL]]/_TBL_LAPTOP_INVENTORY_ACCOUNT_IN[[#This Row],[IN]], "")</f>
        <v/>
      </c>
    </row>
    <row r="11" spans="2:8" ht="15.75" thickBot="1" x14ac:dyDescent="0.3">
      <c r="B11" s="3"/>
      <c r="C11" s="22"/>
      <c r="D11" s="23"/>
      <c r="E11" s="2" t="str">
        <f>IF(_TBL_LAPTOP_INVENTORY_ACCOUNT_IN[[#This Row],[INVENTORY ITEM]] &lt;&gt; "", IF(COUNTIFS(_TBL_INVENTORY_IN[INVENTORY ITEM], _TBL_LAPTOP_INVENTORY_ACCOUNT_IN[[#This Row],[INVENTORY ITEM]],_TBL_INVENTORY_IN[IN], _TBL_LAPTOP_INVENTORY_ACCOUNT_IN[[#This Row],[IN]]) &gt; 0, IF(COUNTIFS(_TBL_INVENTORY_IN[DATE], _TBL_LAPTOP_INVENTORY_ACCOUNT_IN[[#This Row],[DATE]], _TBL_INVENTORY_IN[INVENTORY ITEM], _TBL_LAPTOP_INVENTORY_ACCOUNT_IN[[#This Row],[INVENTORY ITEM]],_TBL_INVENTORY_IN[IN], _TBL_LAPTOP_INVENTORY_ACCOUNT_IN[[#This Row],[IN]]) &gt; 0, 2, 1), 0), "")</f>
        <v/>
      </c>
      <c r="F11" s="2" t="str">
        <f>IF(IFERROR(_TBL_INVENTORY_IN[[#This Row],[REMARKS]], "")&lt;&gt;0, IFERROR(_TBL_INVENTORY_IN[[#This Row],[REMARKS]], ""), "")</f>
        <v/>
      </c>
      <c r="G11" s="26"/>
      <c r="H11" s="7" t="str">
        <f>IFERROR(_TBL_LAPTOP_INVENTORY_ACCOUNT_IN[[#This Row],[COST TOTAL]]/_TBL_LAPTOP_INVENTORY_ACCOUNT_IN[[#This Row],[IN]], "")</f>
        <v/>
      </c>
    </row>
    <row r="12" spans="2:8" x14ac:dyDescent="0.25">
      <c r="B12" s="8" t="str">
        <f>_xlfn.CONCAT("COUNT: ", SUBTOTAL(103,_TBL_LAPTOP_INVENTORY_ACCOUNT_IN[DATE]))</f>
        <v>COUNT: 0</v>
      </c>
      <c r="C12" s="4" t="s">
        <v>8</v>
      </c>
      <c r="D12" s="9">
        <f>SUBTOTAL(109,_TBL_LAPTOP_INVENTORY_ACCOUNT_IN[IN])</f>
        <v>0</v>
      </c>
      <c r="E12" s="9"/>
      <c r="F12" s="4"/>
      <c r="G12" s="12">
        <f>SUBTOTAL(109,_TBL_LAPTOP_INVENTORY_ACCOUNT_IN[COST TOTAL])</f>
        <v>0</v>
      </c>
      <c r="H12" s="12" t="str">
        <f>IFERROR(_TBL_LAPTOP_INVENTORY_ACCOUNT_IN[[#Totals],[COST TOTAL]]/_TBL_LAPTOP_INVENTORY_ACCOUNT_IN[[#Totals],[IN]], "")</f>
        <v/>
      </c>
    </row>
    <row r="13" spans="2:8" x14ac:dyDescent="0.25">
      <c r="B13" s="10"/>
      <c r="C13" s="4" t="s">
        <v>4</v>
      </c>
      <c r="D13" s="5">
        <f>SUM(_TBL_LAPTOP_INVENTORY_ACCOUNT_IN[IN])</f>
        <v>0</v>
      </c>
      <c r="E13" s="11"/>
      <c r="F13" s="10"/>
      <c r="G13" s="13">
        <f>SUM(_TBL_LAPTOP_INVENTORY_ACCOUNT_IN[COST TOTAL])</f>
        <v>0</v>
      </c>
      <c r="H13" s="13" t="e">
        <f>G13/D13</f>
        <v>#DIV/0!</v>
      </c>
    </row>
  </sheetData>
  <mergeCells count="1">
    <mergeCell ref="C1:D1"/>
  </mergeCells>
  <dataValidations count="1">
    <dataValidation type="list" allowBlank="1" showInputMessage="1" showErrorMessage="1" sqref="C3:C11" xr:uid="{FC9EEEB7-5DE2-47D8-BC51-64C10AA3C30C}">
      <formula1>NAMES_INVENTORY</formula1>
    </dataValidation>
  </dataValidation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BEF4C059-700C-4CBB-BE21-5D3A4E890F9B}">
            <x14:iconSet iconSet="3Symbols" showValue="0" custom="1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Icon iconSet="3Symbols" iconId="0"/>
              <x14:cfIcon iconSet="3Symbols" iconId="1"/>
              <x14:cfIcon iconSet="3Symbols" iconId="2"/>
            </x14:iconSet>
          </x14:cfRule>
          <xm:sqref>E3:E11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0BF287-1831-4A45-8577-D7D0B941009A}">
  <sheetPr codeName="Sheet8"/>
  <dimension ref="A1:H7"/>
  <sheetViews>
    <sheetView workbookViewId="0">
      <selection activeCell="F37" sqref="F37"/>
    </sheetView>
  </sheetViews>
  <sheetFormatPr defaultRowHeight="15" x14ac:dyDescent="0.25"/>
  <cols>
    <col min="1" max="1" width="10.7109375" bestFit="1" customWidth="1"/>
    <col min="2" max="2" width="18.7109375" bestFit="1" customWidth="1"/>
    <col min="3" max="3" width="5.28515625" bestFit="1" customWidth="1"/>
    <col min="4" max="4" width="7.140625" bestFit="1" customWidth="1"/>
    <col min="5" max="5" width="8.85546875" bestFit="1" customWidth="1"/>
    <col min="6" max="6" width="11.28515625" bestFit="1" customWidth="1"/>
    <col min="7" max="7" width="11.85546875" bestFit="1" customWidth="1"/>
    <col min="8" max="8" width="9.28515625" bestFit="1" customWidth="1"/>
  </cols>
  <sheetData>
    <row r="1" spans="1:8" x14ac:dyDescent="0.25">
      <c r="A1"/>
      <c r="B1"/>
      <c r="C1"/>
      <c r="D1"/>
      <c r="E1"/>
      <c r="F1"/>
      <c r="G1"/>
      <c r="H1"/>
    </row>
    <row r="2" spans="1:8" x14ac:dyDescent="0.25">
      <c r="A2" s="14"/>
      <c r="B2" s="14"/>
      <c r="C2"/>
      <c r="D2"/>
      <c r="E2"/>
    </row>
    <row r="3" spans="1:8" x14ac:dyDescent="0.25">
      <c r="A3" s="14"/>
      <c r="B3" s="14"/>
      <c r="C3"/>
      <c r="D3"/>
      <c r="E3"/>
    </row>
    <row r="4" spans="1:8" x14ac:dyDescent="0.25">
      <c r="A4" s="14"/>
      <c r="B4" s="14"/>
      <c r="C4"/>
      <c r="D4"/>
      <c r="E4"/>
    </row>
    <row r="5" spans="1:8" x14ac:dyDescent="0.25">
      <c r="A5" s="14"/>
      <c r="B5" s="14"/>
      <c r="C5"/>
      <c r="D5"/>
      <c r="E5"/>
    </row>
    <row r="6" spans="1:8" x14ac:dyDescent="0.25">
      <c r="A6" s="14"/>
      <c r="B6" s="14"/>
      <c r="C6"/>
      <c r="D6"/>
      <c r="E6"/>
    </row>
    <row r="7" spans="1:8" x14ac:dyDescent="0.25">
      <c r="A7" s="14"/>
      <c r="B7" s="14"/>
      <c r="E7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BD60B3-2BA6-47C6-BBDC-E7620C3996C1}">
  <dimension ref="A1:K53"/>
  <sheetViews>
    <sheetView tabSelected="1" workbookViewId="0">
      <selection activeCell="M35" sqref="M35"/>
    </sheetView>
  </sheetViews>
  <sheetFormatPr defaultRowHeight="15" x14ac:dyDescent="0.25"/>
  <cols>
    <col min="1" max="1" width="5.140625" bestFit="1" customWidth="1"/>
    <col min="2" max="2" width="27.5703125" bestFit="1" customWidth="1"/>
    <col min="3" max="3" width="7.5703125" bestFit="1" customWidth="1"/>
    <col min="4" max="4" width="11.28515625" bestFit="1" customWidth="1"/>
    <col min="5" max="5" width="13.140625" bestFit="1" customWidth="1"/>
    <col min="6" max="6" width="18.85546875" bestFit="1" customWidth="1"/>
    <col min="7" max="7" width="14.42578125" bestFit="1" customWidth="1"/>
    <col min="8" max="8" width="14" bestFit="1" customWidth="1"/>
    <col min="9" max="9" width="13" bestFit="1" customWidth="1"/>
    <col min="10" max="10" width="11.28515625" customWidth="1"/>
    <col min="11" max="11" width="10.5703125" style="29" bestFit="1" customWidth="1"/>
    <col min="12" max="12" width="17.42578125" customWidth="1"/>
  </cols>
  <sheetData>
    <row r="1" spans="1:11" x14ac:dyDescent="0.25">
      <c r="A1" t="s">
        <v>10</v>
      </c>
      <c r="B1" t="s">
        <v>60</v>
      </c>
      <c r="C1" t="s">
        <v>61</v>
      </c>
      <c r="D1" t="s">
        <v>67</v>
      </c>
      <c r="E1" t="s">
        <v>72</v>
      </c>
      <c r="F1" t="s">
        <v>68</v>
      </c>
      <c r="G1" t="s">
        <v>71</v>
      </c>
      <c r="H1" t="s">
        <v>69</v>
      </c>
      <c r="I1" t="s">
        <v>70</v>
      </c>
      <c r="J1" t="s">
        <v>66</v>
      </c>
      <c r="K1" s="1" t="s">
        <v>73</v>
      </c>
    </row>
    <row r="2" spans="1:11" x14ac:dyDescent="0.25">
      <c r="A2">
        <v>1</v>
      </c>
      <c r="B2" t="s">
        <v>11</v>
      </c>
      <c r="C2" t="s">
        <v>62</v>
      </c>
      <c r="D2">
        <v>8</v>
      </c>
      <c r="E2">
        <v>0</v>
      </c>
      <c r="F2">
        <v>8</v>
      </c>
      <c r="G2">
        <v>0</v>
      </c>
      <c r="H2">
        <v>5</v>
      </c>
      <c r="I2">
        <v>3</v>
      </c>
      <c r="J2">
        <v>0</v>
      </c>
      <c r="K2" s="31">
        <f>IF(MIN(LAPTOP_PRODUCTION[[#This Row],[ON PROCESS]:[WINDOWS]]) &lt; 0,
    SUM(LAPTOP_PRODUCTION[[#This Row],[ON PROCESS]:[WINDOWS]], LAPTOP_PRODUCTION[[#This Row],[TOTAL OUT]], LAPTOP_PRODUCTION[[#This Row],[BACKJOB]], -LAPTOP_PRODUCTION[[#This Row],[TOTAL IN]] -MIN(LAPTOP_PRODUCTION[[#This Row],[ON PROCESS]:[WINDOWS]])),
    SUM(LAPTOP_PRODUCTION[[#This Row],[ON PROCESS]:[WINDOWS]], LAPTOP_PRODUCTION[[#This Row],[TOTAL OUT]], LAPTOP_PRODUCTION[[#This Row],[BACKJOB]], -LAPTOP_PRODUCTION[[#This Row],[TOTAL IN]])
)</f>
        <v>0</v>
      </c>
    </row>
    <row r="3" spans="1:11" x14ac:dyDescent="0.25">
      <c r="A3">
        <v>2</v>
      </c>
      <c r="B3" t="s">
        <v>12</v>
      </c>
      <c r="C3" t="s">
        <v>62</v>
      </c>
      <c r="D3">
        <v>135</v>
      </c>
      <c r="E3">
        <v>0</v>
      </c>
      <c r="F3">
        <v>135</v>
      </c>
      <c r="G3">
        <v>106</v>
      </c>
      <c r="H3">
        <v>22</v>
      </c>
      <c r="I3">
        <v>7</v>
      </c>
      <c r="J3">
        <v>0</v>
      </c>
      <c r="K3" s="31">
        <f>IF(MIN(LAPTOP_PRODUCTION[[#This Row],[ON PROCESS]:[WINDOWS]]) &lt; 0,
    SUM(LAPTOP_PRODUCTION[[#This Row],[ON PROCESS]:[WINDOWS]], LAPTOP_PRODUCTION[[#This Row],[TOTAL OUT]], LAPTOP_PRODUCTION[[#This Row],[BACKJOB]], -LAPTOP_PRODUCTION[[#This Row],[TOTAL IN]] -MIN(LAPTOP_PRODUCTION[[#This Row],[ON PROCESS]:[WINDOWS]])),
    SUM(LAPTOP_PRODUCTION[[#This Row],[ON PROCESS]:[WINDOWS]], LAPTOP_PRODUCTION[[#This Row],[TOTAL OUT]], LAPTOP_PRODUCTION[[#This Row],[BACKJOB]], -LAPTOP_PRODUCTION[[#This Row],[TOTAL IN]])
)</f>
        <v>0</v>
      </c>
    </row>
    <row r="4" spans="1:11" x14ac:dyDescent="0.25">
      <c r="A4">
        <v>3</v>
      </c>
      <c r="B4" t="s">
        <v>13</v>
      </c>
      <c r="C4" t="s">
        <v>62</v>
      </c>
      <c r="D4">
        <v>83</v>
      </c>
      <c r="E4">
        <v>0</v>
      </c>
      <c r="F4">
        <v>83</v>
      </c>
      <c r="G4">
        <v>10</v>
      </c>
      <c r="H4">
        <v>1</v>
      </c>
      <c r="I4">
        <v>72</v>
      </c>
      <c r="J4">
        <v>0</v>
      </c>
      <c r="K4" s="31">
        <f>IF(MIN(LAPTOP_PRODUCTION[[#This Row],[ON PROCESS]:[WINDOWS]]) &lt; 0,
    SUM(LAPTOP_PRODUCTION[[#This Row],[ON PROCESS]:[WINDOWS]], LAPTOP_PRODUCTION[[#This Row],[TOTAL OUT]], LAPTOP_PRODUCTION[[#This Row],[BACKJOB]], -LAPTOP_PRODUCTION[[#This Row],[TOTAL IN]] -MIN(LAPTOP_PRODUCTION[[#This Row],[ON PROCESS]:[WINDOWS]])),
    SUM(LAPTOP_PRODUCTION[[#This Row],[ON PROCESS]:[WINDOWS]], LAPTOP_PRODUCTION[[#This Row],[TOTAL OUT]], LAPTOP_PRODUCTION[[#This Row],[BACKJOB]], -LAPTOP_PRODUCTION[[#This Row],[TOTAL IN]])
)</f>
        <v>0</v>
      </c>
    </row>
    <row r="5" spans="1:11" x14ac:dyDescent="0.25">
      <c r="A5">
        <v>4</v>
      </c>
      <c r="B5" t="s">
        <v>14</v>
      </c>
      <c r="C5" t="s">
        <v>62</v>
      </c>
      <c r="D5">
        <v>66</v>
      </c>
      <c r="E5">
        <v>0</v>
      </c>
      <c r="F5">
        <v>66</v>
      </c>
      <c r="G5">
        <v>33</v>
      </c>
      <c r="H5">
        <v>30</v>
      </c>
      <c r="I5">
        <v>3</v>
      </c>
      <c r="J5">
        <v>0</v>
      </c>
      <c r="K5" s="31">
        <f>IF(MIN(LAPTOP_PRODUCTION[[#This Row],[ON PROCESS]:[WINDOWS]]) &lt; 0,
    SUM(LAPTOP_PRODUCTION[[#This Row],[ON PROCESS]:[WINDOWS]], LAPTOP_PRODUCTION[[#This Row],[TOTAL OUT]], LAPTOP_PRODUCTION[[#This Row],[BACKJOB]], -LAPTOP_PRODUCTION[[#This Row],[TOTAL IN]] -MIN(LAPTOP_PRODUCTION[[#This Row],[ON PROCESS]:[WINDOWS]])),
    SUM(LAPTOP_PRODUCTION[[#This Row],[ON PROCESS]:[WINDOWS]], LAPTOP_PRODUCTION[[#This Row],[TOTAL OUT]], LAPTOP_PRODUCTION[[#This Row],[BACKJOB]], -LAPTOP_PRODUCTION[[#This Row],[TOTAL IN]])
)</f>
        <v>0</v>
      </c>
    </row>
    <row r="6" spans="1:11" x14ac:dyDescent="0.25">
      <c r="A6">
        <v>5</v>
      </c>
      <c r="B6" t="s">
        <v>15</v>
      </c>
      <c r="C6" t="s">
        <v>62</v>
      </c>
      <c r="D6">
        <v>15</v>
      </c>
      <c r="E6">
        <v>0</v>
      </c>
      <c r="F6">
        <v>15</v>
      </c>
      <c r="G6">
        <v>4</v>
      </c>
      <c r="H6">
        <v>1</v>
      </c>
      <c r="I6">
        <v>10</v>
      </c>
      <c r="J6">
        <v>0</v>
      </c>
      <c r="K6" s="31">
        <f>IF(MIN(LAPTOP_PRODUCTION[[#This Row],[ON PROCESS]:[WINDOWS]]) &lt; 0,
    SUM(LAPTOP_PRODUCTION[[#This Row],[ON PROCESS]:[WINDOWS]], LAPTOP_PRODUCTION[[#This Row],[TOTAL OUT]], LAPTOP_PRODUCTION[[#This Row],[BACKJOB]], -LAPTOP_PRODUCTION[[#This Row],[TOTAL IN]] -MIN(LAPTOP_PRODUCTION[[#This Row],[ON PROCESS]:[WINDOWS]])),
    SUM(LAPTOP_PRODUCTION[[#This Row],[ON PROCESS]:[WINDOWS]], LAPTOP_PRODUCTION[[#This Row],[TOTAL OUT]], LAPTOP_PRODUCTION[[#This Row],[BACKJOB]], -LAPTOP_PRODUCTION[[#This Row],[TOTAL IN]])
)</f>
        <v>0</v>
      </c>
    </row>
    <row r="7" spans="1:11" x14ac:dyDescent="0.25">
      <c r="A7">
        <v>6</v>
      </c>
      <c r="B7" t="s">
        <v>16</v>
      </c>
      <c r="C7" t="s">
        <v>62</v>
      </c>
      <c r="D7">
        <v>135</v>
      </c>
      <c r="E7">
        <v>0</v>
      </c>
      <c r="F7">
        <v>135</v>
      </c>
      <c r="G7">
        <v>80</v>
      </c>
      <c r="H7">
        <v>55</v>
      </c>
      <c r="I7">
        <v>0</v>
      </c>
      <c r="J7">
        <v>0</v>
      </c>
      <c r="K7" s="31">
        <f>IF(MIN(LAPTOP_PRODUCTION[[#This Row],[ON PROCESS]:[WINDOWS]]) &lt; 0,
    SUM(LAPTOP_PRODUCTION[[#This Row],[ON PROCESS]:[WINDOWS]], LAPTOP_PRODUCTION[[#This Row],[TOTAL OUT]], LAPTOP_PRODUCTION[[#This Row],[BACKJOB]], -LAPTOP_PRODUCTION[[#This Row],[TOTAL IN]] -MIN(LAPTOP_PRODUCTION[[#This Row],[ON PROCESS]:[WINDOWS]])),
    SUM(LAPTOP_PRODUCTION[[#This Row],[ON PROCESS]:[WINDOWS]], LAPTOP_PRODUCTION[[#This Row],[TOTAL OUT]], LAPTOP_PRODUCTION[[#This Row],[BACKJOB]], -LAPTOP_PRODUCTION[[#This Row],[TOTAL IN]])
)</f>
        <v>0</v>
      </c>
    </row>
    <row r="8" spans="1:11" x14ac:dyDescent="0.25">
      <c r="A8">
        <v>7</v>
      </c>
      <c r="B8" t="s">
        <v>17</v>
      </c>
      <c r="C8" t="s">
        <v>62</v>
      </c>
      <c r="D8">
        <v>154</v>
      </c>
      <c r="E8">
        <v>0</v>
      </c>
      <c r="F8">
        <v>154</v>
      </c>
      <c r="G8">
        <v>114</v>
      </c>
      <c r="H8">
        <v>9</v>
      </c>
      <c r="I8">
        <v>31</v>
      </c>
      <c r="J8">
        <v>0</v>
      </c>
      <c r="K8" s="31">
        <f>IF(MIN(LAPTOP_PRODUCTION[[#This Row],[ON PROCESS]:[WINDOWS]]) &lt; 0,
    SUM(LAPTOP_PRODUCTION[[#This Row],[ON PROCESS]:[WINDOWS]], LAPTOP_PRODUCTION[[#This Row],[TOTAL OUT]], LAPTOP_PRODUCTION[[#This Row],[BACKJOB]], -LAPTOP_PRODUCTION[[#This Row],[TOTAL IN]] -MIN(LAPTOP_PRODUCTION[[#This Row],[ON PROCESS]:[WINDOWS]])),
    SUM(LAPTOP_PRODUCTION[[#This Row],[ON PROCESS]:[WINDOWS]], LAPTOP_PRODUCTION[[#This Row],[TOTAL OUT]], LAPTOP_PRODUCTION[[#This Row],[BACKJOB]], -LAPTOP_PRODUCTION[[#This Row],[TOTAL IN]])
)</f>
        <v>0</v>
      </c>
    </row>
    <row r="9" spans="1:11" x14ac:dyDescent="0.25">
      <c r="A9">
        <v>8</v>
      </c>
      <c r="B9" t="s">
        <v>18</v>
      </c>
      <c r="C9" t="s">
        <v>62</v>
      </c>
      <c r="D9">
        <v>62</v>
      </c>
      <c r="E9">
        <v>0</v>
      </c>
      <c r="F9">
        <v>62</v>
      </c>
      <c r="G9">
        <v>7</v>
      </c>
      <c r="H9">
        <v>55</v>
      </c>
      <c r="I9">
        <v>0</v>
      </c>
      <c r="J9">
        <v>0</v>
      </c>
      <c r="K9" s="31">
        <f>IF(MIN(LAPTOP_PRODUCTION[[#This Row],[ON PROCESS]:[WINDOWS]]) &lt; 0,
    SUM(LAPTOP_PRODUCTION[[#This Row],[ON PROCESS]:[WINDOWS]], LAPTOP_PRODUCTION[[#This Row],[TOTAL OUT]], LAPTOP_PRODUCTION[[#This Row],[BACKJOB]], -LAPTOP_PRODUCTION[[#This Row],[TOTAL IN]] -MIN(LAPTOP_PRODUCTION[[#This Row],[ON PROCESS]:[WINDOWS]])),
    SUM(LAPTOP_PRODUCTION[[#This Row],[ON PROCESS]:[WINDOWS]], LAPTOP_PRODUCTION[[#This Row],[TOTAL OUT]], LAPTOP_PRODUCTION[[#This Row],[BACKJOB]], -LAPTOP_PRODUCTION[[#This Row],[TOTAL IN]])
)</f>
        <v>0</v>
      </c>
    </row>
    <row r="10" spans="1:11" x14ac:dyDescent="0.25">
      <c r="A10">
        <v>9</v>
      </c>
      <c r="B10" t="s">
        <v>63</v>
      </c>
      <c r="C10" t="s">
        <v>62</v>
      </c>
      <c r="D10">
        <v>7</v>
      </c>
      <c r="E10">
        <v>0</v>
      </c>
      <c r="F10">
        <v>7</v>
      </c>
      <c r="G10">
        <v>2</v>
      </c>
      <c r="H10">
        <v>0</v>
      </c>
      <c r="I10">
        <v>5</v>
      </c>
      <c r="J10">
        <v>0</v>
      </c>
      <c r="K10" s="31">
        <f>IF(MIN(LAPTOP_PRODUCTION[[#This Row],[ON PROCESS]:[WINDOWS]]) &lt; 0,
    SUM(LAPTOP_PRODUCTION[[#This Row],[ON PROCESS]:[WINDOWS]], LAPTOP_PRODUCTION[[#This Row],[TOTAL OUT]], LAPTOP_PRODUCTION[[#This Row],[BACKJOB]], -LAPTOP_PRODUCTION[[#This Row],[TOTAL IN]] -MIN(LAPTOP_PRODUCTION[[#This Row],[ON PROCESS]:[WINDOWS]])),
    SUM(LAPTOP_PRODUCTION[[#This Row],[ON PROCESS]:[WINDOWS]], LAPTOP_PRODUCTION[[#This Row],[TOTAL OUT]], LAPTOP_PRODUCTION[[#This Row],[BACKJOB]], -LAPTOP_PRODUCTION[[#This Row],[TOTAL IN]])
)</f>
        <v>0</v>
      </c>
    </row>
    <row r="11" spans="1:11" x14ac:dyDescent="0.25">
      <c r="A11">
        <v>10</v>
      </c>
      <c r="B11" t="s">
        <v>64</v>
      </c>
      <c r="C11" t="s">
        <v>62</v>
      </c>
      <c r="D11">
        <v>5</v>
      </c>
      <c r="E11">
        <v>0</v>
      </c>
      <c r="F11">
        <v>5</v>
      </c>
      <c r="G11">
        <v>3</v>
      </c>
      <c r="H11">
        <v>0</v>
      </c>
      <c r="I11">
        <v>2</v>
      </c>
      <c r="J11">
        <v>0</v>
      </c>
      <c r="K11" s="31">
        <f>IF(MIN(LAPTOP_PRODUCTION[[#This Row],[ON PROCESS]:[WINDOWS]]) &lt; 0,
    SUM(LAPTOP_PRODUCTION[[#This Row],[ON PROCESS]:[WINDOWS]], LAPTOP_PRODUCTION[[#This Row],[TOTAL OUT]], LAPTOP_PRODUCTION[[#This Row],[BACKJOB]], -LAPTOP_PRODUCTION[[#This Row],[TOTAL IN]] -MIN(LAPTOP_PRODUCTION[[#This Row],[ON PROCESS]:[WINDOWS]])),
    SUM(LAPTOP_PRODUCTION[[#This Row],[ON PROCESS]:[WINDOWS]], LAPTOP_PRODUCTION[[#This Row],[TOTAL OUT]], LAPTOP_PRODUCTION[[#This Row],[BACKJOB]], -LAPTOP_PRODUCTION[[#This Row],[TOTAL IN]])
)</f>
        <v>0</v>
      </c>
    </row>
    <row r="12" spans="1:11" x14ac:dyDescent="0.25">
      <c r="A12">
        <v>11</v>
      </c>
      <c r="B12" t="s">
        <v>65</v>
      </c>
      <c r="C12" t="s">
        <v>62</v>
      </c>
      <c r="D12">
        <v>15</v>
      </c>
      <c r="E12">
        <v>0</v>
      </c>
      <c r="F12">
        <v>15</v>
      </c>
      <c r="G12">
        <v>0</v>
      </c>
      <c r="H12">
        <v>15</v>
      </c>
      <c r="I12">
        <v>0</v>
      </c>
      <c r="J12">
        <v>0</v>
      </c>
      <c r="K12" s="31">
        <f>IF(MIN(LAPTOP_PRODUCTION[[#This Row],[ON PROCESS]:[WINDOWS]]) &lt; 0,
    SUM(LAPTOP_PRODUCTION[[#This Row],[ON PROCESS]:[WINDOWS]], LAPTOP_PRODUCTION[[#This Row],[TOTAL OUT]], LAPTOP_PRODUCTION[[#This Row],[BACKJOB]], -LAPTOP_PRODUCTION[[#This Row],[TOTAL IN]] -MIN(LAPTOP_PRODUCTION[[#This Row],[ON PROCESS]:[WINDOWS]])),
    SUM(LAPTOP_PRODUCTION[[#This Row],[ON PROCESS]:[WINDOWS]], LAPTOP_PRODUCTION[[#This Row],[TOTAL OUT]], LAPTOP_PRODUCTION[[#This Row],[BACKJOB]], -LAPTOP_PRODUCTION[[#This Row],[TOTAL IN]])
)</f>
        <v>0</v>
      </c>
    </row>
    <row r="13" spans="1:11" x14ac:dyDescent="0.25">
      <c r="A13">
        <v>12</v>
      </c>
      <c r="B13" t="s">
        <v>19</v>
      </c>
      <c r="C13" t="s">
        <v>62</v>
      </c>
      <c r="D13">
        <v>37</v>
      </c>
      <c r="E13">
        <v>0</v>
      </c>
      <c r="F13">
        <v>37</v>
      </c>
      <c r="G13">
        <v>7</v>
      </c>
      <c r="H13">
        <v>11</v>
      </c>
      <c r="I13">
        <v>19</v>
      </c>
      <c r="J13">
        <v>0</v>
      </c>
      <c r="K13" s="31">
        <f>IF(MIN(LAPTOP_PRODUCTION[[#This Row],[ON PROCESS]:[WINDOWS]]) &lt; 0,
    SUM(LAPTOP_PRODUCTION[[#This Row],[ON PROCESS]:[WINDOWS]], LAPTOP_PRODUCTION[[#This Row],[TOTAL OUT]], LAPTOP_PRODUCTION[[#This Row],[BACKJOB]], -LAPTOP_PRODUCTION[[#This Row],[TOTAL IN]] -MIN(LAPTOP_PRODUCTION[[#This Row],[ON PROCESS]:[WINDOWS]])),
    SUM(LAPTOP_PRODUCTION[[#This Row],[ON PROCESS]:[WINDOWS]], LAPTOP_PRODUCTION[[#This Row],[TOTAL OUT]], LAPTOP_PRODUCTION[[#This Row],[BACKJOB]], -LAPTOP_PRODUCTION[[#This Row],[TOTAL IN]])
)</f>
        <v>0</v>
      </c>
    </row>
    <row r="14" spans="1:11" x14ac:dyDescent="0.25">
      <c r="A14">
        <v>13</v>
      </c>
      <c r="B14" t="s">
        <v>20</v>
      </c>
      <c r="C14" t="s">
        <v>62</v>
      </c>
      <c r="D14">
        <v>11</v>
      </c>
      <c r="E14">
        <v>0</v>
      </c>
      <c r="F14">
        <v>11</v>
      </c>
      <c r="G14">
        <v>10</v>
      </c>
      <c r="H14">
        <v>0</v>
      </c>
      <c r="I14">
        <v>1</v>
      </c>
      <c r="J14">
        <v>0</v>
      </c>
      <c r="K14" s="31">
        <f>IF(MIN(LAPTOP_PRODUCTION[[#This Row],[ON PROCESS]:[WINDOWS]]) &lt; 0,
    SUM(LAPTOP_PRODUCTION[[#This Row],[ON PROCESS]:[WINDOWS]], LAPTOP_PRODUCTION[[#This Row],[TOTAL OUT]], LAPTOP_PRODUCTION[[#This Row],[BACKJOB]], -LAPTOP_PRODUCTION[[#This Row],[TOTAL IN]] -MIN(LAPTOP_PRODUCTION[[#This Row],[ON PROCESS]:[WINDOWS]])),
    SUM(LAPTOP_PRODUCTION[[#This Row],[ON PROCESS]:[WINDOWS]], LAPTOP_PRODUCTION[[#This Row],[TOTAL OUT]], LAPTOP_PRODUCTION[[#This Row],[BACKJOB]], -LAPTOP_PRODUCTION[[#This Row],[TOTAL IN]])
)</f>
        <v>0</v>
      </c>
    </row>
    <row r="15" spans="1:11" x14ac:dyDescent="0.25">
      <c r="A15">
        <v>14</v>
      </c>
      <c r="B15" t="s">
        <v>21</v>
      </c>
      <c r="C15" t="s">
        <v>62</v>
      </c>
      <c r="D15">
        <v>27</v>
      </c>
      <c r="E15">
        <v>0</v>
      </c>
      <c r="F15">
        <v>27</v>
      </c>
      <c r="G15">
        <v>18</v>
      </c>
      <c r="H15">
        <v>2</v>
      </c>
      <c r="I15">
        <v>7</v>
      </c>
      <c r="J15">
        <v>0</v>
      </c>
      <c r="K15" s="31">
        <f>IF(MIN(LAPTOP_PRODUCTION[[#This Row],[ON PROCESS]:[WINDOWS]]) &lt; 0,
    SUM(LAPTOP_PRODUCTION[[#This Row],[ON PROCESS]:[WINDOWS]], LAPTOP_PRODUCTION[[#This Row],[TOTAL OUT]], LAPTOP_PRODUCTION[[#This Row],[BACKJOB]], -LAPTOP_PRODUCTION[[#This Row],[TOTAL IN]] -MIN(LAPTOP_PRODUCTION[[#This Row],[ON PROCESS]:[WINDOWS]])),
    SUM(LAPTOP_PRODUCTION[[#This Row],[ON PROCESS]:[WINDOWS]], LAPTOP_PRODUCTION[[#This Row],[TOTAL OUT]], LAPTOP_PRODUCTION[[#This Row],[BACKJOB]], -LAPTOP_PRODUCTION[[#This Row],[TOTAL IN]])
)</f>
        <v>0</v>
      </c>
    </row>
    <row r="16" spans="1:11" x14ac:dyDescent="0.25">
      <c r="A16">
        <v>15</v>
      </c>
      <c r="B16" t="s">
        <v>22</v>
      </c>
      <c r="C16" t="s">
        <v>62</v>
      </c>
      <c r="D16">
        <v>7</v>
      </c>
      <c r="E16">
        <v>0</v>
      </c>
      <c r="F16">
        <v>7</v>
      </c>
      <c r="G16">
        <v>0</v>
      </c>
      <c r="H16">
        <v>3</v>
      </c>
      <c r="I16">
        <v>4</v>
      </c>
      <c r="J16">
        <v>0</v>
      </c>
      <c r="K16" s="31">
        <f>IF(MIN(LAPTOP_PRODUCTION[[#This Row],[ON PROCESS]:[WINDOWS]]) &lt; 0,
    SUM(LAPTOP_PRODUCTION[[#This Row],[ON PROCESS]:[WINDOWS]], LAPTOP_PRODUCTION[[#This Row],[TOTAL OUT]], LAPTOP_PRODUCTION[[#This Row],[BACKJOB]], -LAPTOP_PRODUCTION[[#This Row],[TOTAL IN]] -MIN(LAPTOP_PRODUCTION[[#This Row],[ON PROCESS]:[WINDOWS]])),
    SUM(LAPTOP_PRODUCTION[[#This Row],[ON PROCESS]:[WINDOWS]], LAPTOP_PRODUCTION[[#This Row],[TOTAL OUT]], LAPTOP_PRODUCTION[[#This Row],[BACKJOB]], -LAPTOP_PRODUCTION[[#This Row],[TOTAL IN]])
)</f>
        <v>0</v>
      </c>
    </row>
    <row r="17" spans="1:11" x14ac:dyDescent="0.25">
      <c r="A17">
        <v>16</v>
      </c>
      <c r="B17" t="s">
        <v>23</v>
      </c>
      <c r="C17" t="s">
        <v>62</v>
      </c>
      <c r="D17">
        <v>2</v>
      </c>
      <c r="E17">
        <v>0</v>
      </c>
      <c r="F17">
        <v>2</v>
      </c>
      <c r="G17">
        <v>0</v>
      </c>
      <c r="H17">
        <v>2</v>
      </c>
      <c r="I17">
        <v>0</v>
      </c>
      <c r="J17">
        <v>0</v>
      </c>
      <c r="K17" s="31">
        <f>IF(MIN(LAPTOP_PRODUCTION[[#This Row],[ON PROCESS]:[WINDOWS]]) &lt; 0,
    SUM(LAPTOP_PRODUCTION[[#This Row],[ON PROCESS]:[WINDOWS]], LAPTOP_PRODUCTION[[#This Row],[TOTAL OUT]], LAPTOP_PRODUCTION[[#This Row],[BACKJOB]], -LAPTOP_PRODUCTION[[#This Row],[TOTAL IN]] -MIN(LAPTOP_PRODUCTION[[#This Row],[ON PROCESS]:[WINDOWS]])),
    SUM(LAPTOP_PRODUCTION[[#This Row],[ON PROCESS]:[WINDOWS]], LAPTOP_PRODUCTION[[#This Row],[TOTAL OUT]], LAPTOP_PRODUCTION[[#This Row],[BACKJOB]], -LAPTOP_PRODUCTION[[#This Row],[TOTAL IN]])
)</f>
        <v>0</v>
      </c>
    </row>
    <row r="18" spans="1:11" x14ac:dyDescent="0.25">
      <c r="A18">
        <v>17</v>
      </c>
      <c r="B18" t="s">
        <v>24</v>
      </c>
      <c r="C18" t="s">
        <v>62</v>
      </c>
      <c r="D18">
        <v>5</v>
      </c>
      <c r="E18">
        <v>0</v>
      </c>
      <c r="F18">
        <v>5</v>
      </c>
      <c r="G18">
        <v>0</v>
      </c>
      <c r="H18">
        <v>5</v>
      </c>
      <c r="I18">
        <v>0</v>
      </c>
      <c r="J18">
        <v>0</v>
      </c>
      <c r="K18" s="31">
        <f>IF(MIN(LAPTOP_PRODUCTION[[#This Row],[ON PROCESS]:[WINDOWS]]) &lt; 0,
    SUM(LAPTOP_PRODUCTION[[#This Row],[ON PROCESS]:[WINDOWS]], LAPTOP_PRODUCTION[[#This Row],[TOTAL OUT]], LAPTOP_PRODUCTION[[#This Row],[BACKJOB]], -LAPTOP_PRODUCTION[[#This Row],[TOTAL IN]] -MIN(LAPTOP_PRODUCTION[[#This Row],[ON PROCESS]:[WINDOWS]])),
    SUM(LAPTOP_PRODUCTION[[#This Row],[ON PROCESS]:[WINDOWS]], LAPTOP_PRODUCTION[[#This Row],[TOTAL OUT]], LAPTOP_PRODUCTION[[#This Row],[BACKJOB]], -LAPTOP_PRODUCTION[[#This Row],[TOTAL IN]])
)</f>
        <v>0</v>
      </c>
    </row>
    <row r="19" spans="1:11" x14ac:dyDescent="0.25">
      <c r="A19">
        <v>18</v>
      </c>
      <c r="B19" t="s">
        <v>25</v>
      </c>
      <c r="C19" t="s">
        <v>62</v>
      </c>
      <c r="D19">
        <v>2</v>
      </c>
      <c r="E19">
        <v>0</v>
      </c>
      <c r="F19">
        <v>2</v>
      </c>
      <c r="G19">
        <v>0</v>
      </c>
      <c r="H19">
        <v>0</v>
      </c>
      <c r="I19">
        <v>2</v>
      </c>
      <c r="J19">
        <v>0</v>
      </c>
      <c r="K19" s="31">
        <f>IF(MIN(LAPTOP_PRODUCTION[[#This Row],[ON PROCESS]:[WINDOWS]]) &lt; 0,
    SUM(LAPTOP_PRODUCTION[[#This Row],[ON PROCESS]:[WINDOWS]], LAPTOP_PRODUCTION[[#This Row],[TOTAL OUT]], LAPTOP_PRODUCTION[[#This Row],[BACKJOB]], -LAPTOP_PRODUCTION[[#This Row],[TOTAL IN]] -MIN(LAPTOP_PRODUCTION[[#This Row],[ON PROCESS]:[WINDOWS]])),
    SUM(LAPTOP_PRODUCTION[[#This Row],[ON PROCESS]:[WINDOWS]], LAPTOP_PRODUCTION[[#This Row],[TOTAL OUT]], LAPTOP_PRODUCTION[[#This Row],[BACKJOB]], -LAPTOP_PRODUCTION[[#This Row],[TOTAL IN]])
)</f>
        <v>0</v>
      </c>
    </row>
    <row r="20" spans="1:11" x14ac:dyDescent="0.25">
      <c r="A20">
        <v>19</v>
      </c>
      <c r="B20" t="s">
        <v>26</v>
      </c>
      <c r="C20" t="s">
        <v>62</v>
      </c>
      <c r="D20">
        <v>1</v>
      </c>
      <c r="E20">
        <v>0</v>
      </c>
      <c r="F20">
        <v>1</v>
      </c>
      <c r="G20">
        <v>0</v>
      </c>
      <c r="H20">
        <v>1</v>
      </c>
      <c r="I20">
        <v>0</v>
      </c>
      <c r="J20">
        <v>0</v>
      </c>
      <c r="K20" s="31">
        <f>IF(MIN(LAPTOP_PRODUCTION[[#This Row],[ON PROCESS]:[WINDOWS]]) &lt; 0,
    SUM(LAPTOP_PRODUCTION[[#This Row],[ON PROCESS]:[WINDOWS]], LAPTOP_PRODUCTION[[#This Row],[TOTAL OUT]], LAPTOP_PRODUCTION[[#This Row],[BACKJOB]], -LAPTOP_PRODUCTION[[#This Row],[TOTAL IN]] -MIN(LAPTOP_PRODUCTION[[#This Row],[ON PROCESS]:[WINDOWS]])),
    SUM(LAPTOP_PRODUCTION[[#This Row],[ON PROCESS]:[WINDOWS]], LAPTOP_PRODUCTION[[#This Row],[TOTAL OUT]], LAPTOP_PRODUCTION[[#This Row],[BACKJOB]], -LAPTOP_PRODUCTION[[#This Row],[TOTAL IN]])
)</f>
        <v>0</v>
      </c>
    </row>
    <row r="21" spans="1:11" x14ac:dyDescent="0.25">
      <c r="A21">
        <v>20</v>
      </c>
      <c r="B21" t="s">
        <v>27</v>
      </c>
      <c r="C21" t="s">
        <v>62</v>
      </c>
      <c r="D21">
        <v>6</v>
      </c>
      <c r="E21">
        <v>0</v>
      </c>
      <c r="F21">
        <v>6</v>
      </c>
      <c r="G21">
        <v>0</v>
      </c>
      <c r="H21">
        <v>6</v>
      </c>
      <c r="I21">
        <v>0</v>
      </c>
      <c r="J21">
        <v>0</v>
      </c>
      <c r="K21" s="31">
        <f>IF(MIN(LAPTOP_PRODUCTION[[#This Row],[ON PROCESS]:[WINDOWS]]) &lt; 0,
    SUM(LAPTOP_PRODUCTION[[#This Row],[ON PROCESS]:[WINDOWS]], LAPTOP_PRODUCTION[[#This Row],[TOTAL OUT]], LAPTOP_PRODUCTION[[#This Row],[BACKJOB]], -LAPTOP_PRODUCTION[[#This Row],[TOTAL IN]] -MIN(LAPTOP_PRODUCTION[[#This Row],[ON PROCESS]:[WINDOWS]])),
    SUM(LAPTOP_PRODUCTION[[#This Row],[ON PROCESS]:[WINDOWS]], LAPTOP_PRODUCTION[[#This Row],[TOTAL OUT]], LAPTOP_PRODUCTION[[#This Row],[BACKJOB]], -LAPTOP_PRODUCTION[[#This Row],[TOTAL IN]])
)</f>
        <v>0</v>
      </c>
    </row>
    <row r="22" spans="1:11" x14ac:dyDescent="0.25">
      <c r="A22">
        <v>21</v>
      </c>
      <c r="B22" t="s">
        <v>28</v>
      </c>
      <c r="C22" t="s">
        <v>62</v>
      </c>
      <c r="D22">
        <v>2</v>
      </c>
      <c r="E22">
        <v>0</v>
      </c>
      <c r="F22">
        <v>2</v>
      </c>
      <c r="G22">
        <v>0</v>
      </c>
      <c r="H22">
        <v>0</v>
      </c>
      <c r="I22">
        <v>2</v>
      </c>
      <c r="J22">
        <v>0</v>
      </c>
      <c r="K22" s="31">
        <f>IF(MIN(LAPTOP_PRODUCTION[[#This Row],[ON PROCESS]:[WINDOWS]]) &lt; 0,
    SUM(LAPTOP_PRODUCTION[[#This Row],[ON PROCESS]:[WINDOWS]], LAPTOP_PRODUCTION[[#This Row],[TOTAL OUT]], LAPTOP_PRODUCTION[[#This Row],[BACKJOB]], -LAPTOP_PRODUCTION[[#This Row],[TOTAL IN]] -MIN(LAPTOP_PRODUCTION[[#This Row],[ON PROCESS]:[WINDOWS]])),
    SUM(LAPTOP_PRODUCTION[[#This Row],[ON PROCESS]:[WINDOWS]], LAPTOP_PRODUCTION[[#This Row],[TOTAL OUT]], LAPTOP_PRODUCTION[[#This Row],[BACKJOB]], -LAPTOP_PRODUCTION[[#This Row],[TOTAL IN]])
)</f>
        <v>0</v>
      </c>
    </row>
    <row r="23" spans="1:11" x14ac:dyDescent="0.25">
      <c r="A23">
        <v>22</v>
      </c>
      <c r="B23" t="s">
        <v>29</v>
      </c>
      <c r="C23" t="s">
        <v>62</v>
      </c>
      <c r="D23">
        <v>99</v>
      </c>
      <c r="E23">
        <v>0</v>
      </c>
      <c r="F23">
        <v>99</v>
      </c>
      <c r="G23">
        <v>14</v>
      </c>
      <c r="H23">
        <v>13</v>
      </c>
      <c r="I23">
        <v>72</v>
      </c>
      <c r="J23">
        <v>0</v>
      </c>
      <c r="K23" s="31">
        <f>IF(MIN(LAPTOP_PRODUCTION[[#This Row],[ON PROCESS]:[WINDOWS]]) &lt; 0,
    SUM(LAPTOP_PRODUCTION[[#This Row],[ON PROCESS]:[WINDOWS]], LAPTOP_PRODUCTION[[#This Row],[TOTAL OUT]], LAPTOP_PRODUCTION[[#This Row],[BACKJOB]], -LAPTOP_PRODUCTION[[#This Row],[TOTAL IN]] -MIN(LAPTOP_PRODUCTION[[#This Row],[ON PROCESS]:[WINDOWS]])),
    SUM(LAPTOP_PRODUCTION[[#This Row],[ON PROCESS]:[WINDOWS]], LAPTOP_PRODUCTION[[#This Row],[TOTAL OUT]], LAPTOP_PRODUCTION[[#This Row],[BACKJOB]], -LAPTOP_PRODUCTION[[#This Row],[TOTAL IN]])
)</f>
        <v>0</v>
      </c>
    </row>
    <row r="24" spans="1:11" x14ac:dyDescent="0.25">
      <c r="A24">
        <v>23</v>
      </c>
      <c r="B24" t="s">
        <v>30</v>
      </c>
      <c r="C24" t="s">
        <v>62</v>
      </c>
      <c r="D24">
        <v>9</v>
      </c>
      <c r="E24">
        <v>0</v>
      </c>
      <c r="F24">
        <v>9</v>
      </c>
      <c r="G24">
        <v>0</v>
      </c>
      <c r="H24">
        <v>7</v>
      </c>
      <c r="I24">
        <v>2</v>
      </c>
      <c r="J24">
        <v>0</v>
      </c>
      <c r="K24" s="31">
        <f>IF(MIN(LAPTOP_PRODUCTION[[#This Row],[ON PROCESS]:[WINDOWS]]) &lt; 0,
    SUM(LAPTOP_PRODUCTION[[#This Row],[ON PROCESS]:[WINDOWS]], LAPTOP_PRODUCTION[[#This Row],[TOTAL OUT]], LAPTOP_PRODUCTION[[#This Row],[BACKJOB]], -LAPTOP_PRODUCTION[[#This Row],[TOTAL IN]] -MIN(LAPTOP_PRODUCTION[[#This Row],[ON PROCESS]:[WINDOWS]])),
    SUM(LAPTOP_PRODUCTION[[#This Row],[ON PROCESS]:[WINDOWS]], LAPTOP_PRODUCTION[[#This Row],[TOTAL OUT]], LAPTOP_PRODUCTION[[#This Row],[BACKJOB]], -LAPTOP_PRODUCTION[[#This Row],[TOTAL IN]])
)</f>
        <v>0</v>
      </c>
    </row>
    <row r="25" spans="1:11" x14ac:dyDescent="0.25">
      <c r="A25">
        <v>24</v>
      </c>
      <c r="B25" t="s">
        <v>31</v>
      </c>
      <c r="C25" t="s">
        <v>62</v>
      </c>
      <c r="D25">
        <v>2</v>
      </c>
      <c r="E25">
        <v>0</v>
      </c>
      <c r="F25">
        <v>2</v>
      </c>
      <c r="G25">
        <v>0</v>
      </c>
      <c r="H25">
        <v>1</v>
      </c>
      <c r="I25">
        <v>1</v>
      </c>
      <c r="J25">
        <v>0</v>
      </c>
      <c r="K25" s="31">
        <f>IF(MIN(LAPTOP_PRODUCTION[[#This Row],[ON PROCESS]:[WINDOWS]]) &lt; 0,
    SUM(LAPTOP_PRODUCTION[[#This Row],[ON PROCESS]:[WINDOWS]], LAPTOP_PRODUCTION[[#This Row],[TOTAL OUT]], LAPTOP_PRODUCTION[[#This Row],[BACKJOB]], -LAPTOP_PRODUCTION[[#This Row],[TOTAL IN]] -MIN(LAPTOP_PRODUCTION[[#This Row],[ON PROCESS]:[WINDOWS]])),
    SUM(LAPTOP_PRODUCTION[[#This Row],[ON PROCESS]:[WINDOWS]], LAPTOP_PRODUCTION[[#This Row],[TOTAL OUT]], LAPTOP_PRODUCTION[[#This Row],[BACKJOB]], -LAPTOP_PRODUCTION[[#This Row],[TOTAL IN]])
)</f>
        <v>0</v>
      </c>
    </row>
    <row r="26" spans="1:11" x14ac:dyDescent="0.25">
      <c r="A26">
        <v>25</v>
      </c>
      <c r="B26" t="s">
        <v>32</v>
      </c>
      <c r="C26" t="s">
        <v>62</v>
      </c>
      <c r="D26">
        <v>8</v>
      </c>
      <c r="E26">
        <v>0</v>
      </c>
      <c r="F26">
        <v>8</v>
      </c>
      <c r="G26">
        <v>0</v>
      </c>
      <c r="H26">
        <v>1</v>
      </c>
      <c r="I26">
        <v>7</v>
      </c>
      <c r="J26">
        <v>0</v>
      </c>
      <c r="K26" s="31">
        <f>IF(MIN(LAPTOP_PRODUCTION[[#This Row],[ON PROCESS]:[WINDOWS]]) &lt; 0,
    SUM(LAPTOP_PRODUCTION[[#This Row],[ON PROCESS]:[WINDOWS]], LAPTOP_PRODUCTION[[#This Row],[TOTAL OUT]], LAPTOP_PRODUCTION[[#This Row],[BACKJOB]], -LAPTOP_PRODUCTION[[#This Row],[TOTAL IN]] -MIN(LAPTOP_PRODUCTION[[#This Row],[ON PROCESS]:[WINDOWS]])),
    SUM(LAPTOP_PRODUCTION[[#This Row],[ON PROCESS]:[WINDOWS]], LAPTOP_PRODUCTION[[#This Row],[TOTAL OUT]], LAPTOP_PRODUCTION[[#This Row],[BACKJOB]], -LAPTOP_PRODUCTION[[#This Row],[TOTAL IN]])
)</f>
        <v>0</v>
      </c>
    </row>
    <row r="27" spans="1:11" x14ac:dyDescent="0.25">
      <c r="A27">
        <v>26</v>
      </c>
      <c r="B27" t="s">
        <v>33</v>
      </c>
      <c r="C27" t="s">
        <v>62</v>
      </c>
      <c r="D27">
        <v>4</v>
      </c>
      <c r="E27">
        <v>0</v>
      </c>
      <c r="F27">
        <v>4</v>
      </c>
      <c r="G27">
        <v>0</v>
      </c>
      <c r="H27">
        <v>0</v>
      </c>
      <c r="I27">
        <v>4</v>
      </c>
      <c r="J27">
        <v>0</v>
      </c>
      <c r="K27" s="31">
        <f>IF(MIN(LAPTOP_PRODUCTION[[#This Row],[ON PROCESS]:[WINDOWS]]) &lt; 0,
    SUM(LAPTOP_PRODUCTION[[#This Row],[ON PROCESS]:[WINDOWS]], LAPTOP_PRODUCTION[[#This Row],[TOTAL OUT]], LAPTOP_PRODUCTION[[#This Row],[BACKJOB]], -LAPTOP_PRODUCTION[[#This Row],[TOTAL IN]] -MIN(LAPTOP_PRODUCTION[[#This Row],[ON PROCESS]:[WINDOWS]])),
    SUM(LAPTOP_PRODUCTION[[#This Row],[ON PROCESS]:[WINDOWS]], LAPTOP_PRODUCTION[[#This Row],[TOTAL OUT]], LAPTOP_PRODUCTION[[#This Row],[BACKJOB]], -LAPTOP_PRODUCTION[[#This Row],[TOTAL IN]])
)</f>
        <v>0</v>
      </c>
    </row>
    <row r="28" spans="1:11" x14ac:dyDescent="0.25">
      <c r="A28">
        <v>27</v>
      </c>
      <c r="B28" t="s">
        <v>34</v>
      </c>
      <c r="C28" t="s">
        <v>62</v>
      </c>
      <c r="D28">
        <v>12</v>
      </c>
      <c r="E28">
        <v>0</v>
      </c>
      <c r="F28">
        <v>12</v>
      </c>
      <c r="G28">
        <v>1</v>
      </c>
      <c r="H28">
        <v>11</v>
      </c>
      <c r="I28">
        <v>0</v>
      </c>
      <c r="J28">
        <v>0</v>
      </c>
      <c r="K28" s="31">
        <f>IF(MIN(LAPTOP_PRODUCTION[[#This Row],[ON PROCESS]:[WINDOWS]]) &lt; 0,
    SUM(LAPTOP_PRODUCTION[[#This Row],[ON PROCESS]:[WINDOWS]], LAPTOP_PRODUCTION[[#This Row],[TOTAL OUT]], LAPTOP_PRODUCTION[[#This Row],[BACKJOB]], -LAPTOP_PRODUCTION[[#This Row],[TOTAL IN]] -MIN(LAPTOP_PRODUCTION[[#This Row],[ON PROCESS]:[WINDOWS]])),
    SUM(LAPTOP_PRODUCTION[[#This Row],[ON PROCESS]:[WINDOWS]], LAPTOP_PRODUCTION[[#This Row],[TOTAL OUT]], LAPTOP_PRODUCTION[[#This Row],[BACKJOB]], -LAPTOP_PRODUCTION[[#This Row],[TOTAL IN]])
)</f>
        <v>0</v>
      </c>
    </row>
    <row r="29" spans="1:11" x14ac:dyDescent="0.25">
      <c r="A29">
        <v>28</v>
      </c>
      <c r="B29" t="s">
        <v>35</v>
      </c>
      <c r="C29" t="s">
        <v>62</v>
      </c>
      <c r="D29">
        <v>5</v>
      </c>
      <c r="E29">
        <v>0</v>
      </c>
      <c r="F29">
        <v>5</v>
      </c>
      <c r="G29">
        <v>0</v>
      </c>
      <c r="H29">
        <v>0</v>
      </c>
      <c r="I29">
        <v>5</v>
      </c>
      <c r="J29">
        <v>0</v>
      </c>
      <c r="K29" s="31">
        <f>IF(MIN(LAPTOP_PRODUCTION[[#This Row],[ON PROCESS]:[WINDOWS]]) &lt; 0,
    SUM(LAPTOP_PRODUCTION[[#This Row],[ON PROCESS]:[WINDOWS]], LAPTOP_PRODUCTION[[#This Row],[TOTAL OUT]], LAPTOP_PRODUCTION[[#This Row],[BACKJOB]], -LAPTOP_PRODUCTION[[#This Row],[TOTAL IN]] -MIN(LAPTOP_PRODUCTION[[#This Row],[ON PROCESS]:[WINDOWS]])),
    SUM(LAPTOP_PRODUCTION[[#This Row],[ON PROCESS]:[WINDOWS]], LAPTOP_PRODUCTION[[#This Row],[TOTAL OUT]], LAPTOP_PRODUCTION[[#This Row],[BACKJOB]], -LAPTOP_PRODUCTION[[#This Row],[TOTAL IN]])
)</f>
        <v>0</v>
      </c>
    </row>
    <row r="30" spans="1:11" x14ac:dyDescent="0.25">
      <c r="A30">
        <v>29</v>
      </c>
      <c r="B30" t="s">
        <v>36</v>
      </c>
      <c r="C30" t="s">
        <v>62</v>
      </c>
      <c r="D30">
        <v>14</v>
      </c>
      <c r="E30">
        <v>0</v>
      </c>
      <c r="F30">
        <v>14</v>
      </c>
      <c r="G30">
        <v>5</v>
      </c>
      <c r="H30">
        <v>1</v>
      </c>
      <c r="I30">
        <v>8</v>
      </c>
      <c r="J30">
        <v>0</v>
      </c>
      <c r="K30" s="31">
        <f>IF(MIN(LAPTOP_PRODUCTION[[#This Row],[ON PROCESS]:[WINDOWS]]) &lt; 0,
    SUM(LAPTOP_PRODUCTION[[#This Row],[ON PROCESS]:[WINDOWS]], LAPTOP_PRODUCTION[[#This Row],[TOTAL OUT]], LAPTOP_PRODUCTION[[#This Row],[BACKJOB]], -LAPTOP_PRODUCTION[[#This Row],[TOTAL IN]] -MIN(LAPTOP_PRODUCTION[[#This Row],[ON PROCESS]:[WINDOWS]])),
    SUM(LAPTOP_PRODUCTION[[#This Row],[ON PROCESS]:[WINDOWS]], LAPTOP_PRODUCTION[[#This Row],[TOTAL OUT]], LAPTOP_PRODUCTION[[#This Row],[BACKJOB]], -LAPTOP_PRODUCTION[[#This Row],[TOTAL IN]])
)</f>
        <v>0</v>
      </c>
    </row>
    <row r="31" spans="1:11" x14ac:dyDescent="0.25">
      <c r="A31">
        <v>30</v>
      </c>
      <c r="B31" t="s">
        <v>37</v>
      </c>
      <c r="C31" t="s">
        <v>62</v>
      </c>
      <c r="D31">
        <v>4</v>
      </c>
      <c r="E31">
        <v>0</v>
      </c>
      <c r="F31">
        <v>4</v>
      </c>
      <c r="G31">
        <v>4</v>
      </c>
      <c r="H31">
        <v>0</v>
      </c>
      <c r="I31">
        <v>0</v>
      </c>
      <c r="J31">
        <v>0</v>
      </c>
      <c r="K31" s="31">
        <f>IF(MIN(LAPTOP_PRODUCTION[[#This Row],[ON PROCESS]:[WINDOWS]]) &lt; 0,
    SUM(LAPTOP_PRODUCTION[[#This Row],[ON PROCESS]:[WINDOWS]], LAPTOP_PRODUCTION[[#This Row],[TOTAL OUT]], LAPTOP_PRODUCTION[[#This Row],[BACKJOB]], -LAPTOP_PRODUCTION[[#This Row],[TOTAL IN]] -MIN(LAPTOP_PRODUCTION[[#This Row],[ON PROCESS]:[WINDOWS]])),
    SUM(LAPTOP_PRODUCTION[[#This Row],[ON PROCESS]:[WINDOWS]], LAPTOP_PRODUCTION[[#This Row],[TOTAL OUT]], LAPTOP_PRODUCTION[[#This Row],[BACKJOB]], -LAPTOP_PRODUCTION[[#This Row],[TOTAL IN]])
)</f>
        <v>0</v>
      </c>
    </row>
    <row r="32" spans="1:11" x14ac:dyDescent="0.25">
      <c r="A32">
        <v>31</v>
      </c>
      <c r="B32" t="s">
        <v>38</v>
      </c>
      <c r="C32" t="s">
        <v>62</v>
      </c>
      <c r="D32">
        <v>3</v>
      </c>
      <c r="E32">
        <v>0</v>
      </c>
      <c r="F32">
        <v>3</v>
      </c>
      <c r="G32">
        <v>3</v>
      </c>
      <c r="H32">
        <v>0</v>
      </c>
      <c r="I32">
        <v>0</v>
      </c>
      <c r="J32">
        <v>0</v>
      </c>
      <c r="K32" s="31">
        <f>IF(MIN(LAPTOP_PRODUCTION[[#This Row],[ON PROCESS]:[WINDOWS]]) &lt; 0,
    SUM(LAPTOP_PRODUCTION[[#This Row],[ON PROCESS]:[WINDOWS]], LAPTOP_PRODUCTION[[#This Row],[TOTAL OUT]], LAPTOP_PRODUCTION[[#This Row],[BACKJOB]], -LAPTOP_PRODUCTION[[#This Row],[TOTAL IN]] -MIN(LAPTOP_PRODUCTION[[#This Row],[ON PROCESS]:[WINDOWS]])),
    SUM(LAPTOP_PRODUCTION[[#This Row],[ON PROCESS]:[WINDOWS]], LAPTOP_PRODUCTION[[#This Row],[TOTAL OUT]], LAPTOP_PRODUCTION[[#This Row],[BACKJOB]], -LAPTOP_PRODUCTION[[#This Row],[TOTAL IN]])
)</f>
        <v>0</v>
      </c>
    </row>
    <row r="33" spans="1:11" x14ac:dyDescent="0.25">
      <c r="A33">
        <v>32</v>
      </c>
      <c r="B33" t="s">
        <v>39</v>
      </c>
      <c r="C33" t="s">
        <v>62</v>
      </c>
      <c r="D33">
        <v>4</v>
      </c>
      <c r="E33">
        <v>0</v>
      </c>
      <c r="F33">
        <v>4</v>
      </c>
      <c r="G33">
        <v>1</v>
      </c>
      <c r="H33">
        <v>0</v>
      </c>
      <c r="I33">
        <v>3</v>
      </c>
      <c r="J33">
        <v>0</v>
      </c>
      <c r="K33" s="31">
        <f>IF(MIN(LAPTOP_PRODUCTION[[#This Row],[ON PROCESS]:[WINDOWS]]) &lt; 0,
    SUM(LAPTOP_PRODUCTION[[#This Row],[ON PROCESS]:[WINDOWS]], LAPTOP_PRODUCTION[[#This Row],[TOTAL OUT]], LAPTOP_PRODUCTION[[#This Row],[BACKJOB]], -LAPTOP_PRODUCTION[[#This Row],[TOTAL IN]] -MIN(LAPTOP_PRODUCTION[[#This Row],[ON PROCESS]:[WINDOWS]])),
    SUM(LAPTOP_PRODUCTION[[#This Row],[ON PROCESS]:[WINDOWS]], LAPTOP_PRODUCTION[[#This Row],[TOTAL OUT]], LAPTOP_PRODUCTION[[#This Row],[BACKJOB]], -LAPTOP_PRODUCTION[[#This Row],[TOTAL IN]])
)</f>
        <v>0</v>
      </c>
    </row>
    <row r="34" spans="1:11" x14ac:dyDescent="0.25">
      <c r="A34">
        <v>33</v>
      </c>
      <c r="B34" t="s">
        <v>40</v>
      </c>
      <c r="C34" t="s">
        <v>62</v>
      </c>
      <c r="D34">
        <v>13</v>
      </c>
      <c r="E34">
        <v>0</v>
      </c>
      <c r="F34">
        <v>13</v>
      </c>
      <c r="G34">
        <v>6</v>
      </c>
      <c r="H34">
        <v>7</v>
      </c>
      <c r="I34">
        <v>0</v>
      </c>
      <c r="J34">
        <v>0</v>
      </c>
      <c r="K34" s="31">
        <f>IF(MIN(LAPTOP_PRODUCTION[[#This Row],[ON PROCESS]:[WINDOWS]]) &lt; 0,
    SUM(LAPTOP_PRODUCTION[[#This Row],[ON PROCESS]:[WINDOWS]], LAPTOP_PRODUCTION[[#This Row],[TOTAL OUT]], LAPTOP_PRODUCTION[[#This Row],[BACKJOB]], -LAPTOP_PRODUCTION[[#This Row],[TOTAL IN]] -MIN(LAPTOP_PRODUCTION[[#This Row],[ON PROCESS]:[WINDOWS]])),
    SUM(LAPTOP_PRODUCTION[[#This Row],[ON PROCESS]:[WINDOWS]], LAPTOP_PRODUCTION[[#This Row],[TOTAL OUT]], LAPTOP_PRODUCTION[[#This Row],[BACKJOB]], -LAPTOP_PRODUCTION[[#This Row],[TOTAL IN]])
)</f>
        <v>0</v>
      </c>
    </row>
    <row r="35" spans="1:11" x14ac:dyDescent="0.25">
      <c r="A35">
        <v>34</v>
      </c>
      <c r="B35" t="s">
        <v>41</v>
      </c>
      <c r="C35" t="s">
        <v>62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 s="31">
        <f>IF(MIN(LAPTOP_PRODUCTION[[#This Row],[ON PROCESS]:[WINDOWS]]) &lt; 0,
    SUM(LAPTOP_PRODUCTION[[#This Row],[ON PROCESS]:[WINDOWS]], LAPTOP_PRODUCTION[[#This Row],[TOTAL OUT]], LAPTOP_PRODUCTION[[#This Row],[BACKJOB]], -LAPTOP_PRODUCTION[[#This Row],[TOTAL IN]] -MIN(LAPTOP_PRODUCTION[[#This Row],[ON PROCESS]:[WINDOWS]])),
    SUM(LAPTOP_PRODUCTION[[#This Row],[ON PROCESS]:[WINDOWS]], LAPTOP_PRODUCTION[[#This Row],[TOTAL OUT]], LAPTOP_PRODUCTION[[#This Row],[BACKJOB]], -LAPTOP_PRODUCTION[[#This Row],[TOTAL IN]])
)</f>
        <v>0</v>
      </c>
    </row>
    <row r="36" spans="1:11" x14ac:dyDescent="0.25">
      <c r="A36">
        <v>35</v>
      </c>
      <c r="B36" t="s">
        <v>42</v>
      </c>
      <c r="C36" t="s">
        <v>62</v>
      </c>
      <c r="D36">
        <v>12</v>
      </c>
      <c r="E36">
        <v>0</v>
      </c>
      <c r="F36">
        <v>12</v>
      </c>
      <c r="G36">
        <v>7</v>
      </c>
      <c r="H36">
        <v>5</v>
      </c>
      <c r="I36">
        <v>0</v>
      </c>
      <c r="J36">
        <v>0</v>
      </c>
      <c r="K36" s="31">
        <f>IF(MIN(LAPTOP_PRODUCTION[[#This Row],[ON PROCESS]:[WINDOWS]]) &lt; 0,
    SUM(LAPTOP_PRODUCTION[[#This Row],[ON PROCESS]:[WINDOWS]], LAPTOP_PRODUCTION[[#This Row],[TOTAL OUT]], LAPTOP_PRODUCTION[[#This Row],[BACKJOB]], -LAPTOP_PRODUCTION[[#This Row],[TOTAL IN]] -MIN(LAPTOP_PRODUCTION[[#This Row],[ON PROCESS]:[WINDOWS]])),
    SUM(LAPTOP_PRODUCTION[[#This Row],[ON PROCESS]:[WINDOWS]], LAPTOP_PRODUCTION[[#This Row],[TOTAL OUT]], LAPTOP_PRODUCTION[[#This Row],[BACKJOB]], -LAPTOP_PRODUCTION[[#This Row],[TOTAL IN]])
)</f>
        <v>0</v>
      </c>
    </row>
    <row r="37" spans="1:11" x14ac:dyDescent="0.25">
      <c r="A37">
        <v>36</v>
      </c>
      <c r="B37" t="s">
        <v>43</v>
      </c>
      <c r="C37" t="s">
        <v>62</v>
      </c>
      <c r="D37">
        <v>111</v>
      </c>
      <c r="E37">
        <v>0</v>
      </c>
      <c r="F37">
        <v>111</v>
      </c>
      <c r="G37">
        <v>4</v>
      </c>
      <c r="H37">
        <v>107</v>
      </c>
      <c r="I37">
        <v>0</v>
      </c>
      <c r="J37">
        <v>0</v>
      </c>
      <c r="K37" s="31">
        <f>IF(MIN(LAPTOP_PRODUCTION[[#This Row],[ON PROCESS]:[WINDOWS]]) &lt; 0,
    SUM(LAPTOP_PRODUCTION[[#This Row],[ON PROCESS]:[WINDOWS]], LAPTOP_PRODUCTION[[#This Row],[TOTAL OUT]], LAPTOP_PRODUCTION[[#This Row],[BACKJOB]], -LAPTOP_PRODUCTION[[#This Row],[TOTAL IN]] -MIN(LAPTOP_PRODUCTION[[#This Row],[ON PROCESS]:[WINDOWS]])),
    SUM(LAPTOP_PRODUCTION[[#This Row],[ON PROCESS]:[WINDOWS]], LAPTOP_PRODUCTION[[#This Row],[TOTAL OUT]], LAPTOP_PRODUCTION[[#This Row],[BACKJOB]], -LAPTOP_PRODUCTION[[#This Row],[TOTAL IN]])
)</f>
        <v>0</v>
      </c>
    </row>
    <row r="38" spans="1:11" x14ac:dyDescent="0.25">
      <c r="A38">
        <v>37</v>
      </c>
      <c r="B38" t="s">
        <v>44</v>
      </c>
      <c r="C38" t="s">
        <v>62</v>
      </c>
      <c r="D38">
        <v>9</v>
      </c>
      <c r="E38">
        <v>0</v>
      </c>
      <c r="F38">
        <v>9</v>
      </c>
      <c r="G38">
        <v>5</v>
      </c>
      <c r="H38">
        <v>0</v>
      </c>
      <c r="I38">
        <v>4</v>
      </c>
      <c r="J38">
        <v>0</v>
      </c>
      <c r="K38" s="31">
        <f>IF(MIN(LAPTOP_PRODUCTION[[#This Row],[ON PROCESS]:[WINDOWS]]) &lt; 0,
    SUM(LAPTOP_PRODUCTION[[#This Row],[ON PROCESS]:[WINDOWS]], LAPTOP_PRODUCTION[[#This Row],[TOTAL OUT]], LAPTOP_PRODUCTION[[#This Row],[BACKJOB]], -LAPTOP_PRODUCTION[[#This Row],[TOTAL IN]] -MIN(LAPTOP_PRODUCTION[[#This Row],[ON PROCESS]:[WINDOWS]])),
    SUM(LAPTOP_PRODUCTION[[#This Row],[ON PROCESS]:[WINDOWS]], LAPTOP_PRODUCTION[[#This Row],[TOTAL OUT]], LAPTOP_PRODUCTION[[#This Row],[BACKJOB]], -LAPTOP_PRODUCTION[[#This Row],[TOTAL IN]])
)</f>
        <v>0</v>
      </c>
    </row>
    <row r="39" spans="1:11" x14ac:dyDescent="0.25">
      <c r="A39">
        <v>38</v>
      </c>
      <c r="B39" t="s">
        <v>45</v>
      </c>
      <c r="C39" t="s">
        <v>62</v>
      </c>
      <c r="D39">
        <v>3</v>
      </c>
      <c r="E39">
        <v>0</v>
      </c>
      <c r="F39">
        <v>3</v>
      </c>
      <c r="G39">
        <v>1</v>
      </c>
      <c r="H39">
        <v>2</v>
      </c>
      <c r="I39">
        <v>0</v>
      </c>
      <c r="J39">
        <v>0</v>
      </c>
      <c r="K39" s="31">
        <f>IF(MIN(LAPTOP_PRODUCTION[[#This Row],[ON PROCESS]:[WINDOWS]]) &lt; 0,
    SUM(LAPTOP_PRODUCTION[[#This Row],[ON PROCESS]:[WINDOWS]], LAPTOP_PRODUCTION[[#This Row],[TOTAL OUT]], LAPTOP_PRODUCTION[[#This Row],[BACKJOB]], -LAPTOP_PRODUCTION[[#This Row],[TOTAL IN]] -MIN(LAPTOP_PRODUCTION[[#This Row],[ON PROCESS]:[WINDOWS]])),
    SUM(LAPTOP_PRODUCTION[[#This Row],[ON PROCESS]:[WINDOWS]], LAPTOP_PRODUCTION[[#This Row],[TOTAL OUT]], LAPTOP_PRODUCTION[[#This Row],[BACKJOB]], -LAPTOP_PRODUCTION[[#This Row],[TOTAL IN]])
)</f>
        <v>0</v>
      </c>
    </row>
    <row r="40" spans="1:11" x14ac:dyDescent="0.25">
      <c r="A40">
        <v>39</v>
      </c>
      <c r="B40" t="s">
        <v>46</v>
      </c>
      <c r="C40" t="s">
        <v>62</v>
      </c>
      <c r="D40">
        <v>1</v>
      </c>
      <c r="E40">
        <v>0</v>
      </c>
      <c r="F40">
        <v>1</v>
      </c>
      <c r="G40">
        <v>0</v>
      </c>
      <c r="H40">
        <v>0</v>
      </c>
      <c r="I40">
        <v>1</v>
      </c>
      <c r="J40">
        <v>0</v>
      </c>
      <c r="K40" s="31">
        <f>IF(MIN(LAPTOP_PRODUCTION[[#This Row],[ON PROCESS]:[WINDOWS]]) &lt; 0,
    SUM(LAPTOP_PRODUCTION[[#This Row],[ON PROCESS]:[WINDOWS]], LAPTOP_PRODUCTION[[#This Row],[TOTAL OUT]], LAPTOP_PRODUCTION[[#This Row],[BACKJOB]], -LAPTOP_PRODUCTION[[#This Row],[TOTAL IN]] -MIN(LAPTOP_PRODUCTION[[#This Row],[ON PROCESS]:[WINDOWS]])),
    SUM(LAPTOP_PRODUCTION[[#This Row],[ON PROCESS]:[WINDOWS]], LAPTOP_PRODUCTION[[#This Row],[TOTAL OUT]], LAPTOP_PRODUCTION[[#This Row],[BACKJOB]], -LAPTOP_PRODUCTION[[#This Row],[TOTAL IN]])
)</f>
        <v>0</v>
      </c>
    </row>
    <row r="41" spans="1:11" x14ac:dyDescent="0.25">
      <c r="A41">
        <v>40</v>
      </c>
      <c r="B41" t="s">
        <v>47</v>
      </c>
      <c r="C41" t="s">
        <v>62</v>
      </c>
      <c r="D41">
        <v>2</v>
      </c>
      <c r="E41">
        <v>0</v>
      </c>
      <c r="F41">
        <v>2</v>
      </c>
      <c r="G41">
        <v>0</v>
      </c>
      <c r="H41">
        <v>2</v>
      </c>
      <c r="I41">
        <v>0</v>
      </c>
      <c r="J41">
        <v>0</v>
      </c>
      <c r="K41" s="31">
        <f>IF(MIN(LAPTOP_PRODUCTION[[#This Row],[ON PROCESS]:[WINDOWS]]) &lt; 0,
    SUM(LAPTOP_PRODUCTION[[#This Row],[ON PROCESS]:[WINDOWS]], LAPTOP_PRODUCTION[[#This Row],[TOTAL OUT]], LAPTOP_PRODUCTION[[#This Row],[BACKJOB]], -LAPTOP_PRODUCTION[[#This Row],[TOTAL IN]] -MIN(LAPTOP_PRODUCTION[[#This Row],[ON PROCESS]:[WINDOWS]])),
    SUM(LAPTOP_PRODUCTION[[#This Row],[ON PROCESS]:[WINDOWS]], LAPTOP_PRODUCTION[[#This Row],[TOTAL OUT]], LAPTOP_PRODUCTION[[#This Row],[BACKJOB]], -LAPTOP_PRODUCTION[[#This Row],[TOTAL IN]])
)</f>
        <v>0</v>
      </c>
    </row>
    <row r="42" spans="1:11" x14ac:dyDescent="0.25">
      <c r="A42">
        <v>41</v>
      </c>
      <c r="B42" t="s">
        <v>48</v>
      </c>
      <c r="C42" t="s">
        <v>62</v>
      </c>
      <c r="D42">
        <v>8</v>
      </c>
      <c r="E42">
        <v>0</v>
      </c>
      <c r="F42">
        <v>8</v>
      </c>
      <c r="G42">
        <v>0</v>
      </c>
      <c r="H42">
        <v>1</v>
      </c>
      <c r="I42">
        <v>7</v>
      </c>
      <c r="J42">
        <v>0</v>
      </c>
      <c r="K42" s="31">
        <f>IF(MIN(LAPTOP_PRODUCTION[[#This Row],[ON PROCESS]:[WINDOWS]]) &lt; 0,
    SUM(LAPTOP_PRODUCTION[[#This Row],[ON PROCESS]:[WINDOWS]], LAPTOP_PRODUCTION[[#This Row],[TOTAL OUT]], LAPTOP_PRODUCTION[[#This Row],[BACKJOB]], -LAPTOP_PRODUCTION[[#This Row],[TOTAL IN]] -MIN(LAPTOP_PRODUCTION[[#This Row],[ON PROCESS]:[WINDOWS]])),
    SUM(LAPTOP_PRODUCTION[[#This Row],[ON PROCESS]:[WINDOWS]], LAPTOP_PRODUCTION[[#This Row],[TOTAL OUT]], LAPTOP_PRODUCTION[[#This Row],[BACKJOB]], -LAPTOP_PRODUCTION[[#This Row],[TOTAL IN]])
)</f>
        <v>0</v>
      </c>
    </row>
    <row r="43" spans="1:11" x14ac:dyDescent="0.25">
      <c r="A43">
        <v>42</v>
      </c>
      <c r="B43" t="s">
        <v>49</v>
      </c>
      <c r="C43" t="s">
        <v>62</v>
      </c>
      <c r="D43">
        <v>1</v>
      </c>
      <c r="E43">
        <v>0</v>
      </c>
      <c r="F43">
        <v>1</v>
      </c>
      <c r="G43">
        <v>1</v>
      </c>
      <c r="H43">
        <v>0</v>
      </c>
      <c r="I43">
        <v>0</v>
      </c>
      <c r="J43">
        <v>0</v>
      </c>
      <c r="K43" s="31">
        <f>IF(MIN(LAPTOP_PRODUCTION[[#This Row],[ON PROCESS]:[WINDOWS]]) &lt; 0,
    SUM(LAPTOP_PRODUCTION[[#This Row],[ON PROCESS]:[WINDOWS]], LAPTOP_PRODUCTION[[#This Row],[TOTAL OUT]], LAPTOP_PRODUCTION[[#This Row],[BACKJOB]], -LAPTOP_PRODUCTION[[#This Row],[TOTAL IN]] -MIN(LAPTOP_PRODUCTION[[#This Row],[ON PROCESS]:[WINDOWS]])),
    SUM(LAPTOP_PRODUCTION[[#This Row],[ON PROCESS]:[WINDOWS]], LAPTOP_PRODUCTION[[#This Row],[TOTAL OUT]], LAPTOP_PRODUCTION[[#This Row],[BACKJOB]], -LAPTOP_PRODUCTION[[#This Row],[TOTAL IN]])
)</f>
        <v>0</v>
      </c>
    </row>
    <row r="44" spans="1:11" x14ac:dyDescent="0.25">
      <c r="A44">
        <v>43</v>
      </c>
      <c r="B44" t="s">
        <v>50</v>
      </c>
      <c r="C44" t="s">
        <v>62</v>
      </c>
      <c r="D44">
        <v>1</v>
      </c>
      <c r="E44">
        <v>0</v>
      </c>
      <c r="F44">
        <v>1</v>
      </c>
      <c r="G44">
        <v>1</v>
      </c>
      <c r="H44">
        <v>0</v>
      </c>
      <c r="I44">
        <v>0</v>
      </c>
      <c r="J44">
        <v>0</v>
      </c>
      <c r="K44" s="31">
        <f>IF(MIN(LAPTOP_PRODUCTION[[#This Row],[ON PROCESS]:[WINDOWS]]) &lt; 0,
    SUM(LAPTOP_PRODUCTION[[#This Row],[ON PROCESS]:[WINDOWS]], LAPTOP_PRODUCTION[[#This Row],[TOTAL OUT]], LAPTOP_PRODUCTION[[#This Row],[BACKJOB]], -LAPTOP_PRODUCTION[[#This Row],[TOTAL IN]] -MIN(LAPTOP_PRODUCTION[[#This Row],[ON PROCESS]:[WINDOWS]])),
    SUM(LAPTOP_PRODUCTION[[#This Row],[ON PROCESS]:[WINDOWS]], LAPTOP_PRODUCTION[[#This Row],[TOTAL OUT]], LAPTOP_PRODUCTION[[#This Row],[BACKJOB]], -LAPTOP_PRODUCTION[[#This Row],[TOTAL IN]])
)</f>
        <v>0</v>
      </c>
    </row>
    <row r="45" spans="1:11" x14ac:dyDescent="0.25">
      <c r="A45">
        <v>44</v>
      </c>
      <c r="B45" t="s">
        <v>51</v>
      </c>
      <c r="C45" t="s">
        <v>62</v>
      </c>
      <c r="D45">
        <v>6</v>
      </c>
      <c r="E45">
        <v>0</v>
      </c>
      <c r="F45">
        <v>6</v>
      </c>
      <c r="G45">
        <v>0</v>
      </c>
      <c r="H45">
        <v>0</v>
      </c>
      <c r="I45">
        <v>6</v>
      </c>
      <c r="J45">
        <v>0</v>
      </c>
      <c r="K45" s="31">
        <f>IF(MIN(LAPTOP_PRODUCTION[[#This Row],[ON PROCESS]:[WINDOWS]]) &lt; 0,
    SUM(LAPTOP_PRODUCTION[[#This Row],[ON PROCESS]:[WINDOWS]], LAPTOP_PRODUCTION[[#This Row],[TOTAL OUT]], LAPTOP_PRODUCTION[[#This Row],[BACKJOB]], -LAPTOP_PRODUCTION[[#This Row],[TOTAL IN]] -MIN(LAPTOP_PRODUCTION[[#This Row],[ON PROCESS]:[WINDOWS]])),
    SUM(LAPTOP_PRODUCTION[[#This Row],[ON PROCESS]:[WINDOWS]], LAPTOP_PRODUCTION[[#This Row],[TOTAL OUT]], LAPTOP_PRODUCTION[[#This Row],[BACKJOB]], -LAPTOP_PRODUCTION[[#This Row],[TOTAL IN]])
)</f>
        <v>0</v>
      </c>
    </row>
    <row r="46" spans="1:11" x14ac:dyDescent="0.25">
      <c r="A46">
        <v>45</v>
      </c>
      <c r="B46" t="s">
        <v>52</v>
      </c>
      <c r="C46" t="s">
        <v>62</v>
      </c>
      <c r="D46">
        <v>2</v>
      </c>
      <c r="E46">
        <v>0</v>
      </c>
      <c r="F46">
        <v>2</v>
      </c>
      <c r="G46">
        <v>1</v>
      </c>
      <c r="H46">
        <v>1</v>
      </c>
      <c r="I46">
        <v>0</v>
      </c>
      <c r="J46">
        <v>0</v>
      </c>
      <c r="K46" s="31">
        <f>IF(MIN(LAPTOP_PRODUCTION[[#This Row],[ON PROCESS]:[WINDOWS]]) &lt; 0,
    SUM(LAPTOP_PRODUCTION[[#This Row],[ON PROCESS]:[WINDOWS]], LAPTOP_PRODUCTION[[#This Row],[TOTAL OUT]], LAPTOP_PRODUCTION[[#This Row],[BACKJOB]], -LAPTOP_PRODUCTION[[#This Row],[TOTAL IN]] -MIN(LAPTOP_PRODUCTION[[#This Row],[ON PROCESS]:[WINDOWS]])),
    SUM(LAPTOP_PRODUCTION[[#This Row],[ON PROCESS]:[WINDOWS]], LAPTOP_PRODUCTION[[#This Row],[TOTAL OUT]], LAPTOP_PRODUCTION[[#This Row],[BACKJOB]], -LAPTOP_PRODUCTION[[#This Row],[TOTAL IN]])
)</f>
        <v>0</v>
      </c>
    </row>
    <row r="47" spans="1:11" x14ac:dyDescent="0.25">
      <c r="A47">
        <v>46</v>
      </c>
      <c r="B47" t="s">
        <v>53</v>
      </c>
      <c r="C47" t="s">
        <v>62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 s="31">
        <f>IF(MIN(LAPTOP_PRODUCTION[[#This Row],[ON PROCESS]:[WINDOWS]]) &lt; 0,
    SUM(LAPTOP_PRODUCTION[[#This Row],[ON PROCESS]:[WINDOWS]], LAPTOP_PRODUCTION[[#This Row],[TOTAL OUT]], LAPTOP_PRODUCTION[[#This Row],[BACKJOB]], -LAPTOP_PRODUCTION[[#This Row],[TOTAL IN]] -MIN(LAPTOP_PRODUCTION[[#This Row],[ON PROCESS]:[WINDOWS]])),
    SUM(LAPTOP_PRODUCTION[[#This Row],[ON PROCESS]:[WINDOWS]], LAPTOP_PRODUCTION[[#This Row],[TOTAL OUT]], LAPTOP_PRODUCTION[[#This Row],[BACKJOB]], -LAPTOP_PRODUCTION[[#This Row],[TOTAL IN]])
)</f>
        <v>0</v>
      </c>
    </row>
    <row r="48" spans="1:11" x14ac:dyDescent="0.25">
      <c r="A48">
        <v>47</v>
      </c>
      <c r="B48" t="s">
        <v>54</v>
      </c>
      <c r="C48" t="s">
        <v>62</v>
      </c>
      <c r="D48">
        <v>2</v>
      </c>
      <c r="E48">
        <v>0</v>
      </c>
      <c r="F48">
        <v>2</v>
      </c>
      <c r="G48">
        <v>2</v>
      </c>
      <c r="H48">
        <v>0</v>
      </c>
      <c r="I48">
        <v>0</v>
      </c>
      <c r="J48">
        <v>0</v>
      </c>
      <c r="K48" s="31">
        <f>IF(MIN(LAPTOP_PRODUCTION[[#This Row],[ON PROCESS]:[WINDOWS]]) &lt; 0,
    SUM(LAPTOP_PRODUCTION[[#This Row],[ON PROCESS]:[WINDOWS]], LAPTOP_PRODUCTION[[#This Row],[TOTAL OUT]], LAPTOP_PRODUCTION[[#This Row],[BACKJOB]], -LAPTOP_PRODUCTION[[#This Row],[TOTAL IN]] -MIN(LAPTOP_PRODUCTION[[#This Row],[ON PROCESS]:[WINDOWS]])),
    SUM(LAPTOP_PRODUCTION[[#This Row],[ON PROCESS]:[WINDOWS]], LAPTOP_PRODUCTION[[#This Row],[TOTAL OUT]], LAPTOP_PRODUCTION[[#This Row],[BACKJOB]], -LAPTOP_PRODUCTION[[#This Row],[TOTAL IN]])
)</f>
        <v>0</v>
      </c>
    </row>
    <row r="49" spans="1:11" x14ac:dyDescent="0.25">
      <c r="A49">
        <v>48</v>
      </c>
      <c r="B49" t="s">
        <v>55</v>
      </c>
      <c r="C49" t="s">
        <v>62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 s="31">
        <f>IF(MIN(LAPTOP_PRODUCTION[[#This Row],[ON PROCESS]:[WINDOWS]]) &lt; 0,
    SUM(LAPTOP_PRODUCTION[[#This Row],[ON PROCESS]:[WINDOWS]], LAPTOP_PRODUCTION[[#This Row],[TOTAL OUT]], LAPTOP_PRODUCTION[[#This Row],[BACKJOB]], -LAPTOP_PRODUCTION[[#This Row],[TOTAL IN]] -MIN(LAPTOP_PRODUCTION[[#This Row],[ON PROCESS]:[WINDOWS]])),
    SUM(LAPTOP_PRODUCTION[[#This Row],[ON PROCESS]:[WINDOWS]], LAPTOP_PRODUCTION[[#This Row],[TOTAL OUT]], LAPTOP_PRODUCTION[[#This Row],[BACKJOB]], -LAPTOP_PRODUCTION[[#This Row],[TOTAL IN]])
)</f>
        <v>0</v>
      </c>
    </row>
    <row r="50" spans="1:11" x14ac:dyDescent="0.25">
      <c r="A50">
        <v>49</v>
      </c>
      <c r="B50" t="s">
        <v>56</v>
      </c>
      <c r="C50" t="s">
        <v>62</v>
      </c>
      <c r="D50">
        <v>21</v>
      </c>
      <c r="E50">
        <v>0</v>
      </c>
      <c r="F50">
        <v>21</v>
      </c>
      <c r="G50">
        <v>21</v>
      </c>
      <c r="H50">
        <v>0</v>
      </c>
      <c r="I50">
        <v>0</v>
      </c>
      <c r="J50">
        <v>0</v>
      </c>
      <c r="K50" s="31">
        <f>IF(MIN(LAPTOP_PRODUCTION[[#This Row],[ON PROCESS]:[WINDOWS]]) &lt; 0,
    SUM(LAPTOP_PRODUCTION[[#This Row],[ON PROCESS]:[WINDOWS]], LAPTOP_PRODUCTION[[#This Row],[TOTAL OUT]], LAPTOP_PRODUCTION[[#This Row],[BACKJOB]], -LAPTOP_PRODUCTION[[#This Row],[TOTAL IN]] -MIN(LAPTOP_PRODUCTION[[#This Row],[ON PROCESS]:[WINDOWS]])),
    SUM(LAPTOP_PRODUCTION[[#This Row],[ON PROCESS]:[WINDOWS]], LAPTOP_PRODUCTION[[#This Row],[TOTAL OUT]], LAPTOP_PRODUCTION[[#This Row],[BACKJOB]], -LAPTOP_PRODUCTION[[#This Row],[TOTAL IN]])
)</f>
        <v>0</v>
      </c>
    </row>
    <row r="51" spans="1:11" x14ac:dyDescent="0.25">
      <c r="A51">
        <v>50</v>
      </c>
      <c r="B51" t="s">
        <v>57</v>
      </c>
      <c r="C51" t="s">
        <v>62</v>
      </c>
      <c r="D51">
        <v>16</v>
      </c>
      <c r="E51">
        <v>0</v>
      </c>
      <c r="F51">
        <v>16</v>
      </c>
      <c r="G51">
        <v>16</v>
      </c>
      <c r="H51">
        <v>0</v>
      </c>
      <c r="I51">
        <v>0</v>
      </c>
      <c r="J51">
        <v>0</v>
      </c>
      <c r="K51" s="31">
        <f>IF(MIN(LAPTOP_PRODUCTION[[#This Row],[ON PROCESS]:[WINDOWS]]) &lt; 0,
    SUM(LAPTOP_PRODUCTION[[#This Row],[ON PROCESS]:[WINDOWS]], LAPTOP_PRODUCTION[[#This Row],[TOTAL OUT]], LAPTOP_PRODUCTION[[#This Row],[BACKJOB]], -LAPTOP_PRODUCTION[[#This Row],[TOTAL IN]] -MIN(LAPTOP_PRODUCTION[[#This Row],[ON PROCESS]:[WINDOWS]])),
    SUM(LAPTOP_PRODUCTION[[#This Row],[ON PROCESS]:[WINDOWS]], LAPTOP_PRODUCTION[[#This Row],[TOTAL OUT]], LAPTOP_PRODUCTION[[#This Row],[BACKJOB]], -LAPTOP_PRODUCTION[[#This Row],[TOTAL IN]])
)</f>
        <v>0</v>
      </c>
    </row>
    <row r="52" spans="1:11" x14ac:dyDescent="0.25">
      <c r="A52">
        <v>51</v>
      </c>
      <c r="B52" t="s">
        <v>58</v>
      </c>
      <c r="C52" t="s">
        <v>62</v>
      </c>
      <c r="D52">
        <v>2</v>
      </c>
      <c r="E52">
        <v>0</v>
      </c>
      <c r="F52">
        <v>2</v>
      </c>
      <c r="G52">
        <v>1</v>
      </c>
      <c r="H52">
        <v>0</v>
      </c>
      <c r="I52">
        <v>1</v>
      </c>
      <c r="J52">
        <v>0</v>
      </c>
      <c r="K52" s="31">
        <f>IF(MIN(LAPTOP_PRODUCTION[[#This Row],[ON PROCESS]:[WINDOWS]]) &lt; 0,
    SUM(LAPTOP_PRODUCTION[[#This Row],[ON PROCESS]:[WINDOWS]], LAPTOP_PRODUCTION[[#This Row],[TOTAL OUT]], LAPTOP_PRODUCTION[[#This Row],[BACKJOB]], -LAPTOP_PRODUCTION[[#This Row],[TOTAL IN]] -MIN(LAPTOP_PRODUCTION[[#This Row],[ON PROCESS]:[WINDOWS]])),
    SUM(LAPTOP_PRODUCTION[[#This Row],[ON PROCESS]:[WINDOWS]], LAPTOP_PRODUCTION[[#This Row],[TOTAL OUT]], LAPTOP_PRODUCTION[[#This Row],[BACKJOB]], -LAPTOP_PRODUCTION[[#This Row],[TOTAL IN]])
)</f>
        <v>0</v>
      </c>
    </row>
    <row r="53" spans="1:11" x14ac:dyDescent="0.25">
      <c r="A53">
        <v>52</v>
      </c>
      <c r="B53" t="s">
        <v>59</v>
      </c>
      <c r="C53" t="s">
        <v>62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 s="31">
        <f>IF(MIN(LAPTOP_PRODUCTION[[#This Row],[ON PROCESS]:[WINDOWS]]) &lt; 0,
    SUM(LAPTOP_PRODUCTION[[#This Row],[ON PROCESS]:[WINDOWS]], LAPTOP_PRODUCTION[[#This Row],[TOTAL OUT]], LAPTOP_PRODUCTION[[#This Row],[BACKJOB]], -LAPTOP_PRODUCTION[[#This Row],[TOTAL IN]] -MIN(LAPTOP_PRODUCTION[[#This Row],[ON PROCESS]:[WINDOWS]])),
    SUM(LAPTOP_PRODUCTION[[#This Row],[ON PROCESS]:[WINDOWS]], LAPTOP_PRODUCTION[[#This Row],[TOTAL OUT]], LAPTOP_PRODUCTION[[#This Row],[BACKJOB]], -LAPTOP_PRODUCTION[[#This Row],[TOTAL IN]])
)</f>
        <v>0</v>
      </c>
    </row>
  </sheetData>
  <conditionalFormatting sqref="K2:K53">
    <cfRule type="colorScale" priority="2">
      <colorScale>
        <cfvo type="num" val="0"/>
        <cfvo type="percentile" val="50"/>
        <cfvo type="num" val="100"/>
        <color theme="9" tint="0.39997558519241921"/>
        <color rgb="FFFFEB84"/>
        <color theme="5" tint="0.39997558519241921"/>
      </colorScale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CFEB7464-6D11-45FE-9C13-31FE144CD0CD}">
            <x14:iconSet showValue="0" custom="1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Icon iconSet="3Symbols" iconId="2"/>
              <x14:cfIcon iconSet="3Symbols" iconId="1"/>
              <x14:cfIcon iconSet="3Symbols" iconId="0"/>
            </x14:iconSet>
          </x14:cfRule>
          <xm:sqref>K2:K53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A15B7C-9699-4C8E-AF3F-9D11FD7A38CF}">
  <sheetPr codeName="Sheet9"/>
  <dimension ref="B2:H58"/>
  <sheetViews>
    <sheetView zoomScale="85" zoomScaleNormal="85" workbookViewId="0">
      <selection activeCell="J9" sqref="J9"/>
    </sheetView>
  </sheetViews>
  <sheetFormatPr defaultRowHeight="15" x14ac:dyDescent="0.25"/>
  <cols>
    <col min="2" max="2" width="5.7109375" bestFit="1" customWidth="1"/>
    <col min="3" max="3" width="21.42578125" bestFit="1" customWidth="1"/>
    <col min="4" max="4" width="8.7109375" bestFit="1" customWidth="1"/>
    <col min="5" max="5" width="14.28515625" style="2" bestFit="1" customWidth="1"/>
    <col min="6" max="6" width="13.42578125" style="2" bestFit="1" customWidth="1"/>
    <col min="7" max="7" width="21.85546875" style="2" bestFit="1" customWidth="1"/>
    <col min="8" max="8" width="14.28515625" style="28" customWidth="1"/>
    <col min="9" max="9" width="9.5703125" bestFit="1" customWidth="1"/>
    <col min="10" max="10" width="18.42578125" bestFit="1" customWidth="1"/>
    <col min="11" max="11" width="14" bestFit="1" customWidth="1"/>
    <col min="12" max="12" width="8.5703125" bestFit="1" customWidth="1"/>
  </cols>
  <sheetData>
    <row r="2" spans="2:8" x14ac:dyDescent="0.25">
      <c r="B2"/>
      <c r="C2"/>
      <c r="D2"/>
      <c r="E2" s="2"/>
      <c r="F2"/>
      <c r="G2" s="2"/>
      <c r="H2" s="2"/>
    </row>
    <row r="3" spans="2:8" x14ac:dyDescent="0.25">
      <c r="B3"/>
      <c r="C3" s="14"/>
      <c r="D3" s="14"/>
      <c r="E3" s="17"/>
      <c r="F3"/>
      <c r="G3" s="17"/>
      <c r="H3" s="17"/>
    </row>
    <row r="4" spans="2:8" x14ac:dyDescent="0.25">
      <c r="B4"/>
      <c r="C4" s="14"/>
      <c r="D4" s="14"/>
      <c r="E4" s="17"/>
      <c r="F4"/>
      <c r="G4" s="17"/>
      <c r="H4" s="17"/>
    </row>
    <row r="5" spans="2:8" x14ac:dyDescent="0.25">
      <c r="B5"/>
      <c r="C5" s="14"/>
      <c r="D5" s="14"/>
      <c r="E5" s="17"/>
      <c r="F5"/>
      <c r="G5" s="17"/>
      <c r="H5" s="17"/>
    </row>
    <row r="6" spans="2:8" x14ac:dyDescent="0.25">
      <c r="B6"/>
      <c r="C6" s="14"/>
      <c r="D6" s="14"/>
      <c r="E6" s="17"/>
      <c r="F6"/>
      <c r="G6" s="17"/>
      <c r="H6" s="17"/>
    </row>
    <row r="7" spans="2:8" x14ac:dyDescent="0.25">
      <c r="B7"/>
      <c r="C7" s="14"/>
      <c r="D7" s="14"/>
      <c r="E7" s="17"/>
      <c r="F7"/>
      <c r="G7" s="17"/>
      <c r="H7" s="17"/>
    </row>
    <row r="8" spans="2:8" x14ac:dyDescent="0.25">
      <c r="B8"/>
      <c r="C8" s="14"/>
      <c r="D8" s="14"/>
      <c r="E8" s="17"/>
      <c r="F8"/>
      <c r="G8" s="17"/>
      <c r="H8" s="17"/>
    </row>
    <row r="9" spans="2:8" x14ac:dyDescent="0.25">
      <c r="B9"/>
      <c r="C9" s="14"/>
      <c r="D9" s="14"/>
      <c r="E9" s="17"/>
      <c r="F9"/>
      <c r="G9" s="17"/>
      <c r="H9" s="17"/>
    </row>
    <row r="10" spans="2:8" x14ac:dyDescent="0.25">
      <c r="B10"/>
      <c r="C10" s="14"/>
      <c r="D10" s="14"/>
      <c r="E10" s="17"/>
      <c r="F10"/>
      <c r="G10" s="17"/>
      <c r="H10" s="17"/>
    </row>
    <row r="11" spans="2:8" x14ac:dyDescent="0.25">
      <c r="B11"/>
      <c r="C11" s="14"/>
      <c r="D11" s="14"/>
      <c r="E11" s="17"/>
      <c r="F11"/>
      <c r="G11" s="17"/>
      <c r="H11" s="17"/>
    </row>
    <row r="12" spans="2:8" x14ac:dyDescent="0.25">
      <c r="B12"/>
      <c r="C12" s="14"/>
      <c r="D12" s="14"/>
      <c r="E12" s="17"/>
      <c r="F12"/>
      <c r="G12" s="17"/>
      <c r="H12" s="17"/>
    </row>
    <row r="13" spans="2:8" x14ac:dyDescent="0.25">
      <c r="B13"/>
      <c r="C13" s="14"/>
      <c r="D13" s="14"/>
      <c r="E13" s="17"/>
      <c r="F13"/>
      <c r="G13" s="17"/>
      <c r="H13" s="17"/>
    </row>
    <row r="14" spans="2:8" x14ac:dyDescent="0.25">
      <c r="B14"/>
      <c r="C14" s="14"/>
      <c r="D14" s="14"/>
      <c r="E14" s="17"/>
      <c r="F14"/>
      <c r="G14" s="17"/>
      <c r="H14" s="17"/>
    </row>
    <row r="15" spans="2:8" x14ac:dyDescent="0.25">
      <c r="B15"/>
      <c r="C15" s="14"/>
      <c r="D15" s="14"/>
      <c r="E15" s="17"/>
      <c r="F15"/>
      <c r="G15" s="17"/>
      <c r="H15" s="17"/>
    </row>
    <row r="16" spans="2:8" x14ac:dyDescent="0.25">
      <c r="B16"/>
      <c r="C16" s="14"/>
      <c r="D16" s="14"/>
      <c r="E16" s="17"/>
      <c r="F16"/>
      <c r="G16" s="17"/>
      <c r="H16" s="17"/>
    </row>
    <row r="17" spans="2:8" x14ac:dyDescent="0.25">
      <c r="B17"/>
      <c r="C17" s="14"/>
      <c r="D17" s="14"/>
      <c r="E17" s="17"/>
      <c r="F17"/>
      <c r="G17" s="17"/>
      <c r="H17" s="17"/>
    </row>
    <row r="18" spans="2:8" x14ac:dyDescent="0.25">
      <c r="B18"/>
      <c r="C18" s="14"/>
      <c r="D18" s="14"/>
      <c r="E18" s="17"/>
      <c r="F18"/>
      <c r="G18" s="17"/>
      <c r="H18" s="17"/>
    </row>
    <row r="19" spans="2:8" x14ac:dyDescent="0.25">
      <c r="B19"/>
      <c r="C19" s="14"/>
      <c r="D19" s="14"/>
      <c r="E19" s="17"/>
      <c r="F19"/>
      <c r="G19" s="17"/>
      <c r="H19" s="17"/>
    </row>
    <row r="20" spans="2:8" x14ac:dyDescent="0.25">
      <c r="B20"/>
      <c r="C20" s="14"/>
      <c r="D20" s="14"/>
      <c r="E20" s="17"/>
      <c r="F20"/>
      <c r="G20" s="17"/>
      <c r="H20" s="17"/>
    </row>
    <row r="21" spans="2:8" x14ac:dyDescent="0.25">
      <c r="B21"/>
      <c r="C21" s="14"/>
      <c r="D21" s="14"/>
      <c r="E21" s="17"/>
      <c r="F21"/>
      <c r="G21" s="17"/>
      <c r="H21" s="17"/>
    </row>
    <row r="22" spans="2:8" x14ac:dyDescent="0.25">
      <c r="B22"/>
      <c r="C22" s="14"/>
      <c r="D22" s="14"/>
      <c r="E22" s="17"/>
      <c r="F22"/>
      <c r="G22" s="17"/>
      <c r="H22" s="17"/>
    </row>
    <row r="23" spans="2:8" x14ac:dyDescent="0.25">
      <c r="B23"/>
      <c r="C23" s="14"/>
      <c r="D23" s="14"/>
      <c r="E23" s="17"/>
      <c r="F23"/>
      <c r="G23" s="17"/>
      <c r="H23" s="17"/>
    </row>
    <row r="24" spans="2:8" x14ac:dyDescent="0.25">
      <c r="B24"/>
      <c r="C24" s="14"/>
      <c r="D24" s="14"/>
      <c r="E24" s="17"/>
      <c r="F24"/>
      <c r="G24" s="17"/>
      <c r="H24" s="17"/>
    </row>
    <row r="25" spans="2:8" x14ac:dyDescent="0.25">
      <c r="B25"/>
      <c r="C25" s="14"/>
      <c r="D25" s="14"/>
      <c r="E25" s="17"/>
      <c r="F25"/>
      <c r="G25" s="17"/>
      <c r="H25" s="17"/>
    </row>
    <row r="26" spans="2:8" x14ac:dyDescent="0.25">
      <c r="B26"/>
      <c r="C26" s="14"/>
      <c r="D26" s="14"/>
      <c r="E26" s="17"/>
      <c r="F26"/>
      <c r="G26" s="17"/>
      <c r="H26" s="17"/>
    </row>
    <row r="27" spans="2:8" x14ac:dyDescent="0.25">
      <c r="B27"/>
      <c r="C27" s="14"/>
      <c r="D27" s="14"/>
      <c r="E27" s="17"/>
      <c r="F27"/>
      <c r="G27" s="17"/>
      <c r="H27" s="17"/>
    </row>
    <row r="28" spans="2:8" x14ac:dyDescent="0.25">
      <c r="B28"/>
      <c r="C28" s="14"/>
      <c r="D28" s="14"/>
      <c r="E28" s="17"/>
      <c r="F28"/>
      <c r="G28" s="17"/>
      <c r="H28" s="17"/>
    </row>
    <row r="29" spans="2:8" x14ac:dyDescent="0.25">
      <c r="B29"/>
      <c r="C29" s="14"/>
      <c r="D29" s="14"/>
      <c r="E29" s="17"/>
      <c r="F29"/>
      <c r="G29" s="17"/>
      <c r="H29" s="17"/>
    </row>
    <row r="30" spans="2:8" x14ac:dyDescent="0.25">
      <c r="B30"/>
      <c r="C30" s="14"/>
      <c r="D30" s="14"/>
      <c r="E30" s="17"/>
      <c r="F30"/>
      <c r="G30" s="17"/>
      <c r="H30" s="17"/>
    </row>
    <row r="31" spans="2:8" x14ac:dyDescent="0.25">
      <c r="B31"/>
      <c r="C31" s="14"/>
      <c r="D31" s="14"/>
      <c r="E31" s="17"/>
      <c r="F31"/>
      <c r="G31" s="17"/>
      <c r="H31" s="17"/>
    </row>
    <row r="32" spans="2:8" x14ac:dyDescent="0.25">
      <c r="B32"/>
      <c r="C32" s="14"/>
      <c r="D32" s="14"/>
      <c r="E32" s="17"/>
      <c r="F32"/>
      <c r="G32" s="17"/>
      <c r="H32" s="17"/>
    </row>
    <row r="33" spans="2:8" x14ac:dyDescent="0.25">
      <c r="B33"/>
      <c r="C33" s="14"/>
      <c r="D33" s="14"/>
      <c r="E33" s="17"/>
      <c r="F33"/>
      <c r="G33" s="17"/>
      <c r="H33" s="17"/>
    </row>
    <row r="34" spans="2:8" x14ac:dyDescent="0.25">
      <c r="B34"/>
      <c r="C34" s="14"/>
      <c r="D34" s="14"/>
      <c r="E34" s="17"/>
      <c r="F34"/>
      <c r="G34" s="17"/>
      <c r="H34" s="17"/>
    </row>
    <row r="35" spans="2:8" x14ac:dyDescent="0.25">
      <c r="B35"/>
      <c r="C35" s="14"/>
      <c r="D35" s="14"/>
      <c r="E35" s="17"/>
      <c r="F35"/>
      <c r="G35" s="17"/>
      <c r="H35" s="17"/>
    </row>
    <row r="36" spans="2:8" x14ac:dyDescent="0.25">
      <c r="B36"/>
      <c r="C36" s="14"/>
      <c r="D36" s="14"/>
      <c r="E36" s="17"/>
      <c r="F36"/>
      <c r="G36" s="17"/>
      <c r="H36" s="17"/>
    </row>
    <row r="37" spans="2:8" x14ac:dyDescent="0.25">
      <c r="B37"/>
      <c r="C37" s="14"/>
      <c r="D37" s="14"/>
      <c r="E37" s="17"/>
      <c r="F37"/>
      <c r="G37" s="17"/>
      <c r="H37" s="17"/>
    </row>
    <row r="38" spans="2:8" x14ac:dyDescent="0.25">
      <c r="B38"/>
      <c r="C38" s="14"/>
      <c r="D38" s="14"/>
      <c r="E38" s="17"/>
      <c r="F38"/>
      <c r="G38" s="17"/>
      <c r="H38" s="17"/>
    </row>
    <row r="39" spans="2:8" x14ac:dyDescent="0.25">
      <c r="B39"/>
      <c r="C39" s="14"/>
      <c r="D39" s="14"/>
      <c r="E39" s="17"/>
      <c r="F39"/>
      <c r="G39" s="17"/>
      <c r="H39" s="17"/>
    </row>
    <row r="40" spans="2:8" x14ac:dyDescent="0.25">
      <c r="B40"/>
      <c r="C40" s="14"/>
      <c r="D40" s="14"/>
      <c r="E40" s="17"/>
      <c r="F40"/>
      <c r="G40" s="17"/>
      <c r="H40" s="17"/>
    </row>
    <row r="41" spans="2:8" x14ac:dyDescent="0.25">
      <c r="B41"/>
      <c r="C41" s="14"/>
      <c r="D41" s="14"/>
      <c r="E41" s="17"/>
      <c r="F41"/>
      <c r="G41" s="17"/>
      <c r="H41" s="17"/>
    </row>
    <row r="42" spans="2:8" x14ac:dyDescent="0.25">
      <c r="B42"/>
      <c r="C42" s="14"/>
      <c r="D42" s="14"/>
      <c r="E42" s="17"/>
      <c r="F42"/>
      <c r="G42" s="17"/>
      <c r="H42" s="17"/>
    </row>
    <row r="43" spans="2:8" x14ac:dyDescent="0.25">
      <c r="B43"/>
      <c r="C43" s="14"/>
      <c r="D43" s="14"/>
      <c r="E43" s="17"/>
      <c r="F43"/>
      <c r="G43" s="17"/>
      <c r="H43" s="17"/>
    </row>
    <row r="44" spans="2:8" x14ac:dyDescent="0.25">
      <c r="B44"/>
      <c r="C44" s="14"/>
      <c r="D44" s="14"/>
      <c r="E44" s="17"/>
      <c r="F44"/>
      <c r="G44" s="17"/>
      <c r="H44" s="17"/>
    </row>
    <row r="45" spans="2:8" x14ac:dyDescent="0.25">
      <c r="B45"/>
      <c r="C45" s="14"/>
      <c r="D45" s="14"/>
      <c r="E45" s="17"/>
      <c r="F45"/>
      <c r="G45" s="17"/>
      <c r="H45" s="17"/>
    </row>
    <row r="46" spans="2:8" x14ac:dyDescent="0.25">
      <c r="B46"/>
      <c r="C46" s="14"/>
      <c r="D46" s="14"/>
      <c r="E46" s="17"/>
      <c r="F46"/>
      <c r="G46" s="17"/>
      <c r="H46" s="17"/>
    </row>
    <row r="47" spans="2:8" x14ac:dyDescent="0.25">
      <c r="B47"/>
      <c r="C47" s="14"/>
      <c r="D47" s="14"/>
      <c r="E47" s="17"/>
      <c r="F47"/>
      <c r="G47" s="17"/>
      <c r="H47" s="17"/>
    </row>
    <row r="48" spans="2:8" x14ac:dyDescent="0.25">
      <c r="B48"/>
      <c r="C48" s="14"/>
      <c r="D48" s="14"/>
      <c r="E48" s="17"/>
      <c r="F48"/>
      <c r="G48" s="17"/>
      <c r="H48" s="17"/>
    </row>
    <row r="49" spans="2:8" x14ac:dyDescent="0.25">
      <c r="B49"/>
      <c r="C49" s="14"/>
      <c r="D49" s="14"/>
      <c r="E49" s="17"/>
      <c r="F49"/>
      <c r="G49" s="17"/>
      <c r="H49" s="17"/>
    </row>
    <row r="50" spans="2:8" x14ac:dyDescent="0.25">
      <c r="B50"/>
      <c r="C50" s="14"/>
      <c r="D50" s="14"/>
      <c r="E50" s="17"/>
      <c r="F50"/>
      <c r="G50" s="17"/>
      <c r="H50" s="17"/>
    </row>
    <row r="51" spans="2:8" x14ac:dyDescent="0.25">
      <c r="B51"/>
      <c r="C51" s="14"/>
      <c r="D51" s="14"/>
      <c r="E51" s="17"/>
      <c r="F51"/>
      <c r="G51" s="17"/>
      <c r="H51" s="17"/>
    </row>
    <row r="52" spans="2:8" x14ac:dyDescent="0.25">
      <c r="B52"/>
      <c r="C52" s="14"/>
      <c r="D52" s="14"/>
      <c r="E52" s="17"/>
      <c r="F52"/>
      <c r="G52" s="17"/>
      <c r="H52" s="17"/>
    </row>
    <row r="53" spans="2:8" x14ac:dyDescent="0.25">
      <c r="B53"/>
      <c r="C53" s="14"/>
      <c r="D53" s="14"/>
      <c r="E53" s="17"/>
      <c r="F53"/>
      <c r="G53" s="17"/>
      <c r="H53" s="17"/>
    </row>
    <row r="54" spans="2:8" x14ac:dyDescent="0.25">
      <c r="B54"/>
      <c r="C54" s="14"/>
      <c r="D54" s="14"/>
      <c r="E54" s="17"/>
      <c r="F54"/>
      <c r="G54" s="17"/>
      <c r="H54" s="17"/>
    </row>
    <row r="55" spans="2:8" x14ac:dyDescent="0.25">
      <c r="B55"/>
      <c r="C55" s="14"/>
      <c r="D55" s="14"/>
      <c r="E55" s="17"/>
      <c r="F55"/>
      <c r="G55" s="17"/>
      <c r="H55" s="17"/>
    </row>
    <row r="56" spans="2:8" x14ac:dyDescent="0.25">
      <c r="B56"/>
      <c r="C56" s="14"/>
      <c r="D56" s="14"/>
      <c r="E56" s="17"/>
      <c r="F56"/>
      <c r="G56" s="17"/>
      <c r="H56" s="17"/>
    </row>
    <row r="57" spans="2:8" x14ac:dyDescent="0.25">
      <c r="B57"/>
      <c r="C57" s="14"/>
      <c r="D57" s="14"/>
      <c r="E57" s="17"/>
      <c r="F57"/>
      <c r="G57" s="17"/>
      <c r="H57" s="17"/>
    </row>
    <row r="58" spans="2:8" x14ac:dyDescent="0.25">
      <c r="B58"/>
      <c r="C58" s="14"/>
      <c r="D58" s="14"/>
      <c r="E58" s="17"/>
      <c r="F58"/>
      <c r="G58" s="17"/>
      <c r="H58" s="17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575AB9-A9A8-4880-90A6-546E78806923}">
  <dimension ref="A1:S5"/>
  <sheetViews>
    <sheetView zoomScale="92" workbookViewId="0">
      <selection activeCell="L7" sqref="L7:L8"/>
    </sheetView>
  </sheetViews>
  <sheetFormatPr defaultRowHeight="15" x14ac:dyDescent="0.25"/>
  <cols>
    <col min="1" max="1" width="10.28515625" style="6" bestFit="1" customWidth="1"/>
    <col min="2" max="2" width="18.85546875" bestFit="1" customWidth="1"/>
    <col min="3" max="3" width="10.7109375" bestFit="1" customWidth="1"/>
    <col min="4" max="4" width="18.140625" style="27" bestFit="1" customWidth="1"/>
    <col min="5" max="5" width="16.5703125" style="27" bestFit="1" customWidth="1"/>
    <col min="6" max="6" width="20.28515625" style="27" bestFit="1" customWidth="1"/>
    <col min="7" max="7" width="9.42578125" style="27" bestFit="1" customWidth="1"/>
    <col min="8" max="8" width="16.85546875" style="27" bestFit="1" customWidth="1"/>
    <col min="9" max="9" width="20" style="27" bestFit="1" customWidth="1"/>
    <col min="10" max="10" width="12.85546875" style="27" bestFit="1" customWidth="1"/>
    <col min="11" max="11" width="16.85546875" bestFit="1" customWidth="1"/>
    <col min="12" max="12" width="12" bestFit="1" customWidth="1"/>
    <col min="13" max="13" width="10.5703125" bestFit="1" customWidth="1"/>
    <col min="14" max="14" width="12.42578125" bestFit="1" customWidth="1"/>
    <col min="15" max="15" width="13.7109375" bestFit="1" customWidth="1"/>
    <col min="16" max="18" width="12.28515625" bestFit="1" customWidth="1"/>
    <col min="19" max="19" width="11" bestFit="1" customWidth="1"/>
  </cols>
  <sheetData>
    <row r="1" spans="1:19" x14ac:dyDescent="0.25">
      <c r="A1" s="6"/>
      <c r="B1"/>
      <c r="C1"/>
      <c r="D1" s="27"/>
      <c r="E1" s="27"/>
      <c r="F1" s="27"/>
      <c r="G1" s="27"/>
      <c r="H1" s="27"/>
      <c r="I1" s="27"/>
      <c r="J1" s="27"/>
      <c r="K1" s="27"/>
      <c r="L1"/>
      <c r="M1"/>
      <c r="N1"/>
      <c r="O1"/>
      <c r="P1"/>
      <c r="Q1"/>
      <c r="R1"/>
      <c r="S1"/>
    </row>
    <row r="2" spans="1:19" x14ac:dyDescent="0.25">
      <c r="A2" s="6"/>
      <c r="B2"/>
      <c r="C2"/>
      <c r="E2" s="27"/>
      <c r="F2" s="27"/>
      <c r="K2" s="27"/>
      <c r="P2"/>
    </row>
    <row r="3" spans="1:19" x14ac:dyDescent="0.25">
      <c r="A3" s="6"/>
      <c r="B3"/>
      <c r="C3"/>
      <c r="D3" s="27"/>
      <c r="E3" s="27"/>
      <c r="F3" s="27"/>
      <c r="K3" s="27"/>
      <c r="P3"/>
      <c r="S3"/>
    </row>
    <row r="4" spans="1:19" x14ac:dyDescent="0.25">
      <c r="A4" s="6"/>
      <c r="B4"/>
      <c r="C4"/>
      <c r="D4" s="27"/>
      <c r="F4" s="27"/>
      <c r="I4" s="27"/>
      <c r="J4" s="27"/>
      <c r="K4" s="27"/>
      <c r="O4"/>
      <c r="S4"/>
    </row>
    <row r="5" spans="1:19" x14ac:dyDescent="0.25">
      <c r="A5" s="6"/>
      <c r="B5"/>
      <c r="C5"/>
      <c r="D5" s="27"/>
      <c r="K5" s="27"/>
      <c r="O5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8316F4A-A9F6-4FC9-876A-E122422B702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</vt:i4>
      </vt:variant>
    </vt:vector>
  </HeadingPairs>
  <TitlesOfParts>
    <vt:vector size="11" baseType="lpstr">
      <vt:lpstr>_TBL_INVENTORY_IN</vt:lpstr>
      <vt:lpstr>_TBL_PRODUCT</vt:lpstr>
      <vt:lpstr>_TBL_INVENTORY</vt:lpstr>
      <vt:lpstr>PC_INVENTORY</vt:lpstr>
      <vt:lpstr>LAPTOP_INVENTORY</vt:lpstr>
      <vt:lpstr>INVENTORY IN LOGS</vt:lpstr>
      <vt:lpstr>PRINTER_INVENTORY</vt:lpstr>
      <vt:lpstr>LAPTOP_PRODUCTION</vt:lpstr>
      <vt:lpstr>OTHERS</vt:lpstr>
      <vt:lpstr>SALES_REPORT</vt:lpstr>
      <vt:lpstr>NAMES_INVENTORY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NBS-Lewis</dc:creator>
  <cp:lastModifiedBy>Admin</cp:lastModifiedBy>
  <dcterms:created xsi:type="dcterms:W3CDTF">2015-06-05T18:17:20Z</dcterms:created>
  <dcterms:modified xsi:type="dcterms:W3CDTF">2025-05-10T05:26:33Z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7a1f43e5-9d65-430f-ba1e-25f1b8d02514</vt:lpwstr>
  </property>
</Properties>
</file>