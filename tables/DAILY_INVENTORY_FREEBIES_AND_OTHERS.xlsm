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tables\"/>
    </mc:Choice>
  </mc:AlternateContent>
  <xr:revisionPtr revIDLastSave="0" documentId="13_ncr:1_{96218E8E-C2D5-4538-9E6D-DFA67231C6AE}" xr6:coauthVersionLast="36" xr6:coauthVersionMax="47" xr10:uidLastSave="{00000000-0000-0000-0000-000000000000}"/>
  <bookViews>
    <workbookView xWindow="-120" yWindow="-120" windowWidth="29040" windowHeight="15720" firstSheet="4" activeTab="5" xr2:uid="{00000000-000D-0000-FFFF-FFFF00000000}"/>
  </bookViews>
  <sheets>
    <sheet name="_TBL_SPECS" sheetId="6" state="hidden" r:id="rId1"/>
    <sheet name="_TBL_INVENTORY_TYPE" sheetId="5" state="hidden" r:id="rId2"/>
    <sheet name="_TBL_INVENTORY" sheetId="4" state="hidden" r:id="rId3"/>
    <sheet name="_TBL_BRAND" sheetId="3" state="hidden" r:id="rId4"/>
    <sheet name="FREEBIES_INVENTORY" sheetId="2" r:id="rId5"/>
    <sheet name="OTHERS_INVENTORY" sheetId="7" r:id="rId6"/>
  </sheets>
  <definedNames>
    <definedName name="_xlcn.WorksheetConnection_DAILY_INVENTORY.xlsx_TBL_BRAND1" hidden="1">_TBL_BRAND[]</definedName>
    <definedName name="_xlcn.WorksheetConnection_DAILY_INVENTORY.xlsx_TBL_INVENTORY1" hidden="1">_TBL_INVENTORY[]</definedName>
    <definedName name="ExternalData_1" localSheetId="3" hidden="1">_TBL_BRAND!$A$1:$C$6</definedName>
    <definedName name="ExternalData_2" localSheetId="2" hidden="1">_TBL_INVENTORY!$A$1:$G$17</definedName>
    <definedName name="ExternalData_3" localSheetId="1" hidden="1">_TBL_INVENTORY_TYPE!$A$1:$D$7</definedName>
    <definedName name="ExternalData_4" localSheetId="0" hidden="1">_TBL_SPECS!$A$1:$C$11</definedName>
    <definedName name="NAMES_INVENTORY">OFFSET(_TBL_INVENTORY[NAME], 0, 0, COUNTA(_TBL_INVENTORY[NAME]), 1)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TBL_INVENTORY" name="_TBL_INVENTORY" connection="WorksheetConnection_DAILY_INVENTORY.xlsx!_TBL_INVENTORY"/>
          <x15:modelTable id="_TBL_BRAND" name="_TBL_BRAND" connection="WorksheetConnection_DAILY_INVENTORY.xlsx!_TBL_BRAND"/>
        </x15:modelTables>
        <x15:modelRelationships>
          <x15:modelRelationship fromTable="_TBL_INVENTORY" fromColumn="BRAND" toTable="_TBL_BRAND" toColumn="NAME"/>
        </x15:modelRelationships>
      </x15:dataModel>
    </ext>
  </extLst>
</workbook>
</file>

<file path=xl/calcChain.xml><?xml version="1.0" encoding="utf-8"?>
<calcChain xmlns="http://schemas.openxmlformats.org/spreadsheetml/2006/main">
  <c r="E11" i="2" l="1"/>
  <c r="E12" i="2" l="1"/>
  <c r="F12" i="2"/>
  <c r="B11" i="2"/>
  <c r="F11" i="2"/>
  <c r="D11" i="2"/>
  <c r="D12" i="2"/>
  <c r="F3" i="2"/>
  <c r="F4" i="2"/>
  <c r="F5" i="2"/>
  <c r="F6" i="2"/>
  <c r="F7" i="2"/>
  <c r="F8" i="2"/>
  <c r="F9" i="2"/>
  <c r="F10" i="2"/>
  <c r="B11" i="7"/>
  <c r="D11" i="7"/>
  <c r="E11" i="7"/>
  <c r="F11" i="7"/>
  <c r="D12" i="7"/>
  <c r="E12" i="7"/>
  <c r="F12" i="7"/>
  <c r="F4" i="7"/>
  <c r="F5" i="7"/>
  <c r="F6" i="7"/>
  <c r="F7" i="7"/>
  <c r="F8" i="7"/>
  <c r="F9" i="7"/>
  <c r="F10" i="7"/>
  <c r="F3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58365A-CC5E-4833-936D-4E36E7616AAA}" keepAlive="1" name="Query - _TBL_BRAND" description="Connection to the '_TBL_BRAND' query in the workbook." type="5" refreshedVersion="6" background="1" saveData="1">
    <dbPr connection="Provider=Microsoft.Mashup.OleDb.1;Data Source=$Workbook$;Location=_TBL_BRAND;Extended Properties=&quot;&quot;" command="SELECT * FROM [_TBL_BRAND]"/>
  </connection>
  <connection id="2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3" xr16:uid="{32B1E25C-3287-42F5-9905-A806C6011D23}" keepAlive="1" name="Query - _TBL_SPECS" description="Connection to the '_TBL_SPECS' query in the workbook." type="5" refreshedVersion="6" background="1" saveData="1">
    <dbPr connection="Provider=Microsoft.Mashup.OleDb.1;Data Source=$Workbook$;Location=_TBL_SPECS;Extended Properties=&quot;&quot;" command="SELECT * FROM [_TBL_SPECS]"/>
  </connection>
  <connection id="4" xr16:uid="{F4437E77-6917-47D0-8D36-57411AE3B4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B886457F-2EBF-4713-B56E-D076C14A69A0}" name="WorksheetConnection_DAILY_INVENTORY.xlsx!_TBL_BRAND" type="102" refreshedVersion="8" minRefreshableVersion="5">
    <extLst>
      <ext xmlns:x15="http://schemas.microsoft.com/office/spreadsheetml/2010/11/main" uri="{DE250136-89BD-433C-8126-D09CA5730AF9}">
        <x15:connection id="_TBL_BRAND">
          <x15:rangePr sourceName="_xlcn.WorksheetConnection_DAILY_INVENTORY.xlsx_TBL_BRAND1"/>
        </x15:connection>
      </ext>
    </extLst>
  </connection>
  <connection id="6" xr16:uid="{40AF4445-C7C4-49BE-BA5F-817D1DCC5EC0}" name="WorksheetConnection_DAILY_INVENTORY.xlsx!_TBL_INVENTORY" type="102" refreshedVersion="8" minRefreshableVersion="5">
    <extLst>
      <ext xmlns:x15="http://schemas.microsoft.com/office/spreadsheetml/2010/11/main" uri="{DE250136-89BD-433C-8126-D09CA5730AF9}">
        <x15:connection id="_TBL_INVENTORY">
          <x15:rangePr sourceName="_xlcn.WorksheetConnection_DAILY_INVENTORY.xlsx_TBL_INVENTORY1"/>
        </x15:connection>
      </ext>
    </extLst>
  </connection>
</connections>
</file>

<file path=xl/sharedStrings.xml><?xml version="1.0" encoding="utf-8"?>
<sst xmlns="http://schemas.openxmlformats.org/spreadsheetml/2006/main" count="110" uniqueCount="72">
  <si>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</si>
  <si>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</si>
  <si>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</si>
  <si>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</si>
  <si>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</si>
  <si>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</si>
  <si>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</si>
  <si>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</si>
  <si>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</si>
  <si>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Column1</t>
  </si>
  <si>
    <t>DATE</t>
  </si>
  <si>
    <t>INVENTORY ITEM</t>
  </si>
  <si>
    <t>ACER</t>
  </si>
  <si>
    <t>ASUS</t>
  </si>
  <si>
    <t>LENOVO</t>
  </si>
  <si>
    <t>LAPTOP</t>
  </si>
  <si>
    <t>PC Parts</t>
  </si>
  <si>
    <t>PCPARTS</t>
  </si>
  <si>
    <t>Freebies</t>
  </si>
  <si>
    <t>FREEBIES</t>
  </si>
  <si>
    <t>Printers</t>
  </si>
  <si>
    <t>PRINTERS</t>
  </si>
  <si>
    <t>Speakers</t>
  </si>
  <si>
    <t>SPEAKERS</t>
  </si>
  <si>
    <t>Accessories</t>
  </si>
  <si>
    <t>ACCESSORIES</t>
  </si>
  <si>
    <t>TOTAL</t>
  </si>
  <si>
    <t>IN</t>
  </si>
  <si>
    <t>OUT</t>
  </si>
  <si>
    <t>REMARKS</t>
  </si>
  <si>
    <t>BOX ID</t>
  </si>
  <si>
    <t>FREEBIES INVENTORY</t>
  </si>
  <si>
    <t xml:space="preserve">ABSOLUTE TOTAL: </t>
  </si>
  <si>
    <t xml:space="preserve">TOTAL: </t>
  </si>
  <si>
    <t>VARIANT</t>
  </si>
  <si>
    <t>2 / 16</t>
  </si>
  <si>
    <t>4 / 16</t>
  </si>
  <si>
    <t>4 / 32</t>
  </si>
  <si>
    <t>8 / 128</t>
  </si>
  <si>
    <t>8 / 256</t>
  </si>
  <si>
    <t xml:space="preserve"> Computer Table </t>
  </si>
  <si>
    <t>Computer Table</t>
  </si>
  <si>
    <t xml:space="preserve"> Keyboard/Mouse </t>
  </si>
  <si>
    <t>Keyboard/Mouse</t>
  </si>
  <si>
    <t xml:space="preserve"> Large Mouse pad </t>
  </si>
  <si>
    <t>Large Mouse pad</t>
  </si>
  <si>
    <t xml:space="preserve"> Wifi-dongle </t>
  </si>
  <si>
    <t>Wifi-dongle</t>
  </si>
  <si>
    <t xml:space="preserve"> Speaker </t>
  </si>
  <si>
    <t>Speaker</t>
  </si>
  <si>
    <t xml:space="preserve"> Webcam </t>
  </si>
  <si>
    <t>Webcam</t>
  </si>
  <si>
    <t xml:space="preserve"> VGA </t>
  </si>
  <si>
    <t>VGA</t>
  </si>
  <si>
    <t xml:space="preserve"> Power Cord </t>
  </si>
  <si>
    <t>Power Cord</t>
  </si>
  <si>
    <t xml:space="preserve"> Laptop Table </t>
  </si>
  <si>
    <t>Laptop Table</t>
  </si>
  <si>
    <t xml:space="preserve"> Mouse </t>
  </si>
  <si>
    <t>Mouse</t>
  </si>
  <si>
    <t xml:space="preserve"> Mouse Pad </t>
  </si>
  <si>
    <t>Mouse Pad</t>
  </si>
  <si>
    <t xml:space="preserve"> P47 Headphone </t>
  </si>
  <si>
    <t>P47 Headphone</t>
  </si>
  <si>
    <t xml:space="preserve"> Laptop Stand </t>
  </si>
  <si>
    <t>Laptop Stand</t>
  </si>
  <si>
    <t xml:space="preserve"> Laptop Brush </t>
  </si>
  <si>
    <t>Laptop Brush</t>
  </si>
  <si>
    <t xml:space="preserve"> Laptop Bag </t>
  </si>
  <si>
    <t>Laptop Bag</t>
  </si>
  <si>
    <t xml:space="preserve"> Stylus Pen </t>
  </si>
  <si>
    <t>Stylus 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</si>
</sst>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4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2" fontId="1" fillId="0" borderId="0" xfId="0" applyNumberFormat="1" applyFont="1" applyAlignment="1">
      <alignment horizontal="center"/>
    </xf>
    <xf numFmtId="0" fontId="1" fillId="0" borderId="0" xfId="0" applyFont="1"/>
    <xf numFmtId="1" fontId="1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4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" xr16:uid="{EA4D9F21-8D00-469A-BD11-53BB304FD602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DFAF822-0BB0-464E-BFDD-E672198830BD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FD8291-BBD0-475B-91B8-E2C6DE19DBA8}" name="_TBL_SPECS" displayName="_TBL_SPECS" ref="A1:C11" tableType="queryTable" totalsRowShown="0">
  <autoFilter ref="A1:C11" xr:uid="{8AFD8291-BBD0-475B-91B8-E2C6DE19DBA8}"/>
  <tableColumns count="3">
    <tableColumn id="1" xr3:uid="{831D3F8C-DB08-4FC1-93B9-3186C252869A}" uniqueName="1" name="ID" queryTableFieldId="1"/>
    <tableColumn id="2" xr3:uid="{4281C9EC-728A-418E-B654-1F1CABE1B3EE}" uniqueName="2" name="NAME" queryTableFieldId="2" dataDxfId="42"/>
    <tableColumn id="3" xr3:uid="{F82FC7B3-1F61-4B9D-84A6-DC626273D2EA}" uniqueName="3" name="CODE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4D3215-F9F9-4D1D-A07B-6BE9ED4E88C4}" name="_TBL_INVENTORY_TYPE" displayName="_TBL_INVENTORY_TYPE" ref="A1:D7" totalsRowShown="0">
  <autoFilter ref="A1:D7" xr:uid="{254D3215-F9F9-4D1D-A07B-6BE9ED4E88C4}"/>
  <tableColumns count="4">
    <tableColumn id="1" xr3:uid="{C24F0F0E-DC65-4DD0-B891-8054B96A0C76}" name="ID"/>
    <tableColumn id="2" xr3:uid="{FA4CEB5B-3FB9-45CC-BBA1-1F6C7D966D87}" name="NAME" dataDxfId="41"/>
    <tableColumn id="3" xr3:uid="{77531021-D05F-4B6C-84DA-32AED82A9680}" name="CODE" dataDxfId="40"/>
    <tableColumn id="4" xr3:uid="{14FAAE2A-851C-47A6-B61E-F2657B28BBEB}" name="Column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17" tableType="queryTable" totalsRowShown="0">
  <autoFilter ref="A1:G17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39"/>
    <tableColumn id="3" xr3:uid="{076104D8-C9E8-451B-A965-B0F52E829B97}" uniqueName="3" name="TYPE" queryTableFieldId="3" dataDxfId="38"/>
    <tableColumn id="4" xr3:uid="{EED15770-5ACA-47A3-90AC-004FB47CC5A3}" uniqueName="4" name="BRAND" queryTableFieldId="4" dataDxfId="37"/>
    <tableColumn id="5" xr3:uid="{3006AD62-9893-4204-AD0A-4EF3B9BE605E}" uniqueName="5" name="CODE" queryTableFieldId="5" dataDxfId="36"/>
    <tableColumn id="7" xr3:uid="{E1B94A1B-9685-4AD3-8692-C54C2A4B1C38}" uniqueName="7" name="VARIANT" queryTableFieldId="7"/>
    <tableColumn id="6" xr3:uid="{895EF583-4F50-4211-A9B8-9D6A9E4977E5}" uniqueName="6" name="SPECS" queryTableFieldId="6" dataDxfId="3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094CCA-E1C1-4BDF-A888-CF855643FCCE}" name="_TBL_BRAND" displayName="_TBL_BRAND" ref="A1:C6" tableType="queryTable" totalsRowShown="0">
  <autoFilter ref="A1:C6" xr:uid="{D3094CCA-E1C1-4BDF-A888-CF855643FCCE}"/>
  <tableColumns count="3">
    <tableColumn id="1" xr3:uid="{CD355638-7210-4B3C-9B81-7CA586CCCE35}" uniqueName="1" name="ID" queryTableFieldId="1"/>
    <tableColumn id="2" xr3:uid="{A17084AD-45C6-49FE-AF2F-9D8660CF2AA8}" uniqueName="2" name="NAME" queryTableFieldId="2" dataDxfId="34"/>
    <tableColumn id="3" xr3:uid="{C0011154-0B7E-42B1-B5DD-084C7A3F69EC}" uniqueName="3" name="CODE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FREEBIES_INVENTORY" displayName="_TBL_FREEBIES_INVENTORY" ref="B2:H11" totalsRowCount="1" headerRowDxfId="33" dataDxfId="32" totalsRowDxfId="31">
  <autoFilter ref="B2:H10" xr:uid="{11196D4F-0C08-44E6-8845-054A162CF400}"/>
  <tableColumns count="7">
    <tableColumn id="1" xr3:uid="{7E5944E0-EEF7-48BA-9C65-2A065AAFA2D9}" name="DATE" totalsRowFunction="custom" dataDxfId="30" totalsRowDxfId="23">
      <totalsRowFormula>_xlfn.CONCAT("COUNT: ", TEXT(SUBTOTAL(103, _TBL_FREEBIES_INVENTORY[DATE]), "0"))</totalsRowFormula>
    </tableColumn>
    <tableColumn id="2" xr3:uid="{6346439F-B17B-42E4-B169-E92F350D30A5}" name="INVENTORY ITEM" totalsRowLabel="TOTAL: " dataDxfId="29" totalsRowDxfId="22"/>
    <tableColumn id="4" xr3:uid="{95CD9087-654C-4E2A-AF3A-261436977333}" name="IN" totalsRowFunction="custom" dataDxfId="28" totalsRowDxfId="21">
      <totalsRowFormula>SUBTOTAL(109, _TBL_FREEBIES_INVENTORY[IN])</totalsRowFormula>
    </tableColumn>
    <tableColumn id="5" xr3:uid="{20315BED-21B2-403E-9EB7-F0CC6C891D05}" name="OUT" totalsRowFunction="sum" dataDxfId="27" totalsRowDxfId="20"/>
    <tableColumn id="7" xr3:uid="{A2774850-F5E8-4FA1-8C17-FE6EEC4F8D73}" name="TOTAL" totalsRowFunction="sum" dataDxfId="24" totalsRowDxfId="19">
      <calculatedColumnFormula>SUM(-_TBL_FREEBIES_INVENTORY[[#This Row],[OUT]], _TBL_FREEBIES_INVENTORY[[#This Row],[IN]])</calculatedColumnFormula>
    </tableColumn>
    <tableColumn id="10" xr3:uid="{1B6A8F81-4CD3-412F-B3A2-C032710C5771}" name="REMARKS" dataDxfId="26" totalsRowDxfId="18"/>
    <tableColumn id="12" xr3:uid="{161DBC59-E0E9-488B-9D75-AD60C50E18B7}" name="BOX ID" dataDxfId="25" totalsRow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83C304D-074C-4E17-81A7-F10B6133DCE0}" name="_TBL_FREEBIES_INVENTORY7" displayName="_TBL_FREEBIES_INVENTORY7" ref="B2:H11" totalsRowCount="1" headerRowDxfId="16" dataDxfId="15" totalsRowDxfId="14">
  <autoFilter ref="B2:H10" xr:uid="{22C71B27-D54C-446B-A2B9-2E078C892E4A}"/>
  <tableColumns count="7">
    <tableColumn id="1" xr3:uid="{3DE36DED-43C5-4852-A11A-E58E1EF87E94}" name="DATE" totalsRowFunction="custom" dataDxfId="13" totalsRowDxfId="6">
      <totalsRowFormula>_xlfn.CONCAT("COUNT: ", TEXT(SUBTOTAL(103, _TBL_FREEBIES_INVENTORY7[DATE]), "0"))</totalsRowFormula>
    </tableColumn>
    <tableColumn id="2" xr3:uid="{F49D8059-346E-486B-8111-C746286CCF53}" name="INVENTORY ITEM" totalsRowLabel="TOTAL: " dataDxfId="12" totalsRowDxfId="5"/>
    <tableColumn id="4" xr3:uid="{86CF342F-E399-4CEA-BD32-EF980DB233B8}" name="IN" totalsRowFunction="custom" dataDxfId="11" totalsRowDxfId="4">
      <totalsRowFormula>SUBTOTAL(109, _TBL_FREEBIES_INVENTORY7[IN])</totalsRowFormula>
    </tableColumn>
    <tableColumn id="5" xr3:uid="{A1D4B435-F72F-4251-8573-58DA9C99B3C5}" name="OUT" totalsRowFunction="sum" dataDxfId="10" totalsRowDxfId="3"/>
    <tableColumn id="7" xr3:uid="{86CCBE95-A91A-48F0-9A91-DC41DAF3FD4D}" name="TOTAL" totalsRowFunction="sum" dataDxfId="7" totalsRowDxfId="2">
      <calculatedColumnFormula>IF(_TBL_FREEBIES_INVENTORY7[[#This Row],[INVENTORY ITEM]] &lt;&gt; "", SUM(-_TBL_FREEBIES_INVENTORY7[[#This Row],[OUT]], _TBL_FREEBIES_INVENTORY7[[#This Row],[IN]]), "")</calculatedColumnFormula>
    </tableColumn>
    <tableColumn id="10" xr3:uid="{F9EF6DE7-FE2D-4F81-A9A3-4577A35B7E4B}" name="REMARKS" dataDxfId="9" totalsRowDxfId="1"/>
    <tableColumn id="12" xr3:uid="{FE5EB96D-414E-4B73-BF69-09125097CC28}" name="BOX ID" dataDxfId="8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6B4-8FE3-47ED-9AEF-EE1F61FCD8EB}">
  <sheetPr codeName="Sheet1"/>
  <dimension ref="A1:C6"/>
  <sheetViews>
    <sheetView workbookViewId="0"/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35</v>
      </c>
    </row>
    <row r="3" spans="1:3" x14ac:dyDescent="0.25">
      <c r="A3">
        <v>2</v>
      </c>
      <c r="B3" t="s">
        <v>36</v>
      </c>
    </row>
    <row r="4" spans="1:3" x14ac:dyDescent="0.25">
      <c r="A4">
        <v>3</v>
      </c>
      <c r="B4" t="s">
        <v>37</v>
      </c>
    </row>
    <row r="5" spans="1:3" x14ac:dyDescent="0.25">
      <c r="A5">
        <v>4</v>
      </c>
      <c r="B5" t="s">
        <v>38</v>
      </c>
    </row>
    <row r="6" spans="1:3" x14ac:dyDescent="0.25">
      <c r="A6">
        <v>5</v>
      </c>
      <c r="B6" t="s">
        <v>39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A4E0C-F018-4B84-8B6D-6C68E449C05C}">
  <sheetPr codeName="Sheet3"/>
  <dimension ref="A1:D7"/>
  <sheetViews>
    <sheetView workbookViewId="0"/>
  </sheetViews>
  <sheetFormatPr defaultRowHeight="15" x14ac:dyDescent="0.25"/>
  <cols>
    <col min="1" max="1" width="5.140625" bestFit="1" customWidth="1"/>
    <col min="2" max="2" width="11.28515625" bestFit="1" customWidth="1"/>
    <col min="3" max="3" width="12.7109375" bestFit="1" customWidth="1"/>
    <col min="4" max="4" width="11.140625" bestFit="1" customWidth="1"/>
  </cols>
  <sheetData>
    <row r="1" spans="1:4" x14ac:dyDescent="0.25">
      <c r="A1" t="s">
        <v>0</v>
      </c>
      <c r="B1" t="s">
        <v>1</v>
      </c>
      <c r="C1" t="s">
        <v>4</v>
      </c>
      <c r="D1" t="s">
        <v>9</v>
      </c>
    </row>
    <row r="2" spans="1:4" x14ac:dyDescent="0.25">
      <c r="A2">
        <v>1</v>
      </c>
      <c r="B2" t="s">
        <v>6</v>
      </c>
      <c r="C2" t="s">
        <v>15</v>
      </c>
    </row>
    <row r="3" spans="1:4" x14ac:dyDescent="0.25">
      <c r="A3">
        <v>2</v>
      </c>
      <c r="B3" t="s">
        <v>16</v>
      </c>
      <c r="C3" t="s">
        <v>17</v>
      </c>
    </row>
    <row r="4" spans="1:4" x14ac:dyDescent="0.25">
      <c r="A4">
        <v>3</v>
      </c>
      <c r="B4" t="s">
        <v>18</v>
      </c>
      <c r="C4" t="s">
        <v>19</v>
      </c>
    </row>
    <row r="5" spans="1:4" x14ac:dyDescent="0.25">
      <c r="A5">
        <v>4</v>
      </c>
      <c r="B5" t="s">
        <v>20</v>
      </c>
      <c r="C5" t="s">
        <v>21</v>
      </c>
    </row>
    <row r="6" spans="1:4" x14ac:dyDescent="0.25">
      <c r="A6">
        <v>5</v>
      </c>
      <c r="B6" t="s">
        <v>22</v>
      </c>
      <c r="C6" t="s">
        <v>23</v>
      </c>
    </row>
    <row r="7" spans="1:4" x14ac:dyDescent="0.25">
      <c r="A7">
        <v>6</v>
      </c>
      <c r="B7" t="s">
        <v>24</v>
      </c>
      <c r="C7" t="s">
        <v>25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17"/>
  <sheetViews>
    <sheetView workbookViewId="0">
      <selection activeCell="H13" sqref="H13"/>
    </sheetView>
  </sheetViews>
  <sheetFormatPr defaultRowHeight="15" x14ac:dyDescent="0.25"/>
  <cols>
    <col min="1" max="1" width="5.140625" bestFit="1" customWidth="1"/>
    <col min="2" max="2" width="17.42578125" bestFit="1" customWidth="1"/>
    <col min="3" max="3" width="8.7109375" bestFit="1" customWidth="1"/>
    <col min="4" max="4" width="9.5703125" bestFit="1" customWidth="1"/>
    <col min="5" max="5" width="16.42578125" bestFit="1" customWidth="1"/>
    <col min="6" max="6" width="11.28515625" bestFit="1" customWidth="1"/>
    <col min="7" max="7" width="8.57031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34</v>
      </c>
      <c r="G1" t="s">
        <v>5</v>
      </c>
    </row>
    <row r="2" spans="1:7" x14ac:dyDescent="0.25">
      <c r="A2">
        <v>50</v>
      </c>
      <c r="B2" t="s">
        <v>40</v>
      </c>
      <c r="C2" t="s">
        <v>18</v>
      </c>
      <c r="E2" t="s">
        <v>41</v>
      </c>
    </row>
    <row r="3" spans="1:7" x14ac:dyDescent="0.25">
      <c r="A3">
        <v>51</v>
      </c>
      <c r="B3" t="s">
        <v>42</v>
      </c>
      <c r="C3" t="s">
        <v>18</v>
      </c>
      <c r="E3" t="s">
        <v>43</v>
      </c>
    </row>
    <row r="4" spans="1:7" x14ac:dyDescent="0.25">
      <c r="A4">
        <v>52</v>
      </c>
      <c r="B4" s="13" t="s">
        <v>44</v>
      </c>
      <c r="C4" s="13" t="s">
        <v>18</v>
      </c>
      <c r="D4" s="13"/>
      <c r="E4" s="13" t="s">
        <v>45</v>
      </c>
      <c r="G4" s="13"/>
    </row>
    <row r="5" spans="1:7" x14ac:dyDescent="0.25">
      <c r="A5">
        <v>53</v>
      </c>
      <c r="B5" s="13" t="s">
        <v>46</v>
      </c>
      <c r="C5" s="13" t="s">
        <v>18</v>
      </c>
      <c r="D5" s="13"/>
      <c r="E5" s="13" t="s">
        <v>47</v>
      </c>
      <c r="G5" s="13"/>
    </row>
    <row r="6" spans="1:7" x14ac:dyDescent="0.25">
      <c r="A6">
        <v>54</v>
      </c>
      <c r="B6" s="13" t="s">
        <v>48</v>
      </c>
      <c r="C6" s="13" t="s">
        <v>18</v>
      </c>
      <c r="D6" s="13"/>
      <c r="E6" s="13" t="s">
        <v>49</v>
      </c>
      <c r="G6" s="13"/>
    </row>
    <row r="7" spans="1:7" x14ac:dyDescent="0.25">
      <c r="A7">
        <v>55</v>
      </c>
      <c r="B7" s="13" t="s">
        <v>50</v>
      </c>
      <c r="C7" s="13" t="s">
        <v>18</v>
      </c>
      <c r="D7" s="13"/>
      <c r="E7" s="13" t="s">
        <v>51</v>
      </c>
      <c r="G7" s="13"/>
    </row>
    <row r="8" spans="1:7" x14ac:dyDescent="0.25">
      <c r="A8">
        <v>56</v>
      </c>
      <c r="B8" s="13" t="s">
        <v>52</v>
      </c>
      <c r="C8" s="13" t="s">
        <v>18</v>
      </c>
      <c r="D8" s="13"/>
      <c r="E8" s="13" t="s">
        <v>53</v>
      </c>
      <c r="G8" s="13"/>
    </row>
    <row r="9" spans="1:7" x14ac:dyDescent="0.25">
      <c r="A9">
        <v>57</v>
      </c>
      <c r="B9" s="13" t="s">
        <v>54</v>
      </c>
      <c r="C9" s="13" t="s">
        <v>18</v>
      </c>
      <c r="D9" s="13"/>
      <c r="E9" s="13" t="s">
        <v>55</v>
      </c>
      <c r="G9" s="13"/>
    </row>
    <row r="10" spans="1:7" x14ac:dyDescent="0.25">
      <c r="A10">
        <v>58</v>
      </c>
      <c r="B10" s="13" t="s">
        <v>56</v>
      </c>
      <c r="C10" s="13" t="s">
        <v>18</v>
      </c>
      <c r="D10" s="13"/>
      <c r="E10" s="13" t="s">
        <v>57</v>
      </c>
      <c r="G10" s="13"/>
    </row>
    <row r="11" spans="1:7" x14ac:dyDescent="0.25">
      <c r="A11">
        <v>59</v>
      </c>
      <c r="B11" s="13" t="s">
        <v>58</v>
      </c>
      <c r="C11" s="13" t="s">
        <v>18</v>
      </c>
      <c r="D11" s="13"/>
      <c r="E11" s="13" t="s">
        <v>59</v>
      </c>
      <c r="G11" s="13"/>
    </row>
    <row r="12" spans="1:7" x14ac:dyDescent="0.25">
      <c r="A12">
        <v>60</v>
      </c>
      <c r="B12" s="13" t="s">
        <v>60</v>
      </c>
      <c r="C12" s="13" t="s">
        <v>18</v>
      </c>
      <c r="D12" s="13"/>
      <c r="E12" s="13" t="s">
        <v>61</v>
      </c>
      <c r="G12" s="13"/>
    </row>
    <row r="13" spans="1:7" x14ac:dyDescent="0.25">
      <c r="A13">
        <v>61</v>
      </c>
      <c r="B13" s="13" t="s">
        <v>62</v>
      </c>
      <c r="C13" s="13" t="s">
        <v>18</v>
      </c>
      <c r="D13" s="13"/>
      <c r="E13" s="13" t="s">
        <v>63</v>
      </c>
      <c r="G13" s="13"/>
    </row>
    <row r="14" spans="1:7" x14ac:dyDescent="0.25">
      <c r="A14">
        <v>62</v>
      </c>
      <c r="B14" s="13" t="s">
        <v>64</v>
      </c>
      <c r="C14" s="13" t="s">
        <v>18</v>
      </c>
      <c r="D14" s="13"/>
      <c r="E14" s="13" t="s">
        <v>65</v>
      </c>
      <c r="G14" s="13"/>
    </row>
    <row r="15" spans="1:7" x14ac:dyDescent="0.25">
      <c r="A15">
        <v>63</v>
      </c>
      <c r="B15" s="13" t="s">
        <v>66</v>
      </c>
      <c r="C15" s="13" t="s">
        <v>18</v>
      </c>
      <c r="D15" s="13"/>
      <c r="E15" s="13" t="s">
        <v>67</v>
      </c>
      <c r="G15" s="13"/>
    </row>
    <row r="16" spans="1:7" x14ac:dyDescent="0.25">
      <c r="A16">
        <v>64</v>
      </c>
      <c r="B16" s="13" t="s">
        <v>68</v>
      </c>
      <c r="C16" s="13" t="s">
        <v>18</v>
      </c>
      <c r="D16" s="13"/>
      <c r="E16" s="13" t="s">
        <v>69</v>
      </c>
      <c r="G16" s="13"/>
    </row>
    <row r="17" spans="1:7" x14ac:dyDescent="0.25">
      <c r="A17">
        <v>65</v>
      </c>
      <c r="B17" s="13" t="s">
        <v>70</v>
      </c>
      <c r="C17" s="13" t="s">
        <v>18</v>
      </c>
      <c r="D17" s="13"/>
      <c r="E17" s="13" t="s">
        <v>71</v>
      </c>
      <c r="G17" s="1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D8AC8-8691-4720-858B-0FF6500AEC42}">
  <sheetPr codeName="Sheet5"/>
  <dimension ref="A1:C6"/>
  <sheetViews>
    <sheetView workbookViewId="0">
      <selection activeCell="N14" sqref="N14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12</v>
      </c>
    </row>
    <row r="3" spans="1:3" x14ac:dyDescent="0.25">
      <c r="A3">
        <v>2</v>
      </c>
      <c r="B3" t="s">
        <v>13</v>
      </c>
    </row>
    <row r="4" spans="1:3" x14ac:dyDescent="0.25">
      <c r="A4">
        <v>3</v>
      </c>
      <c r="B4" t="s">
        <v>7</v>
      </c>
    </row>
    <row r="5" spans="1:3" x14ac:dyDescent="0.25">
      <c r="A5">
        <v>4</v>
      </c>
      <c r="B5" t="s">
        <v>8</v>
      </c>
    </row>
    <row r="6" spans="1:3" x14ac:dyDescent="0.25">
      <c r="A6">
        <v>5</v>
      </c>
      <c r="B6" t="s">
        <v>14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H12"/>
  <sheetViews>
    <sheetView workbookViewId="0">
      <selection activeCell="B1" sqref="B1:H12"/>
    </sheetView>
  </sheetViews>
  <sheetFormatPr defaultRowHeight="15" x14ac:dyDescent="0.25"/>
  <cols>
    <col min="2" max="2" width="18.42578125" customWidth="1"/>
    <col min="3" max="3" width="33" customWidth="1"/>
    <col min="4" max="4" width="15.5703125" customWidth="1"/>
    <col min="5" max="5" width="15.140625" customWidth="1"/>
    <col min="6" max="6" width="17.42578125" customWidth="1"/>
    <col min="7" max="7" width="68.140625" customWidth="1"/>
    <col min="8" max="8" width="17.28515625" customWidth="1"/>
  </cols>
  <sheetData>
    <row r="1" spans="2:8" x14ac:dyDescent="0.25">
      <c r="B1" s="6"/>
      <c r="C1" s="14" t="s">
        <v>31</v>
      </c>
      <c r="D1" s="14"/>
      <c r="E1" s="14"/>
    </row>
    <row r="2" spans="2:8" x14ac:dyDescent="0.25">
      <c r="B2" s="1" t="s">
        <v>10</v>
      </c>
      <c r="C2" s="1" t="s">
        <v>11</v>
      </c>
      <c r="D2" s="1" t="s">
        <v>27</v>
      </c>
      <c r="E2" s="1" t="s">
        <v>28</v>
      </c>
      <c r="F2" s="1" t="s">
        <v>26</v>
      </c>
      <c r="G2" s="1" t="s">
        <v>29</v>
      </c>
      <c r="H2" s="1" t="s">
        <v>30</v>
      </c>
    </row>
    <row r="3" spans="2:8" x14ac:dyDescent="0.25">
      <c r="B3" s="3">
        <v>45766</v>
      </c>
      <c r="C3" s="1" t="s">
        <v>40</v>
      </c>
      <c r="D3" s="5">
        <v>7</v>
      </c>
      <c r="E3" s="5">
        <v>7</v>
      </c>
      <c r="F3" s="5">
        <f ca="1">SUM(-_TBL_FREEBIES_INVENTORY[[#This Row],[OUT]], _TBL_FREEBIES_INVENTORY[[#This Row],[IN]])</f>
        <v>0</v>
      </c>
      <c r="G3" s="2"/>
      <c r="H3" s="4"/>
    </row>
    <row r="4" spans="2:8" x14ac:dyDescent="0.25">
      <c r="B4" s="3">
        <v>45766</v>
      </c>
      <c r="C4" s="1"/>
      <c r="D4" s="5"/>
      <c r="E4" s="5"/>
      <c r="F4" s="5">
        <f ca="1">SUM(-_TBL_FREEBIES_INVENTORY[[#This Row],[OUT]], _TBL_FREEBIES_INVENTORY[[#This Row],[IN]])</f>
        <v>0</v>
      </c>
      <c r="G4" s="2"/>
      <c r="H4" s="4"/>
    </row>
    <row r="5" spans="2:8" x14ac:dyDescent="0.25">
      <c r="B5" s="3">
        <v>45766</v>
      </c>
      <c r="C5" s="1"/>
      <c r="D5" s="5"/>
      <c r="E5" s="5"/>
      <c r="F5" s="5">
        <f ca="1">SUM(-_TBL_FREEBIES_INVENTORY[[#This Row],[OUT]], _TBL_FREEBIES_INVENTORY[[#This Row],[IN]])</f>
        <v>0</v>
      </c>
      <c r="G5" s="2"/>
      <c r="H5" s="4"/>
    </row>
    <row r="6" spans="2:8" x14ac:dyDescent="0.25">
      <c r="B6" s="3">
        <v>45766</v>
      </c>
      <c r="C6" s="1"/>
      <c r="D6" s="5"/>
      <c r="E6" s="5"/>
      <c r="F6" s="5">
        <f ca="1">SUM(-_TBL_FREEBIES_INVENTORY[[#This Row],[OUT]], _TBL_FREEBIES_INVENTORY[[#This Row],[IN]])</f>
        <v>0</v>
      </c>
      <c r="G6" s="2"/>
      <c r="H6" s="4"/>
    </row>
    <row r="7" spans="2:8" x14ac:dyDescent="0.25">
      <c r="B7" s="3">
        <v>45766</v>
      </c>
      <c r="C7" s="1"/>
      <c r="D7" s="5"/>
      <c r="E7" s="5"/>
      <c r="F7" s="5">
        <f ca="1">SUM(-_TBL_FREEBIES_INVENTORY[[#This Row],[OUT]], _TBL_FREEBIES_INVENTORY[[#This Row],[IN]])</f>
        <v>0</v>
      </c>
      <c r="G7" s="2"/>
      <c r="H7" s="4"/>
    </row>
    <row r="8" spans="2:8" x14ac:dyDescent="0.25">
      <c r="B8" s="3">
        <v>45766</v>
      </c>
      <c r="C8" s="1"/>
      <c r="D8" s="5"/>
      <c r="E8" s="5"/>
      <c r="F8" s="5">
        <f ca="1">SUM(-_TBL_FREEBIES_INVENTORY[[#This Row],[OUT]], _TBL_FREEBIES_INVENTORY[[#This Row],[IN]])</f>
        <v>0</v>
      </c>
      <c r="G8" s="2"/>
      <c r="H8" s="4"/>
    </row>
    <row r="9" spans="2:8" x14ac:dyDescent="0.25">
      <c r="B9" s="3">
        <v>45766</v>
      </c>
      <c r="C9" s="1"/>
      <c r="D9" s="5"/>
      <c r="E9" s="5"/>
      <c r="F9" s="5">
        <f ca="1">SUM(-_TBL_FREEBIES_INVENTORY[[#This Row],[OUT]], _TBL_FREEBIES_INVENTORY[[#This Row],[IN]])</f>
        <v>0</v>
      </c>
      <c r="G9" s="2"/>
      <c r="H9" s="4"/>
    </row>
    <row r="10" spans="2:8" x14ac:dyDescent="0.25">
      <c r="B10" s="3">
        <v>45766</v>
      </c>
      <c r="C10" s="1"/>
      <c r="D10" s="5"/>
      <c r="E10" s="5"/>
      <c r="F10" s="5">
        <f ca="1">SUM(-_TBL_FREEBIES_INVENTORY[[#This Row],[OUT]], _TBL_FREEBIES_INVENTORY[[#This Row],[IN]])</f>
        <v>0</v>
      </c>
      <c r="G10" s="2"/>
      <c r="H10" s="4"/>
    </row>
    <row r="11" spans="2:8" x14ac:dyDescent="0.25">
      <c r="B11" s="7" t="str">
        <f ca="1">_xlfn.CONCAT("COUNT: ", TEXT(SUBTOTAL(103, _TBL_FREEBIES_INVENTORY[DATE]), "0"))</f>
        <v>COUNT: 1</v>
      </c>
      <c r="C11" s="8" t="s">
        <v>33</v>
      </c>
      <c r="D11" s="11">
        <f ca="1">SUBTOTAL(109, _TBL_FREEBIES_INVENTORY[IN])</f>
        <v>0</v>
      </c>
      <c r="E11" s="11">
        <f ca="1">SUBTOTAL(109,_TBL_FREEBIES_INVENTORY[OUT])</f>
        <v>0</v>
      </c>
      <c r="F11" s="11">
        <f ca="1">SUBTOTAL(109,_TBL_FREEBIES_INVENTORY[TOTAL])</f>
        <v>0</v>
      </c>
      <c r="G11" s="7"/>
      <c r="H11" s="9"/>
    </row>
    <row r="12" spans="2:8" x14ac:dyDescent="0.25">
      <c r="B12" s="10"/>
      <c r="C12" s="8" t="s">
        <v>32</v>
      </c>
      <c r="D12" s="11">
        <f ca="1">SUM( _TBL_FREEBIES_INVENTORY[IN])</f>
        <v>0</v>
      </c>
      <c r="E12" s="11">
        <f ca="1">SUM( _TBL_FREEBIES_INVENTORY[OUT])</f>
        <v>0</v>
      </c>
      <c r="F12" s="11">
        <f ca="1">SUM( _TBL_FREEBIES_INVENTORY[TOTAL])</f>
        <v>0</v>
      </c>
      <c r="G12" s="10"/>
      <c r="H12" s="10"/>
    </row>
  </sheetData>
  <mergeCells count="1">
    <mergeCell ref="C1:E1"/>
  </mergeCells>
  <dataValidations count="1">
    <dataValidation type="list" allowBlank="1" showInputMessage="1" showErrorMessage="1" sqref="C3:C10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CAFC6-71C1-4178-9201-E9B8A63B60C8}">
  <dimension ref="B1:H12"/>
  <sheetViews>
    <sheetView tabSelected="1" workbookViewId="0">
      <selection activeCell="G9" sqref="G9"/>
    </sheetView>
  </sheetViews>
  <sheetFormatPr defaultRowHeight="15" x14ac:dyDescent="0.25"/>
  <cols>
    <col min="2" max="2" width="17.42578125" customWidth="1"/>
    <col min="3" max="3" width="28.5703125" customWidth="1"/>
    <col min="4" max="4" width="20" customWidth="1"/>
    <col min="5" max="5" width="15.28515625" customWidth="1"/>
    <col min="6" max="6" width="34" customWidth="1"/>
    <col min="7" max="7" width="70.7109375" customWidth="1"/>
    <col min="8" max="8" width="14.140625" customWidth="1"/>
  </cols>
  <sheetData>
    <row r="1" spans="2:8" x14ac:dyDescent="0.25">
      <c r="B1" s="6"/>
      <c r="C1" s="14" t="s">
        <v>31</v>
      </c>
      <c r="D1" s="14"/>
      <c r="E1" s="14"/>
    </row>
    <row r="2" spans="2:8" x14ac:dyDescent="0.25">
      <c r="B2" s="1" t="s">
        <v>10</v>
      </c>
      <c r="C2" s="1" t="s">
        <v>11</v>
      </c>
      <c r="D2" s="1" t="s">
        <v>27</v>
      </c>
      <c r="E2" s="1" t="s">
        <v>28</v>
      </c>
      <c r="F2" s="1" t="s">
        <v>26</v>
      </c>
      <c r="G2" s="1" t="s">
        <v>29</v>
      </c>
      <c r="H2" s="1" t="s">
        <v>30</v>
      </c>
    </row>
    <row r="3" spans="2:8" x14ac:dyDescent="0.25">
      <c r="B3" s="3">
        <v>45766</v>
      </c>
      <c r="C3" s="1" t="s">
        <v>40</v>
      </c>
      <c r="D3" s="5">
        <v>7</v>
      </c>
      <c r="E3" s="5">
        <v>6</v>
      </c>
      <c r="F3" s="5">
        <f ca="1">IF(_TBL_FREEBIES_INVENTORY7[[#This Row],[INVENTORY ITEM]] &lt;&gt; "", SUM(-_TBL_FREEBIES_INVENTORY7[[#This Row],[OUT]], _TBL_FREEBIES_INVENTORY7[[#This Row],[IN]]), "")</f>
        <v>0</v>
      </c>
      <c r="G3" s="12"/>
      <c r="H3" s="4"/>
    </row>
    <row r="4" spans="2:8" x14ac:dyDescent="0.25">
      <c r="B4" s="3">
        <v>45766</v>
      </c>
      <c r="C4" s="1" t="s">
        <v>42</v>
      </c>
      <c r="D4" s="5"/>
      <c r="E4" s="5"/>
      <c r="F4" s="5">
        <f ca="1">IF(_TBL_FREEBIES_INVENTORY7[[#This Row],[INVENTORY ITEM]] &lt;&gt; "", SUM(-_TBL_FREEBIES_INVENTORY7[[#This Row],[OUT]], _TBL_FREEBIES_INVENTORY7[[#This Row],[IN]]), "")</f>
        <v>0</v>
      </c>
      <c r="G4" s="12"/>
      <c r="H4" s="4"/>
    </row>
    <row r="5" spans="2:8" x14ac:dyDescent="0.25">
      <c r="B5" s="3">
        <v>45766</v>
      </c>
      <c r="C5" s="1"/>
      <c r="D5" s="5"/>
      <c r="E5" s="5"/>
      <c r="F5" s="5">
        <f ca="1">IF(_TBL_FREEBIES_INVENTORY7[[#This Row],[INVENTORY ITEM]] &lt;&gt; "", SUM(-_TBL_FREEBIES_INVENTORY7[[#This Row],[OUT]], _TBL_FREEBIES_INVENTORY7[[#This Row],[IN]]), "")</f>
        <v>0</v>
      </c>
      <c r="G5" s="12"/>
      <c r="H5" s="4"/>
    </row>
    <row r="6" spans="2:8" x14ac:dyDescent="0.25">
      <c r="B6" s="3">
        <v>45766</v>
      </c>
      <c r="C6" s="1"/>
      <c r="D6" s="5"/>
      <c r="E6" s="5"/>
      <c r="F6" s="5">
        <f ca="1">IF(_TBL_FREEBIES_INVENTORY7[[#This Row],[INVENTORY ITEM]] &lt;&gt; "", SUM(-_TBL_FREEBIES_INVENTORY7[[#This Row],[OUT]], _TBL_FREEBIES_INVENTORY7[[#This Row],[IN]]), "")</f>
        <v>0</v>
      </c>
      <c r="G6" s="12"/>
      <c r="H6" s="4"/>
    </row>
    <row r="7" spans="2:8" x14ac:dyDescent="0.25">
      <c r="B7" s="3">
        <v>45766</v>
      </c>
      <c r="C7" s="1"/>
      <c r="D7" s="5"/>
      <c r="E7" s="5"/>
      <c r="F7" s="5">
        <f ca="1">IF(_TBL_FREEBIES_INVENTORY7[[#This Row],[INVENTORY ITEM]] &lt;&gt; "", SUM(-_TBL_FREEBIES_INVENTORY7[[#This Row],[OUT]], _TBL_FREEBIES_INVENTORY7[[#This Row],[IN]]), "")</f>
        <v>0</v>
      </c>
      <c r="G7" s="12"/>
      <c r="H7" s="4"/>
    </row>
    <row r="8" spans="2:8" x14ac:dyDescent="0.25">
      <c r="B8" s="3">
        <v>45766</v>
      </c>
      <c r="C8" s="1"/>
      <c r="D8" s="5"/>
      <c r="E8" s="5"/>
      <c r="F8" s="5">
        <f ca="1">IF(_TBL_FREEBIES_INVENTORY7[[#This Row],[INVENTORY ITEM]] &lt;&gt; "", SUM(-_TBL_FREEBIES_INVENTORY7[[#This Row],[OUT]], _TBL_FREEBIES_INVENTORY7[[#This Row],[IN]]), "")</f>
        <v>0</v>
      </c>
      <c r="G8" s="12"/>
      <c r="H8" s="4"/>
    </row>
    <row r="9" spans="2:8" x14ac:dyDescent="0.25">
      <c r="B9" s="3">
        <v>45766</v>
      </c>
      <c r="C9" s="1"/>
      <c r="D9" s="5"/>
      <c r="E9" s="5"/>
      <c r="F9" s="5">
        <f ca="1">IF(_TBL_FREEBIES_INVENTORY7[[#This Row],[INVENTORY ITEM]] &lt;&gt; "", SUM(-_TBL_FREEBIES_INVENTORY7[[#This Row],[OUT]], _TBL_FREEBIES_INVENTORY7[[#This Row],[IN]]), "")</f>
        <v>0</v>
      </c>
      <c r="G9" s="12"/>
      <c r="H9" s="4"/>
    </row>
    <row r="10" spans="2:8" x14ac:dyDescent="0.25">
      <c r="B10" s="3">
        <v>45766</v>
      </c>
      <c r="C10" s="1"/>
      <c r="D10" s="5"/>
      <c r="E10" s="5"/>
      <c r="F10" s="5">
        <f ca="1">IF(_TBL_FREEBIES_INVENTORY7[[#This Row],[INVENTORY ITEM]] &lt;&gt; "", SUM(-_TBL_FREEBIES_INVENTORY7[[#This Row],[OUT]], _TBL_FREEBIES_INVENTORY7[[#This Row],[IN]]), "")</f>
        <v>0</v>
      </c>
      <c r="G10" s="12"/>
      <c r="H10" s="4"/>
    </row>
    <row r="11" spans="2:8" x14ac:dyDescent="0.25">
      <c r="B11" s="7" t="str">
        <f ca="1">_xlfn.CONCAT("COUNT: ", TEXT(SUBTOTAL(103, _TBL_FREEBIES_INVENTORY7[DATE]), "0"))</f>
        <v>COUNT: 1</v>
      </c>
      <c r="C11" s="8" t="s">
        <v>33</v>
      </c>
      <c r="D11" s="11">
        <f ca="1">SUBTOTAL(109, _TBL_FREEBIES_INVENTORY7[IN])</f>
        <v>0</v>
      </c>
      <c r="E11" s="11">
        <f ca="1">SUBTOTAL(109,_TBL_FREEBIES_INVENTORY7[OUT])</f>
        <v>0</v>
      </c>
      <c r="F11" s="11">
        <f ca="1">SUBTOTAL(109,_TBL_FREEBIES_INVENTORY7[TOTAL])</f>
        <v>0</v>
      </c>
      <c r="G11" s="7"/>
      <c r="H11" s="9"/>
    </row>
    <row r="12" spans="2:8" x14ac:dyDescent="0.25">
      <c r="B12" s="10"/>
      <c r="C12" s="8" t="s">
        <v>32</v>
      </c>
      <c r="D12" s="11">
        <f ca="1">SUM( _TBL_FREEBIES_INVENTORY7[IN])</f>
        <v>0</v>
      </c>
      <c r="E12" s="11">
        <f ca="1">SUM( _TBL_FREEBIES_INVENTORY7[OUT])</f>
        <v>0</v>
      </c>
      <c r="F12" s="11">
        <f ca="1">SUM( _TBL_FREEBIES_INVENTORY7[TOTAL])</f>
        <v>0</v>
      </c>
      <c r="G12" s="10"/>
      <c r="H12" s="10"/>
    </row>
  </sheetData>
  <mergeCells count="1">
    <mergeCell ref="C1:E1"/>
  </mergeCells>
  <dataValidations count="1">
    <dataValidation type="list" allowBlank="1" showInputMessage="1" showErrorMessage="1" sqref="C3:C10" xr:uid="{EA2E9CDC-8B3A-46B5-A9D6-FD319862C09F}">
      <formula1>NAMES_INVENTORY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6CACAD5-A6EB-40EA-B3B2-81FF83365B6C}">
  <ds:schemaRefs/>
</ds:datastoreItem>
</file>

<file path=customXml/itemProps3.xml><?xml version="1.0" encoding="utf-8"?>
<ds:datastoreItem xmlns:ds="http://schemas.openxmlformats.org/officeDocument/2006/customXml" ds:itemID="{F8F9998A-5829-4589-9842-4D2E283D6A1C}">
  <ds:schemaRefs/>
</ds:datastoreItem>
</file>

<file path=customXml/itemProps4.xml><?xml version="1.0" encoding="utf-8"?>
<ds:datastoreItem xmlns:ds="http://schemas.openxmlformats.org/officeDocument/2006/customXml" ds:itemID="{BE0623AB-7205-43E9-A23B-9D8D592865C4}">
  <ds:schemaRefs/>
</ds:datastoreItem>
</file>

<file path=customXml/itemProps5.xml><?xml version="1.0" encoding="utf-8"?>
<ds:datastoreItem xmlns:ds="http://schemas.openxmlformats.org/officeDocument/2006/customXml" ds:itemID="{E447C96B-E20B-4D7B-984B-B9B0D2094392}">
  <ds:schemaRefs/>
</ds:datastoreItem>
</file>

<file path=customXml/itemProps6.xml><?xml version="1.0" encoding="utf-8"?>
<ds:datastoreItem xmlns:ds="http://schemas.openxmlformats.org/officeDocument/2006/customXml" ds:itemID="{01294FE4-D4CC-4416-B3C1-192C4E7B277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_TBL_SPECS</vt:lpstr>
      <vt:lpstr>_TBL_INVENTORY_TYPE</vt:lpstr>
      <vt:lpstr>_TBL_INVENTORY</vt:lpstr>
      <vt:lpstr>_TBL_BRAND</vt:lpstr>
      <vt:lpstr>FREEBIES_INVENTORY</vt:lpstr>
      <vt:lpstr>OTHERS_INVENTORY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2025-04-19T05:34:08Z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dcab220c-8d98-4445-a981-3772dff8ec1e</vt:lpwstr>
  </property>
</Properties>
</file>