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18CE0223-B31F-41CD-B952-3096ED38430A}" xr6:coauthVersionLast="36" xr6:coauthVersionMax="47" xr10:uidLastSave="{00000000-0000-0000-0000-000000000000}"/>
  <bookViews>
    <workbookView xWindow="-120" yWindow="-120" windowWidth="29040" windowHeight="15720" firstSheet="3" activeTab="9" xr2:uid="{00000000-000D-0000-FFFF-FFFF00000000}"/>
  </bookViews>
  <sheets>
    <sheet name="_TBL_SPECS" sheetId="6" state="hidden" r:id="rId1"/>
    <sheet name="_TBL_VARIANT" sheetId="10" state="hidden" r:id="rId2"/>
    <sheet name="_TBL_INVENTORY_TYPE" sheetId="9" state="hidden" r:id="rId3"/>
    <sheet name="Sheet2" sheetId="13" r:id="rId4"/>
    <sheet name="_TBL_INVENTORY" sheetId="4" r:id="rId5"/>
    <sheet name="_TBL_BRAND" sheetId="3" state="hidden" r:id="rId6"/>
    <sheet name="_TBL_DATES" sheetId="7" state="hidden" r:id="rId7"/>
    <sheet name="INVENTORY" sheetId="2" r:id="rId8"/>
    <sheet name="Sheet4" sheetId="15" r:id="rId9"/>
    <sheet name="Sheet3" sheetId="14" r:id="rId10"/>
    <sheet name="PC" sheetId="12" r:id="rId11"/>
    <sheet name="TEMPLATE" sheetId="11" r:id="rId12"/>
  </sheets>
  <functionGroups builtInGroupCount="19"/>
  <definedNames>
    <definedName name="_xlcn.WorksheetConnection_DAILY_INVENTORY.xlsx_TBL_BRAND1" hidden="1">_TBL_BRAND[]</definedName>
    <definedName name="_xlcn.WorksheetConnection_DAILY_INVENTORY.xlsx_TBL_INVENTORY1" hidden="1">_TBL_INVENTORY!$A$2:$N$8</definedName>
    <definedName name="ExternalData_1" localSheetId="5" hidden="1">_TBL_BRAND!$A$1:$C$12</definedName>
    <definedName name="ExternalData_1" localSheetId="6" hidden="1">_TBL_DATES!$A$1:$E$9</definedName>
    <definedName name="ExternalData_1" localSheetId="4" hidden="1">_TBL_INVENTORY!$A$2:$G$51</definedName>
    <definedName name="ExternalData_1" localSheetId="9" hidden="1">Sheet3!$A$1:$G$4</definedName>
    <definedName name="ExternalData_2" localSheetId="3" hidden="1">Sheet2!$A$1:$G$96</definedName>
    <definedName name="ExternalData_2" localSheetId="8" hidden="1">Sheet4!$A$1:$G$7</definedName>
    <definedName name="ExternalData_3" localSheetId="2" hidden="1">_TBL_INVENTORY_TYPE!$A$1:$C$5</definedName>
    <definedName name="ExternalData_4" localSheetId="0" hidden="1">_TBL_SPECS!$A$1:$C$14</definedName>
    <definedName name="ExternalData_4" localSheetId="1" hidden="1">_TBL_VARIANT!$A$1:$C$10</definedName>
    <definedName name="NAMES_INVENTORY">OFFSET(_TBL_INVENTORY[NAME], 0, 0, COUNTA(_TBL_INVENTORY[NAME]), 1)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G13" i="12" l="1"/>
  <c r="E13" i="12"/>
  <c r="D13" i="12"/>
  <c r="G12" i="12"/>
  <c r="E12" i="12"/>
  <c r="D12" i="12"/>
  <c r="B12" i="12"/>
  <c r="F11" i="12"/>
  <c r="F10" i="12"/>
  <c r="F9" i="12"/>
  <c r="F8" i="12"/>
  <c r="F7" i="12"/>
  <c r="F6" i="12"/>
  <c r="F5" i="12"/>
  <c r="F4" i="12"/>
  <c r="F3" i="12"/>
  <c r="F12" i="12" s="1"/>
  <c r="F13" i="12" l="1"/>
  <c r="F8" i="2"/>
  <c r="F9" i="2"/>
  <c r="F10" i="2"/>
  <c r="F11" i="2"/>
  <c r="J2" i="4" a="1"/>
  <c r="J2" i="4" s="1"/>
  <c r="H21" i="11"/>
  <c r="J21" i="11" s="1"/>
  <c r="H15" i="11"/>
  <c r="J15" i="11" s="1"/>
  <c r="H20" i="11"/>
  <c r="J20" i="11" s="1"/>
  <c r="H14" i="11"/>
  <c r="J14" i="11" s="1"/>
  <c r="H3" i="11"/>
  <c r="H4" i="11"/>
  <c r="H5" i="11"/>
  <c r="H6" i="11"/>
  <c r="J6" i="11" s="1"/>
  <c r="H7" i="11"/>
  <c r="J7" i="11" s="1"/>
  <c r="H8" i="11"/>
  <c r="H9" i="11"/>
  <c r="J9" i="11" s="1"/>
  <c r="B20" i="11" a="1"/>
  <c r="B20" i="11" s="1"/>
  <c r="J4" i="11"/>
  <c r="J5" i="11"/>
  <c r="J8" i="11"/>
  <c r="B14" i="11" a="1"/>
  <c r="B14" i="11" s="1"/>
  <c r="E10" i="11"/>
  <c r="F10" i="11"/>
  <c r="G10" i="11"/>
  <c r="I10" i="11"/>
  <c r="C10" i="11"/>
  <c r="D10" i="11"/>
  <c r="I22" i="11"/>
  <c r="G22" i="11"/>
  <c r="F22" i="11"/>
  <c r="E22" i="11"/>
  <c r="D22" i="11"/>
  <c r="C22" i="11"/>
  <c r="J26" i="11"/>
  <c r="J25" i="11"/>
  <c r="J24" i="11"/>
  <c r="I16" i="11"/>
  <c r="G16" i="11"/>
  <c r="F16" i="11"/>
  <c r="E16" i="11"/>
  <c r="D16" i="11"/>
  <c r="C16" i="11"/>
  <c r="H10" i="11" l="1"/>
  <c r="J3" i="11"/>
  <c r="J10" i="11" s="1"/>
  <c r="H22" i="11"/>
  <c r="H16" i="11"/>
  <c r="J22" i="11"/>
  <c r="J16" i="11"/>
  <c r="F5" i="2" l="1"/>
  <c r="F7" i="2"/>
  <c r="E12" i="2"/>
  <c r="G12" i="2"/>
  <c r="D12" i="2"/>
  <c r="E13" i="2"/>
  <c r="G13" i="2"/>
  <c r="D13" i="2"/>
  <c r="B12" i="2"/>
  <c r="F4" i="2"/>
  <c r="F3" i="2"/>
  <c r="F6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5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6" xr16:uid="{6004B4CE-AA15-4196-BEC1-2BE546360D22}" keepAlive="1" name="Query - _TBL_INVENTORY_TYPE" description="Connection to the '_TBL_INVENTORY_TYPE' query in the workbook." type="5" refreshedVersion="6" background="1" saveData="1">
    <dbPr connection="Provider=Microsoft.Mashup.OleDb.1;Data Source=$Workbook$;Location=_TBL_INVENTORY_TYPE;Extended Properties=&quot;&quot;" command="SELECT * FROM [_TBL_INVENTORY_TYPE]"/>
  </connection>
  <connection id="7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8" xr16:uid="{1A6455E0-CDE9-41E3-A377-5564737C43F7}" keepAlive="1" name="Query - _TBL_VARIANT" description="Connection to the '_TBL_VARIANT' query in the workbook." type="5" refreshedVersion="6" background="1" saveData="1">
    <dbPr connection="Provider=Microsoft.Mashup.OleDb.1;Data Source=$Workbook$;Location=_TBL_VARIANT;Extended Properties=&quot;&quot;" command="SELECT * FROM [_TBL_VARIANT]"/>
  </connection>
  <connection id="9" xr16:uid="{8873ADF8-DE60-4210-A6CD-42EA32E3D602}" keepAlive="1" name="Query - INVENTORY" description="Connection to the 'INVENTORY' query in the workbook." type="5" refreshedVersion="6" background="1" saveData="1">
    <dbPr connection="Provider=Microsoft.Mashup.OleDb.1;Data Source=$Workbook$;Location=INVENTORY;Extended Properties=&quot;&quot;" command="SELECT * FROM [INVENTORY]"/>
  </connection>
  <connection id="10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2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<sst xmlns="http://schemas.openxmlformats.org/spreadsheetml/2006/main" count="781" uniqueCount="233">
  <si>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</si>
  <si>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</si>
  <si>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</si>
  <si>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</si>
  <si>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</si>
  <si>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</si>
  <si>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</si>
  <si>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</si>
  <si>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</si>
  <si>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</si>
  <si>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DATE</t>
  </si>
  <si>
    <t>INVENTORY ITEM</t>
  </si>
  <si>
    <t>BACKJOB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</si>
  <si>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</si>
  <si>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</si>
  <si>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</si>
  <si>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</si>
  <si>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</si>
  <si>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</si>
  <si>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</si>
  <si>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</si>
  <si>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</si>
  <si>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</si>
  <si>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</si>
  <si>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</si>
  <si>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</si>
  <si>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</si>
  <si>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</si>
  <si>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</si>
  <si>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</si>
  <si>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</si>
  <si>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</si>
  <si>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</si>
  <si>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</si>
  <si>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</si>
  <si>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</si>
  <si>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</si>
  <si>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</si>
  <si>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</si>
  <si>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</si>
  <si>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</si>
  <si>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UNCHECKED</t>
  </si>
  <si>
    <t>CHROME OS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</si>
  <si>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</si>
  <si>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</si>
  <si>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</si>
  <si>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</si>
  <si>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</si>
  <si>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</si>
  <si>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</si>
  <si>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</si>
  <si>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</si>
  <si>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</si>
  <si>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</si>
  <si>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</si>
  <si>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8 / 256</t>
  </si>
  <si>
    <t>TOUCH &amp; FLIP</t>
  </si>
  <si>
    <t>Intel i3</t>
  </si>
  <si>
    <t>Intel i5</t>
  </si>
  <si>
    <t>Ryzen 3</t>
  </si>
  <si>
    <t>Ryzen 5</t>
  </si>
  <si>
    <t>CHECKED</t>
  </si>
  <si>
    <t>WINDOWS</t>
  </si>
  <si>
    <t xml:space="preserve">TOTAL : </t>
  </si>
  <si>
    <t>ON PROCESS</t>
  </si>
  <si>
    <t xml:space="preserve">TOTAL INVENTORY : </t>
  </si>
  <si>
    <t>DELL 3180 REGULAR 4 / 32</t>
  </si>
  <si>
    <t>14 INCH</t>
  </si>
  <si>
    <t>TOTAL INVENTORY:</t>
  </si>
  <si>
    <t>Others</t>
  </si>
  <si>
    <t>PRINTERS|SPEAKERS|MOBILE PHONE|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</si>
  <si>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</si>
  <si>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</si>
  <si>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</si>
  <si>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</si>
  <si>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</si>
  <si>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</si>
  <si>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</si>
  <si>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</si>
  <si>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</si>
  <si>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</si>
  <si>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</si>
  <si>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</si>
  <si>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</si>
  <si>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</si>
  <si>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</si>
  <si>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</si>
  <si>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</si>
  <si>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</si>
  <si>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</si>
  <si>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</si>
  <si>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</si>
  <si>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</si>
  <si>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</si>
  <si>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</si>
  <si>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</si>
  <si>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</si>
  <si>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</si>
  <si>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</si>
  <si>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</si>
  <si>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</si>
  <si>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</si>
  <si>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</si>
  <si>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</si>
  <si>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</si>
  <si>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</si>
  <si>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</si>
  <si>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</si>
  <si>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</si>
  <si>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</si>
  <si>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</si>
  <si>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</si>
  <si>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</si>
  <si>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</si>
  <si>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</si>
  <si>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</si>
  <si>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</si>
  <si>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</si>
  <si>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</si>
  <si>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</si>
  <si>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</si>
  <si>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 xml:space="preserve">LENOVO  </t>
  </si>
  <si>
    <t xml:space="preserve">Nec  </t>
  </si>
  <si>
    <t>INVENTORY</t>
  </si>
  <si>
    <t>Column2</t>
  </si>
  <si>
    <t>Column3</t>
  </si>
  <si>
    <t>Column4</t>
  </si>
  <si>
    <t>Column5</t>
  </si>
  <si>
    <t>Column6</t>
  </si>
  <si>
    <t>Column7</t>
  </si>
  <si>
    <t xml:space="preserve"> Computer Table </t>
  </si>
  <si>
    <t>Computer Table</t>
  </si>
  <si>
    <t xml:space="preserve"> Keyboard/Mouse </t>
  </si>
  <si>
    <t>Keyboard/Mouse</t>
  </si>
  <si>
    <t xml:space="preserve"> Large Mouse pad </t>
  </si>
  <si>
    <t>Large Mouse pad</t>
  </si>
  <si>
    <t xml:space="preserve"> Wifi-dongle </t>
  </si>
  <si>
    <t>Wifi-dongle</t>
  </si>
  <si>
    <t xml:space="preserve"> Speaker </t>
  </si>
  <si>
    <t>Speaker</t>
  </si>
  <si>
    <t xml:space="preserve"> Webcam </t>
  </si>
  <si>
    <t>Webcam</t>
  </si>
  <si>
    <t xml:space="preserve"> VGA </t>
  </si>
  <si>
    <t>VGA</t>
  </si>
  <si>
    <t xml:space="preserve"> Power Cord </t>
  </si>
  <si>
    <t>Power Cord</t>
  </si>
  <si>
    <t xml:space="preserve"> Laptop Table </t>
  </si>
  <si>
    <t>Laptop Table</t>
  </si>
  <si>
    <t xml:space="preserve"> Mouse </t>
  </si>
  <si>
    <t>Mouse</t>
  </si>
  <si>
    <t xml:space="preserve"> Mouse Pad </t>
  </si>
  <si>
    <t>Mouse Pad</t>
  </si>
  <si>
    <t xml:space="preserve"> P47 Headphone </t>
  </si>
  <si>
    <t>P47 Headphone</t>
  </si>
  <si>
    <t xml:space="preserve"> Laptop Stand </t>
  </si>
  <si>
    <t>Laptop Stand</t>
  </si>
  <si>
    <t xml:space="preserve"> Laptop Brush </t>
  </si>
  <si>
    <t>Laptop Brush</t>
  </si>
  <si>
    <t xml:space="preserve"> Laptop Bag </t>
  </si>
  <si>
    <t>Laptop Bag</t>
  </si>
  <si>
    <t xml:space="preserve"> Stylus Pen </t>
  </si>
  <si>
    <t>Stylus Pen</t>
  </si>
  <si>
    <t xml:space="preserve"> SD Card </t>
  </si>
  <si>
    <t>SD Card</t>
  </si>
  <si>
    <t xml:space="preserve"> Mic Stand </t>
  </si>
  <si>
    <t>Mic Stand</t>
  </si>
  <si>
    <t xml:space="preserve"> B. Keyboard/M. </t>
  </si>
  <si>
    <t>B. Keyboard/M.</t>
  </si>
  <si>
    <t xml:space="preserve"> AVR </t>
  </si>
  <si>
    <t>AVR</t>
  </si>
  <si>
    <t xml:space="preserve"> S.Earphones </t>
  </si>
  <si>
    <t>S.Earphones</t>
  </si>
  <si>
    <t xml:space="preserve"> Powerbank </t>
  </si>
  <si>
    <t>Powerbank</t>
  </si>
  <si>
    <t xml:space="preserve"> Cool Pad </t>
  </si>
  <si>
    <t>Cool Pad</t>
  </si>
  <si>
    <t xml:space="preserve"> Vacuum Cleaner </t>
  </si>
  <si>
    <t>Vacuum Cleaner</t>
  </si>
  <si>
    <t xml:space="preserve"> S.Neckband </t>
  </si>
  <si>
    <t>S.Neckband</t>
  </si>
  <si>
    <t xml:space="preserve"> Selfie Stick </t>
  </si>
  <si>
    <t>Selfie Stick</t>
  </si>
  <si>
    <t xml:space="preserve"> W.Speaker B. </t>
  </si>
  <si>
    <t>W.Speaker B.</t>
  </si>
  <si>
    <t xml:space="preserve"> Micro Stand </t>
  </si>
  <si>
    <t>Micro Stand</t>
  </si>
  <si>
    <t xml:space="preserve"> Extra Base Sony </t>
  </si>
  <si>
    <t>Extra Base Sony</t>
  </si>
  <si>
    <t xml:space="preserve"> Card Reader </t>
  </si>
  <si>
    <t>Card Reader</t>
  </si>
  <si>
    <t xml:space="preserve"> TV Box </t>
  </si>
  <si>
    <t>TV Box</t>
  </si>
  <si>
    <t xml:space="preserve"> Dynamic S. </t>
  </si>
  <si>
    <t>Dynamic S.</t>
  </si>
  <si>
    <t xml:space="preserve"> I Karaoke Box Big </t>
  </si>
  <si>
    <t>I Karaoke Box Big</t>
  </si>
  <si>
    <t xml:space="preserve"> I Karaoke Box Small </t>
  </si>
  <si>
    <t>I Karaoke Box Small</t>
  </si>
  <si>
    <t xml:space="preserve"> Oudio Bop 12.5 </t>
  </si>
  <si>
    <t>Oudio Bop 12.5</t>
  </si>
  <si>
    <t xml:space="preserve"> Oudio Bop 8.5x3 </t>
  </si>
  <si>
    <t>Oudio Bop 8.5x3</t>
  </si>
  <si>
    <t xml:space="preserve"> Oudio Bop 8.5x2 </t>
  </si>
  <si>
    <t>Oudio Bop 8.5x2</t>
  </si>
  <si>
    <t xml:space="preserve"> Big Box </t>
  </si>
  <si>
    <t>Big Box</t>
  </si>
  <si>
    <t xml:space="preserve"> Small Box </t>
  </si>
  <si>
    <t>Small Box</t>
  </si>
  <si>
    <t xml:space="preserve"> Echo Bag </t>
  </si>
  <si>
    <t>Echo Bag</t>
  </si>
  <si>
    <t xml:space="preserve"> Paper Cutter </t>
  </si>
  <si>
    <t>Paper Cutter</t>
  </si>
  <si>
    <t xml:space="preserve"> Laminator </t>
  </si>
  <si>
    <t>Laminator</t>
  </si>
  <si>
    <t xml:space="preserve"> 1080p Sports Cam </t>
  </si>
  <si>
    <t>1080p Sports Cam</t>
  </si>
  <si>
    <t xml:space="preserve"> Helmet </t>
  </si>
  <si>
    <t>Helmet</t>
  </si>
  <si>
    <t xml:space="preserve"> Cherry Mobile </t>
  </si>
  <si>
    <t>Cherry Mobile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</si>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</sst>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94"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1D3AF849-8F78-490A-AA61-1B50E580C8F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0BCC1F9-9B07-4E3F-8ECA-3DFAD6974855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29ABD30F-5340-4816-80D6-648CF55DDBF3}" autoFormatId="16" applyNumberFormats="0" applyBorderFormats="0" applyFontFormats="0" applyPatternFormats="0" applyAlignmentFormats="0" applyWidthHeightFormats="0">
  <queryTableRefresh nextId="8">
    <queryTableFields count="7">
      <queryTableField id="1" name="INVENTORY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4" tableType="queryTable" totalsRowShown="0">
  <autoFilter ref="A1:C14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34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61E756-D77A-46E4-8DEB-21BA9D89E2DB}" name="_TBL_VARIANT" displayName="_TBL_VARIANT" ref="A1:C10" tableType="queryTable" totalsRowShown="0">
  <autoFilter ref="A1:C10" xr:uid="{1C61E756-D77A-46E4-8DEB-21BA9D89E2DB}"/>
  <tableColumns count="3">
    <tableColumn id="1" xr3:uid="{BF1BF82C-79C3-464D-A2A9-CCD0477EFD7F}" uniqueName="1" name="ID" queryTableFieldId="1"/>
    <tableColumn id="2" xr3:uid="{5EACD79E-E797-4DC6-ADC1-424F14C054D4}" uniqueName="2" name="NAME" queryTableFieldId="2" dataDxfId="93"/>
    <tableColumn id="3" xr3:uid="{BA481D3D-D56F-4320-9273-1F9AEFA6C8DA}" uniqueName="3" name="COD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61DAD2-B3F2-4D37-8E1D-E1981CC99428}" name="_TBL_INVENTORY_TYPE_" displayName="_TBL_INVENTORY_TYPE_" ref="A1:C5" tableType="queryTable" totalsRowShown="0">
  <autoFilter ref="A1:C5" xr:uid="{6A61DAD2-B3F2-4D37-8E1D-E1981CC99428}"/>
  <tableColumns count="3">
    <tableColumn id="1" xr3:uid="{0723FCA4-35A0-42DB-BF76-FED1B749EC27}" uniqueName="1" name="ID" queryTableFieldId="1"/>
    <tableColumn id="2" xr3:uid="{D723045F-E288-42CC-9F0F-0F081836F42B}" uniqueName="2" name="NAME" queryTableFieldId="2" dataDxfId="92"/>
    <tableColumn id="3" xr3:uid="{925A02D8-5DBB-4FEF-9698-C58D79969BF9}" uniqueName="3" name="CODE" queryTableFieldId="3" dataDxfId="9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8560C5-1E7E-4086-94D7-83AE3F2C96E6}" name="INVENTORY" displayName="INVENTORY" ref="A1:G96" tableType="queryTable" totalsRowShown="0">
  <autoFilter ref="A1:G96" xr:uid="{5F8B090B-8D07-494C-8553-6A8B512443EA}"/>
  <tableColumns count="7">
    <tableColumn id="1" xr3:uid="{180CB215-2D2D-49DF-9943-6DD8A5B39DE4}" uniqueName="1" name="INVENTORY" queryTableFieldId="1"/>
    <tableColumn id="2" xr3:uid="{8D381EBB-9DD7-4682-8C9A-B133FC5DDA10}" uniqueName="2" name="Column2" queryTableFieldId="2"/>
    <tableColumn id="3" xr3:uid="{1F367E4C-920E-4AA9-B66B-01E28187E536}" uniqueName="3" name="Column3" queryTableFieldId="3"/>
    <tableColumn id="4" xr3:uid="{8B04AA42-DEAD-41D3-9978-5FFBB27DE4C0}" uniqueName="4" name="Column4" queryTableFieldId="4"/>
    <tableColumn id="5" xr3:uid="{D6A2467A-EA90-4C5A-AA22-93A0E3E830CB}" uniqueName="5" name="Column5" queryTableFieldId="5"/>
    <tableColumn id="6" xr3:uid="{0CC6E9B2-24B4-44AA-9561-91FDA94624E8}" uniqueName="6" name="Column6" queryTableFieldId="6"/>
    <tableColumn id="7" xr3:uid="{C388B1DA-8AB2-473D-9A57-3C97D3D2E109}" uniqueName="7" name="Column7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" displayName="_TBL_INVENTORY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40"/>
    <tableColumn id="3" xr3:uid="{72D63A58-4BF9-4348-9278-03658337BDE4}" uniqueName="3" name="TYPE" queryTableFieldId="3" dataDxfId="39"/>
    <tableColumn id="4" xr3:uid="{C1D1FE9A-E7D1-49CB-990A-521223F02F2F}" uniqueName="4" name="BRAND" queryTableFieldId="4" dataDxfId="38"/>
    <tableColumn id="5" xr3:uid="{6A522385-7131-4700-B14C-7A2CC7322CB4}" uniqueName="5" name="CODE" queryTableFieldId="5" dataDxfId="37"/>
    <tableColumn id="6" xr3:uid="{357B56B4-AAF6-43D4-AEAD-F93F1453D095}" uniqueName="6" name="VARIANT" queryTableFieldId="6" dataDxfId="36"/>
    <tableColumn id="7" xr3:uid="{A6335F81-8B2A-4D68-A3D4-C528C11BFB62}" uniqueName="7" name="SPECS" queryTableFieldId="7" dataDxfId="3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12" tableType="queryTable" totalsRowShown="0">
  <autoFilter ref="A1:C12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44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43"/>
    <tableColumn id="2" xr3:uid="{9ACA5BAE-3452-4A54-88A1-1D3A54B85E6B}" uniqueName="2" name="START_DATE" queryTableFieldId="2" dataDxfId="42"/>
    <tableColumn id="3" xr3:uid="{C60B9200-CA57-4C5B-AF47-28D5CBEAD345}" uniqueName="3" name="END_DATE" queryTableFieldId="3" dataDxfId="41"/>
    <tableColumn id="4" xr3:uid="{A600AE55-31A6-4008-AA79-30DCDCBCFBDA}" uniqueName="4" name="NAME" queryTableFieldId="4" dataDxfId="90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I12" totalsRowCount="1" headerRowDxfId="89" dataDxfId="88">
  <autoFilter ref="B2:I11" xr:uid="{11196D4F-0C08-44E6-8845-054A162CF400}"/>
  <tableColumns count="8">
    <tableColumn id="1" xr3:uid="{7E5944E0-EEF7-48BA-9C65-2A065AAFA2D9}" name="DATE" totalsRowFunction="custom" dataDxfId="33" totalsRowDxfId="25">
      <totalsRowFormula>_xlfn.CONCAT("COUNT: ", SUBTOTAL(103,_TBL_LAPTOP_INVENTORY[DATE]))</totalsRowFormula>
    </tableColumn>
    <tableColumn id="2" xr3:uid="{6346439F-B17B-42E4-B169-E92F350D30A5}" name="INVENTORY ITEM" totalsRowLabel="TOTAL: " dataDxfId="32" totalsRowDxfId="24"/>
    <tableColumn id="4" xr3:uid="{95CD9087-654C-4E2A-AF3A-261436977333}" name="IN" totalsRowFunction="sum" dataDxfId="31" totalsRowDxfId="23"/>
    <tableColumn id="5" xr3:uid="{20315BED-21B2-403E-9EB7-F0CC6C891D05}" name="OUT" totalsRowFunction="sum" dataDxfId="30" totalsRowDxfId="22"/>
    <tableColumn id="7" xr3:uid="{A2774850-F5E8-4FA1-8C17-FE6EEC4F8D73}" name="TOTAL" totalsRowFunction="sum" dataDxfId="29" totalsRowDxfId="21">
      <calculatedColumnFormula>IF(_TBL_LAPTOP_INVENTORY[[#This Row],[IN]]+_TBL_LAPTOP_INVENTORY[[#This Row],[OUT]]&lt;&gt; 0, _TBL_LAPTOP_INVENTORY[[#This Row],[IN]]+_TBL_LAPTOP_INVENTORY[[#This Row],[OUT]], "")</calculatedColumnFormula>
    </tableColumn>
    <tableColumn id="8" xr3:uid="{3BEEB058-8C1B-4F3B-A112-E1C3BF3C5795}" name="BACKJOB" totalsRowFunction="sum" dataDxfId="28" totalsRowDxfId="20"/>
    <tableColumn id="10" xr3:uid="{1B6A8F81-4CD3-412F-B3A2-C032710C5771}" name="REMARKS" dataDxfId="27" totalsRowDxfId="19"/>
    <tableColumn id="12" xr3:uid="{161DBC59-E0E9-488B-9D75-AD60C50E18B7}" name="BOX ID" dataDxfId="26" totalsRow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LAPTOP_INVENTORY4" displayName="_TBL_LAPTOP_INVENTORY4" ref="B2:I12" totalsRowCount="1" headerRowDxfId="17" dataDxfId="16">
  <autoFilter ref="B2:I11" xr:uid="{CCD5F1A0-C195-4E63-936A-43706ADC2989}"/>
  <tableColumns count="8">
    <tableColumn id="1" xr3:uid="{5CDACDCD-B7D4-42C8-B4FF-47907B56A404}" name="DATE" totalsRowFunction="custom" dataDxfId="14" totalsRowDxfId="15">
      <totalsRowFormula>_xlfn.CONCAT("COUNT: ", SUBTOTAL(103,_TBL_LAPTOP_INVENTORY4[DATE]))</totalsRowFormula>
    </tableColumn>
    <tableColumn id="2" xr3:uid="{08580266-0DDD-4E86-9243-2AF1790ECE07}" name="INVENTORY ITEM" totalsRowLabel="TOTAL: " dataDxfId="12" totalsRowDxfId="13"/>
    <tableColumn id="4" xr3:uid="{7976317F-3C79-4C9A-AFE8-6ADE89DE934F}" name="IN" totalsRowFunction="sum" dataDxfId="10" totalsRowDxfId="11"/>
    <tableColumn id="5" xr3:uid="{CB8D2757-17B5-469D-953A-BEDD5875E951}" name="OUT" totalsRowFunction="sum" dataDxfId="8" totalsRowDxfId="9"/>
    <tableColumn id="7" xr3:uid="{BC557211-9C16-47D6-91D1-61EDD9A83964}" name="TOTAL" totalsRowFunction="sum" dataDxfId="6" totalsRowDxfId="7">
      <calculatedColumnFormula>IF(_TBL_LAPTOP_INVENTORY4[[#This Row],[IN]]+_TBL_LAPTOP_INVENTORY4[[#This Row],[OUT]]&lt;&gt; 0, _TBL_LAPTOP_INVENTORY4[[#This Row],[IN]]+_TBL_LAPTOP_INVENTORY4[[#This Row],[OUT]], "")</calculatedColumnFormula>
    </tableColumn>
    <tableColumn id="8" xr3:uid="{4C3A2717-F384-4642-BCAC-B5866A114693}" name="BACKJOB" totalsRowFunction="sum" dataDxfId="4" totalsRowDxfId="5"/>
    <tableColumn id="10" xr3:uid="{C7D3AE44-6094-4DCE-B4E5-08594544FB4D}" name="REMARKS" dataDxfId="2" totalsRowDxfId="3"/>
    <tableColumn id="12" xr3:uid="{086DEEC2-01C5-475F-879A-B8A691B2E288}" name="BOX ID" dataDxfId="0" totalsRow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3:J16" totalsRowCount="1">
  <autoFilter ref="B13:J15" xr:uid="{641D9699-6A8D-41D7-BA45-3564F6CE9E3F}"/>
  <tableColumns count="9">
    <tableColumn id="1" xr3:uid="{F785A112-E5B1-4220-8197-AC2FD33C0F68}" name="NAME" totalsRowLabel="TOTAL : " dataDxfId="87" totalsRowDxfId="86"/>
    <tableColumn id="2" xr3:uid="{676606A0-7990-4C08-BB3D-F65A0581C705}" name="UNCHECKED" totalsRowFunction="custom" totalsRowDxfId="85">
      <totalsRowFormula>SUBTOTAL(109, TEMPLATE_TOUCHSCREEN[UNCHECKED])</totalsRowFormula>
    </tableColumn>
    <tableColumn id="3" xr3:uid="{7640C5A0-97C1-403A-B35B-3A7E0D0E8EFB}" name="CHECKED" totalsRowFunction="custom" totalsRowDxfId="84">
      <totalsRowFormula>SUBTOTAL(109, TEMPLATE_TOUCHSCREEN[CHECKED])</totalsRowFormula>
    </tableColumn>
    <tableColumn id="8" xr3:uid="{C6E7B794-E407-4445-90B2-CF8B0D4CB47B}" name="ON PROCESS" totalsRowFunction="custom" totalsRowDxfId="83">
      <totalsRowFormula>SUBTOTAL(109, TEMPLATE_TOUCHSCREEN[ON PROCESS])</totalsRowFormula>
    </tableColumn>
    <tableColumn id="4" xr3:uid="{D9E4E3E7-74A6-4EC6-BE23-96237B958C35}" name="CHROME OS" totalsRowFunction="custom" totalsRowDxfId="82">
      <totalsRowFormula>SUBTOTAL(109, TEMPLATE_TOUCHSCREEN[CHROME OS])</totalsRowFormula>
    </tableColumn>
    <tableColumn id="5" xr3:uid="{C8F5FEF4-4501-440C-BFC3-80FDF100B145}" name="WINDOWS" totalsRowFunction="custom" totalsRowDxfId="81">
      <totalsRowFormula>SUBTOTAL(109, TEMPLATE_TOUCHSCREEN[WINDOWS])</totalsRowFormula>
    </tableColumn>
    <tableColumn id="6" xr3:uid="{B1690278-5FFF-49D3-A64E-52AAA807A6F0}" name="TOTAL : " totalsRowFunction="custom" dataDxfId="80" totalsRowDxfId="79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78">
      <totalsRowFormula>SUBTOTAL(109, TEMPLATE_TOUCHSCREEN[BACKJOB])</totalsRowFormula>
    </tableColumn>
    <tableColumn id="9" xr3:uid="{48911CB4-28B4-41E1-97CD-C5272AF691DB}" name="TOTAL INVENTORY : " totalsRowFunction="custom" dataDxfId="77" totalsRowDxfId="76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19:J22" totalsRowCount="1">
  <autoFilter ref="B19:J21" xr:uid="{0CC45A81-8318-46A1-9C4F-E4A39C227BB7}"/>
  <tableColumns count="9">
    <tableColumn id="1" xr3:uid="{7DB9A99D-A48F-4897-82CD-03F08CA30CD0}" name="NAME" totalsRowLabel="TOTAL : " dataDxfId="75" totalsRowDxfId="74"/>
    <tableColumn id="2" xr3:uid="{FFC772EF-57C6-4F5A-99C7-66277A580722}" name="UNCHECKED" totalsRowFunction="custom" totalsRowDxfId="73">
      <totalsRowFormula>SUBTOTAL(109, TEMPLATE_14_INCH[UNCHECKED])</totalsRowFormula>
    </tableColumn>
    <tableColumn id="3" xr3:uid="{374E1D3D-EF48-4634-AC36-E3B7A570A185}" name="CHECKED" totalsRowFunction="custom" totalsRowDxfId="72">
      <totalsRowFormula>SUBTOTAL(109, TEMPLATE_14_INCH[CHECKED])</totalsRowFormula>
    </tableColumn>
    <tableColumn id="8" xr3:uid="{2E40B7B5-E2BF-4F46-8610-E0080F5DACBD}" name="ON PROCESS" totalsRowFunction="custom" totalsRowDxfId="71">
      <totalsRowFormula>SUBTOTAL(109, TEMPLATE_14_INCH[ON PROCESS])</totalsRowFormula>
    </tableColumn>
    <tableColumn id="4" xr3:uid="{ACDEF88D-D1C3-4B1F-894C-202E99EBF8E9}" name="CHROME OS" totalsRowFunction="custom" totalsRowDxfId="70">
      <totalsRowFormula>SUBTOTAL(109, TEMPLATE_14_INCH[CHROME OS])</totalsRowFormula>
    </tableColumn>
    <tableColumn id="5" xr3:uid="{2ECBE8BA-63BC-45F1-B80B-3654DDF8E047}" name="WINDOWS" totalsRowFunction="custom" totalsRowDxfId="69">
      <totalsRowFormula>SUBTOTAL(109, TEMPLATE_14_INCH[WINDOWS])</totalsRowFormula>
    </tableColumn>
    <tableColumn id="6" xr3:uid="{EAD79535-A3C7-43FB-9CCB-C7443B43FD85}" name="TOTAL : " totalsRowFunction="custom" dataDxfId="68" totalsRowDxfId="67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66">
      <totalsRowFormula>SUBTOTAL(109, TEMPLATE_14_INCH[BACKJOB])</totalsRowFormula>
    </tableColumn>
    <tableColumn id="9" xr3:uid="{D31E8141-E9EB-4AE4-9A2E-5B59A74AF13E}" name="TOTAL INVENTORY : " totalsRowFunction="custom" dataDxfId="65" totalsRowDxfId="64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0" totalsRowCount="1" headerRowDxfId="63">
  <autoFilter ref="B2:J9" xr:uid="{A0942573-3D2A-4612-9F97-D46E99284621}"/>
  <tableColumns count="9">
    <tableColumn id="1" xr3:uid="{1C67AC96-2C7A-4556-AFAD-259A3248D46F}" name="NAME" totalsRowLabel="TOTAL : " dataDxfId="62" totalsRowDxfId="61"/>
    <tableColumn id="2" xr3:uid="{DABB5C53-2CDF-41B3-9D0D-DB9341665E4D}" name="UNCHECKED" totalsRowFunction="custom" dataDxfId="60" totalsRowDxfId="59">
      <totalsRowFormula>SUM(TEMPLATE_REGULAR[UNCHECKED])</totalsRowFormula>
    </tableColumn>
    <tableColumn id="3" xr3:uid="{D4CB0E69-46DD-4A99-9CE4-2A42D692C4D7}" name="CHECKED" totalsRowFunction="custom" dataDxfId="58" totalsRowDxfId="57">
      <totalsRowFormula>SUM(TEMPLATE_REGULAR[CHECKED])</totalsRowFormula>
    </tableColumn>
    <tableColumn id="4" xr3:uid="{82D116FE-5845-4C69-9D87-C369D84B4BC0}" name="ON PROCESS" totalsRowFunction="custom" dataDxfId="56" totalsRowDxfId="55">
      <totalsRowFormula>SUM(TEMPLATE_REGULAR[ON PROCESS])</totalsRowFormula>
    </tableColumn>
    <tableColumn id="5" xr3:uid="{814FF9B6-6A0F-436B-8EEA-3028CDA5891C}" name="CHROME OS" totalsRowFunction="custom" dataDxfId="54" totalsRowDxfId="53">
      <totalsRowFormula>SUM(TEMPLATE_REGULAR[CHROME OS])</totalsRowFormula>
    </tableColumn>
    <tableColumn id="6" xr3:uid="{6CCD520B-C9ED-4C70-BBE0-636C8372FD39}" name="WINDOWS" totalsRowFunction="custom" dataDxfId="52" totalsRowDxfId="51">
      <totalsRowFormula>SUM(TEMPLATE_REGULAR[WINDOWS])</totalsRowFormula>
    </tableColumn>
    <tableColumn id="7" xr3:uid="{B0445342-6B9D-4F87-A291-1CC3BEB5A493}" name="TOTAL" totalsRowFunction="custom" dataDxfId="50" totalsRowDxfId="49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48" totalsRowDxfId="47">
      <totalsRowFormula>SUM(TEMPLATE_REGULAR[BACKJOB])</totalsRowFormula>
    </tableColumn>
    <tableColumn id="9" xr3:uid="{C9D37CF1-C98E-4D9E-9A35-229E5D0E639B}" name="TOTAL INVENTORY:" totalsRowFunction="custom" dataDxfId="46" totalsRowDxfId="45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14"/>
  <sheetViews>
    <sheetView workbookViewId="0">
      <selection sqref="A1:C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53</v>
      </c>
    </row>
    <row r="3" spans="1:3" x14ac:dyDescent="0.25">
      <c r="A3">
        <v>2</v>
      </c>
      <c r="B3" t="s">
        <v>45</v>
      </c>
    </row>
    <row r="4" spans="1:3" x14ac:dyDescent="0.25">
      <c r="A4">
        <v>3</v>
      </c>
      <c r="B4" t="s">
        <v>47</v>
      </c>
    </row>
    <row r="5" spans="1:3" x14ac:dyDescent="0.25">
      <c r="A5">
        <v>4</v>
      </c>
      <c r="B5" t="s">
        <v>95</v>
      </c>
    </row>
    <row r="6" spans="1:3" x14ac:dyDescent="0.25">
      <c r="A6">
        <v>5</v>
      </c>
      <c r="B6" t="s">
        <v>110</v>
      </c>
    </row>
    <row r="7" spans="1:3" x14ac:dyDescent="0.25">
      <c r="A7">
        <v>6</v>
      </c>
      <c r="B7" t="s">
        <v>97</v>
      </c>
    </row>
    <row r="8" spans="1:3" x14ac:dyDescent="0.25">
      <c r="A8">
        <v>7</v>
      </c>
      <c r="B8" t="s">
        <v>54</v>
      </c>
    </row>
    <row r="9" spans="1:3" x14ac:dyDescent="0.25">
      <c r="A9">
        <v>8</v>
      </c>
      <c r="B9" t="s">
        <v>55</v>
      </c>
    </row>
    <row r="12" spans="1:3" x14ac:dyDescent="0.25">
      <c r="B12" s="28"/>
    </row>
    <row r="13" spans="1:3" x14ac:dyDescent="0.25">
      <c r="B13" s="28"/>
    </row>
    <row r="14" spans="1:3" x14ac:dyDescent="0.25">
      <c r="B14" s="2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A8F9-1FD0-4440-A7BB-B5D31EA75665}">
  <sheetPr codeName="Sheet3"/>
  <dimension ref="A1:C10"/>
  <sheetViews>
    <sheetView workbookViewId="0">
      <selection sqref="A1:C9"/>
    </sheetView>
  </sheetViews>
  <sheetFormatPr defaultRowHeight="15" x14ac:dyDescent="0.25"/>
  <cols>
    <col min="1" max="1" width="5.140625" bestFit="1" customWidth="1"/>
    <col min="2" max="2" width="14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44</v>
      </c>
    </row>
    <row r="3" spans="1:3" x14ac:dyDescent="0.25">
      <c r="A3">
        <v>2</v>
      </c>
      <c r="B3" t="s">
        <v>50</v>
      </c>
    </row>
    <row r="4" spans="1:3" x14ac:dyDescent="0.25">
      <c r="A4">
        <v>3</v>
      </c>
      <c r="B4" t="s">
        <v>52</v>
      </c>
    </row>
    <row r="5" spans="1:3" x14ac:dyDescent="0.25">
      <c r="A5">
        <v>4</v>
      </c>
      <c r="B5" t="s">
        <v>56</v>
      </c>
    </row>
    <row r="6" spans="1:3" x14ac:dyDescent="0.25">
      <c r="A6">
        <v>5</v>
      </c>
      <c r="B6" t="s">
        <v>57</v>
      </c>
    </row>
    <row r="7" spans="1:3" x14ac:dyDescent="0.25">
      <c r="A7">
        <v>6</v>
      </c>
      <c r="B7" t="s">
        <v>58</v>
      </c>
    </row>
    <row r="8" spans="1:3" x14ac:dyDescent="0.25">
      <c r="A8">
        <v>7</v>
      </c>
      <c r="B8" t="s">
        <v>120</v>
      </c>
    </row>
    <row r="9" spans="1:3" x14ac:dyDescent="0.25">
      <c r="A9">
        <v>8</v>
      </c>
      <c r="B9" t="s">
        <v>59</v>
      </c>
    </row>
    <row r="10" spans="1:3" x14ac:dyDescent="0.25">
      <c r="A10">
        <v>9</v>
      </c>
      <c r="B10" s="28" t="s">
        <v>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240FA-5CEC-4644-A69B-CE5255E6A1DD}">
  <sheetPr codeName="Sheet7"/>
  <dimension ref="A1:C5"/>
  <sheetViews>
    <sheetView workbookViewId="0">
      <selection sqref="A1:C6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35.425781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7</v>
      </c>
      <c r="C2" t="s">
        <v>17</v>
      </c>
    </row>
    <row r="3" spans="1:3" x14ac:dyDescent="0.25">
      <c r="A3">
        <v>2</v>
      </c>
      <c r="B3" t="s">
        <v>18</v>
      </c>
      <c r="C3" t="s">
        <v>19</v>
      </c>
    </row>
    <row r="4" spans="1:3" x14ac:dyDescent="0.25">
      <c r="A4">
        <v>3</v>
      </c>
      <c r="B4" t="s">
        <v>20</v>
      </c>
      <c r="C4" t="s">
        <v>21</v>
      </c>
    </row>
    <row r="5" spans="1:3" x14ac:dyDescent="0.25">
      <c r="A5">
        <v>4</v>
      </c>
      <c r="B5" t="s">
        <v>69</v>
      </c>
      <c r="C5" t="s">
        <v>70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3D95F-BDD2-479F-8F47-15CBA5ECAAEB}">
  <sheetPr codeName="Sheet9"/>
  <dimension ref="A1:G96"/>
  <sheetViews>
    <sheetView topLeftCell="A25" workbookViewId="0"/>
  </sheetViews>
  <sheetFormatPr defaultRowHeight="15" x14ac:dyDescent="0.25"/>
  <cols>
    <col min="1" max="1" width="13.7109375" bestFit="1" customWidth="1"/>
    <col min="2" max="2" width="27.5703125" bestFit="1" customWidth="1"/>
    <col min="3" max="4" width="11.140625" bestFit="1" customWidth="1"/>
    <col min="5" max="5" width="18.42578125" bestFit="1" customWidth="1"/>
    <col min="6" max="6" width="14" bestFit="1" customWidth="1"/>
    <col min="7" max="7" width="11.140625" bestFit="1" customWidth="1"/>
  </cols>
  <sheetData>
    <row r="1" spans="1:7" x14ac:dyDescent="0.25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43</v>
      </c>
      <c r="G2" t="s">
        <v>5</v>
      </c>
    </row>
    <row r="3" spans="1:7" x14ac:dyDescent="0.25">
      <c r="A3">
        <v>1</v>
      </c>
      <c r="B3" t="s">
        <v>77</v>
      </c>
      <c r="C3" t="s">
        <v>7</v>
      </c>
      <c r="D3" t="s">
        <v>8</v>
      </c>
      <c r="F3" t="s">
        <v>44</v>
      </c>
      <c r="G3" t="s">
        <v>53</v>
      </c>
    </row>
    <row r="4" spans="1:7" x14ac:dyDescent="0.25">
      <c r="A4">
        <v>2</v>
      </c>
      <c r="B4" t="s">
        <v>78</v>
      </c>
      <c r="C4" t="s">
        <v>7</v>
      </c>
      <c r="D4" t="s">
        <v>8</v>
      </c>
      <c r="F4" t="s">
        <v>44</v>
      </c>
      <c r="G4" t="s">
        <v>45</v>
      </c>
    </row>
    <row r="5" spans="1:7" x14ac:dyDescent="0.25">
      <c r="A5">
        <v>3</v>
      </c>
      <c r="B5" t="s">
        <v>79</v>
      </c>
      <c r="C5" t="s">
        <v>7</v>
      </c>
      <c r="D5" t="s">
        <v>8</v>
      </c>
      <c r="F5" t="s">
        <v>44</v>
      </c>
      <c r="G5" t="s">
        <v>47</v>
      </c>
    </row>
    <row r="6" spans="1:7" x14ac:dyDescent="0.25">
      <c r="A6">
        <v>4</v>
      </c>
      <c r="B6" t="s">
        <v>48</v>
      </c>
      <c r="C6" t="s">
        <v>7</v>
      </c>
      <c r="D6" t="s">
        <v>9</v>
      </c>
      <c r="F6" t="s">
        <v>44</v>
      </c>
      <c r="G6" t="s">
        <v>45</v>
      </c>
    </row>
    <row r="7" spans="1:7" x14ac:dyDescent="0.25">
      <c r="A7">
        <v>5</v>
      </c>
      <c r="B7" t="s">
        <v>80</v>
      </c>
      <c r="C7" t="s">
        <v>7</v>
      </c>
      <c r="D7" t="s">
        <v>9</v>
      </c>
      <c r="F7" t="s">
        <v>44</v>
      </c>
      <c r="G7" t="s">
        <v>47</v>
      </c>
    </row>
    <row r="8" spans="1:7" x14ac:dyDescent="0.25">
      <c r="A8">
        <v>6</v>
      </c>
      <c r="B8" t="s">
        <v>81</v>
      </c>
      <c r="C8" t="s">
        <v>7</v>
      </c>
      <c r="D8" t="s">
        <v>71</v>
      </c>
      <c r="F8" t="s">
        <v>44</v>
      </c>
      <c r="G8" t="s">
        <v>45</v>
      </c>
    </row>
    <row r="9" spans="1:7" x14ac:dyDescent="0.25">
      <c r="A9">
        <v>7</v>
      </c>
      <c r="B9" t="s">
        <v>82</v>
      </c>
      <c r="C9" t="s">
        <v>7</v>
      </c>
      <c r="D9" t="s">
        <v>16</v>
      </c>
      <c r="F9" t="s">
        <v>44</v>
      </c>
      <c r="G9" t="s">
        <v>45</v>
      </c>
    </row>
    <row r="10" spans="1:7" x14ac:dyDescent="0.25">
      <c r="A10">
        <v>8</v>
      </c>
      <c r="B10" t="s">
        <v>83</v>
      </c>
      <c r="C10" t="s">
        <v>7</v>
      </c>
      <c r="D10" t="s">
        <v>16</v>
      </c>
      <c r="F10" t="s">
        <v>44</v>
      </c>
      <c r="G10" t="s">
        <v>47</v>
      </c>
    </row>
    <row r="11" spans="1:7" x14ac:dyDescent="0.25">
      <c r="A11">
        <v>9</v>
      </c>
      <c r="B11" t="s">
        <v>49</v>
      </c>
      <c r="C11" t="s">
        <v>7</v>
      </c>
      <c r="D11" t="s">
        <v>9</v>
      </c>
      <c r="F11" t="s">
        <v>50</v>
      </c>
      <c r="G11" t="s">
        <v>45</v>
      </c>
    </row>
    <row r="12" spans="1:7" x14ac:dyDescent="0.25">
      <c r="A12">
        <v>10</v>
      </c>
      <c r="B12" t="s">
        <v>84</v>
      </c>
      <c r="C12" t="s">
        <v>7</v>
      </c>
      <c r="D12" t="s">
        <v>9</v>
      </c>
      <c r="F12" t="s">
        <v>50</v>
      </c>
      <c r="G12" t="s">
        <v>47</v>
      </c>
    </row>
    <row r="13" spans="1:7" x14ac:dyDescent="0.25">
      <c r="A13">
        <v>11</v>
      </c>
      <c r="B13" t="s">
        <v>85</v>
      </c>
      <c r="C13" t="s">
        <v>7</v>
      </c>
      <c r="D13" t="s">
        <v>8</v>
      </c>
      <c r="F13" t="s">
        <v>50</v>
      </c>
      <c r="G13" t="s">
        <v>45</v>
      </c>
    </row>
    <row r="14" spans="1:7" x14ac:dyDescent="0.25">
      <c r="A14">
        <v>12</v>
      </c>
      <c r="B14" t="s">
        <v>86</v>
      </c>
      <c r="C14" t="s">
        <v>7</v>
      </c>
      <c r="D14" t="s">
        <v>8</v>
      </c>
      <c r="F14" t="s">
        <v>50</v>
      </c>
      <c r="G14" t="s">
        <v>47</v>
      </c>
    </row>
    <row r="15" spans="1:7" x14ac:dyDescent="0.25">
      <c r="A15">
        <v>13</v>
      </c>
      <c r="B15" t="s">
        <v>87</v>
      </c>
      <c r="C15" t="s">
        <v>7</v>
      </c>
      <c r="D15" t="s">
        <v>14</v>
      </c>
      <c r="F15" t="s">
        <v>50</v>
      </c>
      <c r="G15" t="s">
        <v>47</v>
      </c>
    </row>
    <row r="16" spans="1:7" x14ac:dyDescent="0.25">
      <c r="A16">
        <v>14</v>
      </c>
      <c r="B16" t="s">
        <v>88</v>
      </c>
      <c r="C16" t="s">
        <v>7</v>
      </c>
      <c r="D16" t="s">
        <v>14</v>
      </c>
      <c r="F16" t="s">
        <v>50</v>
      </c>
      <c r="G16" t="s">
        <v>45</v>
      </c>
    </row>
    <row r="17" spans="1:7" x14ac:dyDescent="0.25">
      <c r="A17">
        <v>15</v>
      </c>
      <c r="B17" t="s">
        <v>89</v>
      </c>
      <c r="C17" t="s">
        <v>7</v>
      </c>
      <c r="D17" t="s">
        <v>16</v>
      </c>
      <c r="F17" t="s">
        <v>50</v>
      </c>
      <c r="G17" t="s">
        <v>45</v>
      </c>
    </row>
    <row r="18" spans="1:7" x14ac:dyDescent="0.25">
      <c r="A18">
        <v>16</v>
      </c>
      <c r="B18" t="s">
        <v>90</v>
      </c>
      <c r="C18" t="s">
        <v>7</v>
      </c>
      <c r="D18" t="s">
        <v>71</v>
      </c>
      <c r="F18" t="s">
        <v>50</v>
      </c>
      <c r="G18" t="s">
        <v>47</v>
      </c>
    </row>
    <row r="19" spans="1:7" x14ac:dyDescent="0.25">
      <c r="A19">
        <v>17</v>
      </c>
      <c r="B19" t="s">
        <v>91</v>
      </c>
      <c r="C19" t="s">
        <v>7</v>
      </c>
      <c r="D19" t="s">
        <v>8</v>
      </c>
      <c r="F19" t="s">
        <v>52</v>
      </c>
      <c r="G19" t="s">
        <v>45</v>
      </c>
    </row>
    <row r="20" spans="1:7" x14ac:dyDescent="0.25">
      <c r="A20">
        <v>18</v>
      </c>
      <c r="B20" t="s">
        <v>92</v>
      </c>
      <c r="C20" t="s">
        <v>7</v>
      </c>
      <c r="D20" t="s">
        <v>9</v>
      </c>
      <c r="F20" t="s">
        <v>52</v>
      </c>
      <c r="G20" t="s">
        <v>53</v>
      </c>
    </row>
    <row r="21" spans="1:7" x14ac:dyDescent="0.25">
      <c r="A21">
        <v>19</v>
      </c>
      <c r="B21" t="s">
        <v>51</v>
      </c>
      <c r="C21" t="s">
        <v>7</v>
      </c>
      <c r="D21" t="s">
        <v>9</v>
      </c>
      <c r="F21" t="s">
        <v>52</v>
      </c>
      <c r="G21" t="s">
        <v>45</v>
      </c>
    </row>
    <row r="22" spans="1:7" x14ac:dyDescent="0.25">
      <c r="A22">
        <v>20</v>
      </c>
      <c r="B22" t="s">
        <v>93</v>
      </c>
      <c r="C22" t="s">
        <v>7</v>
      </c>
      <c r="D22" t="s">
        <v>9</v>
      </c>
      <c r="F22" t="s">
        <v>52</v>
      </c>
      <c r="G22" t="s">
        <v>47</v>
      </c>
    </row>
    <row r="23" spans="1:7" x14ac:dyDescent="0.25">
      <c r="A23">
        <v>21</v>
      </c>
      <c r="B23" t="s">
        <v>94</v>
      </c>
      <c r="C23" t="s">
        <v>7</v>
      </c>
      <c r="D23" t="s">
        <v>9</v>
      </c>
      <c r="F23" t="s">
        <v>52</v>
      </c>
      <c r="G23" t="s">
        <v>95</v>
      </c>
    </row>
    <row r="24" spans="1:7" x14ac:dyDescent="0.25">
      <c r="A24">
        <v>22</v>
      </c>
      <c r="B24" t="s">
        <v>96</v>
      </c>
      <c r="C24" t="s">
        <v>7</v>
      </c>
      <c r="D24" t="s">
        <v>9</v>
      </c>
      <c r="F24" t="s">
        <v>52</v>
      </c>
      <c r="G24" t="s">
        <v>97</v>
      </c>
    </row>
    <row r="25" spans="1:7" x14ac:dyDescent="0.25">
      <c r="A25">
        <v>23</v>
      </c>
      <c r="B25" t="s">
        <v>98</v>
      </c>
      <c r="C25" t="s">
        <v>7</v>
      </c>
      <c r="D25" t="s">
        <v>14</v>
      </c>
      <c r="F25" t="s">
        <v>52</v>
      </c>
      <c r="G25" t="s">
        <v>53</v>
      </c>
    </row>
    <row r="26" spans="1:7" x14ac:dyDescent="0.25">
      <c r="A26">
        <v>24</v>
      </c>
      <c r="B26" t="s">
        <v>99</v>
      </c>
      <c r="C26" t="s">
        <v>7</v>
      </c>
      <c r="D26" t="s">
        <v>14</v>
      </c>
      <c r="F26" t="s">
        <v>52</v>
      </c>
      <c r="G26" t="s">
        <v>45</v>
      </c>
    </row>
    <row r="27" spans="1:7" x14ac:dyDescent="0.25">
      <c r="A27">
        <v>25</v>
      </c>
      <c r="B27" t="s">
        <v>100</v>
      </c>
      <c r="C27" t="s">
        <v>7</v>
      </c>
      <c r="D27" t="s">
        <v>15</v>
      </c>
      <c r="F27" t="s">
        <v>52</v>
      </c>
      <c r="G27" t="s">
        <v>53</v>
      </c>
    </row>
    <row r="28" spans="1:7" x14ac:dyDescent="0.25">
      <c r="A28">
        <v>26</v>
      </c>
      <c r="B28" t="s">
        <v>101</v>
      </c>
      <c r="C28" t="s">
        <v>7</v>
      </c>
      <c r="D28" t="s">
        <v>16</v>
      </c>
      <c r="F28" t="s">
        <v>52</v>
      </c>
      <c r="G28" t="s">
        <v>45</v>
      </c>
    </row>
    <row r="29" spans="1:7" x14ac:dyDescent="0.25">
      <c r="A29">
        <v>27</v>
      </c>
      <c r="B29" t="s">
        <v>102</v>
      </c>
      <c r="C29" t="s">
        <v>7</v>
      </c>
      <c r="D29" t="s">
        <v>8</v>
      </c>
      <c r="F29" t="s">
        <v>56</v>
      </c>
      <c r="G29" t="s">
        <v>45</v>
      </c>
    </row>
    <row r="30" spans="1:7" x14ac:dyDescent="0.25">
      <c r="A30">
        <v>28</v>
      </c>
      <c r="B30" t="s">
        <v>103</v>
      </c>
      <c r="C30" t="s">
        <v>7</v>
      </c>
      <c r="D30" t="s">
        <v>8</v>
      </c>
      <c r="F30" t="s">
        <v>56</v>
      </c>
      <c r="G30" t="s">
        <v>47</v>
      </c>
    </row>
    <row r="31" spans="1:7" x14ac:dyDescent="0.25">
      <c r="A31">
        <v>29</v>
      </c>
      <c r="B31" t="s">
        <v>104</v>
      </c>
      <c r="C31" t="s">
        <v>7</v>
      </c>
      <c r="D31" t="s">
        <v>8</v>
      </c>
      <c r="F31" t="s">
        <v>56</v>
      </c>
      <c r="G31" t="s">
        <v>54</v>
      </c>
    </row>
    <row r="32" spans="1:7" x14ac:dyDescent="0.25">
      <c r="A32">
        <v>30</v>
      </c>
      <c r="B32" t="s">
        <v>105</v>
      </c>
      <c r="C32" t="s">
        <v>7</v>
      </c>
      <c r="D32" t="s">
        <v>14</v>
      </c>
      <c r="F32" t="s">
        <v>56</v>
      </c>
      <c r="G32" t="s">
        <v>45</v>
      </c>
    </row>
    <row r="33" spans="1:7" x14ac:dyDescent="0.25">
      <c r="A33">
        <v>31</v>
      </c>
      <c r="B33" t="s">
        <v>106</v>
      </c>
      <c r="C33" t="s">
        <v>7</v>
      </c>
      <c r="D33" t="s">
        <v>14</v>
      </c>
      <c r="F33" t="s">
        <v>56</v>
      </c>
      <c r="G33" t="s">
        <v>47</v>
      </c>
    </row>
    <row r="34" spans="1:7" x14ac:dyDescent="0.25">
      <c r="A34">
        <v>32</v>
      </c>
      <c r="B34" t="s">
        <v>107</v>
      </c>
      <c r="C34" t="s">
        <v>7</v>
      </c>
      <c r="D34" t="s">
        <v>16</v>
      </c>
      <c r="F34" t="s">
        <v>56</v>
      </c>
      <c r="G34" t="s">
        <v>45</v>
      </c>
    </row>
    <row r="35" spans="1:7" x14ac:dyDescent="0.25">
      <c r="A35">
        <v>33</v>
      </c>
      <c r="B35" t="s">
        <v>108</v>
      </c>
      <c r="C35" t="s">
        <v>7</v>
      </c>
      <c r="D35" t="s">
        <v>16</v>
      </c>
      <c r="F35" t="s">
        <v>56</v>
      </c>
      <c r="G35" t="s">
        <v>47</v>
      </c>
    </row>
    <row r="36" spans="1:7" x14ac:dyDescent="0.25">
      <c r="A36">
        <v>34</v>
      </c>
      <c r="B36" t="s">
        <v>109</v>
      </c>
      <c r="C36" t="s">
        <v>7</v>
      </c>
      <c r="D36" t="s">
        <v>16</v>
      </c>
      <c r="F36" t="s">
        <v>56</v>
      </c>
      <c r="G36" t="s">
        <v>110</v>
      </c>
    </row>
    <row r="37" spans="1:7" x14ac:dyDescent="0.25">
      <c r="A37">
        <v>35</v>
      </c>
      <c r="B37" t="s">
        <v>111</v>
      </c>
      <c r="C37" t="s">
        <v>7</v>
      </c>
      <c r="D37" t="s">
        <v>9</v>
      </c>
      <c r="F37" t="s">
        <v>56</v>
      </c>
      <c r="G37" t="s">
        <v>47</v>
      </c>
    </row>
    <row r="38" spans="1:7" x14ac:dyDescent="0.25">
      <c r="A38">
        <v>36</v>
      </c>
      <c r="B38" t="s">
        <v>112</v>
      </c>
      <c r="C38" t="s">
        <v>7</v>
      </c>
      <c r="D38" t="s">
        <v>9</v>
      </c>
      <c r="F38" t="s">
        <v>56</v>
      </c>
      <c r="G38" t="s">
        <v>110</v>
      </c>
    </row>
    <row r="39" spans="1:7" x14ac:dyDescent="0.25">
      <c r="A39">
        <v>37</v>
      </c>
      <c r="B39" t="s">
        <v>113</v>
      </c>
      <c r="C39" t="s">
        <v>7</v>
      </c>
      <c r="D39" t="s">
        <v>15</v>
      </c>
      <c r="F39" t="s">
        <v>56</v>
      </c>
      <c r="G39" t="s">
        <v>47</v>
      </c>
    </row>
    <row r="40" spans="1:7" x14ac:dyDescent="0.25">
      <c r="A40">
        <v>38</v>
      </c>
      <c r="B40" t="s">
        <v>114</v>
      </c>
      <c r="C40" t="s">
        <v>7</v>
      </c>
      <c r="D40" t="s">
        <v>71</v>
      </c>
      <c r="F40" t="s">
        <v>56</v>
      </c>
      <c r="G40" t="s">
        <v>47</v>
      </c>
    </row>
    <row r="41" spans="1:7" x14ac:dyDescent="0.25">
      <c r="A41">
        <v>39</v>
      </c>
      <c r="B41" t="s">
        <v>115</v>
      </c>
      <c r="C41" t="s">
        <v>7</v>
      </c>
      <c r="D41" t="s">
        <v>72</v>
      </c>
      <c r="F41" t="s">
        <v>57</v>
      </c>
    </row>
    <row r="42" spans="1:7" x14ac:dyDescent="0.25">
      <c r="A42">
        <v>40</v>
      </c>
      <c r="B42" t="s">
        <v>116</v>
      </c>
      <c r="C42" t="s">
        <v>7</v>
      </c>
      <c r="D42" t="s">
        <v>72</v>
      </c>
      <c r="F42" t="s">
        <v>58</v>
      </c>
    </row>
    <row r="43" spans="1:7" x14ac:dyDescent="0.25">
      <c r="A43">
        <v>41</v>
      </c>
      <c r="B43" t="s">
        <v>73</v>
      </c>
      <c r="C43" t="s">
        <v>7</v>
      </c>
      <c r="D43" t="s">
        <v>73</v>
      </c>
    </row>
    <row r="44" spans="1:7" x14ac:dyDescent="0.25">
      <c r="A44">
        <v>42</v>
      </c>
      <c r="B44" t="s">
        <v>117</v>
      </c>
      <c r="C44" t="s">
        <v>7</v>
      </c>
      <c r="D44" t="s">
        <v>8</v>
      </c>
      <c r="F44" t="s">
        <v>57</v>
      </c>
    </row>
    <row r="45" spans="1:7" x14ac:dyDescent="0.25">
      <c r="A45">
        <v>43</v>
      </c>
      <c r="B45" t="s">
        <v>118</v>
      </c>
      <c r="C45" t="s">
        <v>7</v>
      </c>
      <c r="D45" t="s">
        <v>8</v>
      </c>
      <c r="F45" t="s">
        <v>58</v>
      </c>
    </row>
    <row r="46" spans="1:7" x14ac:dyDescent="0.25">
      <c r="A46">
        <v>44</v>
      </c>
      <c r="B46" t="s">
        <v>119</v>
      </c>
      <c r="C46" t="s">
        <v>7</v>
      </c>
      <c r="D46" t="s">
        <v>8</v>
      </c>
      <c r="F46" t="s">
        <v>120</v>
      </c>
    </row>
    <row r="47" spans="1:7" x14ac:dyDescent="0.25">
      <c r="A47">
        <v>45</v>
      </c>
      <c r="B47" t="s">
        <v>74</v>
      </c>
      <c r="C47" t="s">
        <v>7</v>
      </c>
      <c r="D47" t="s">
        <v>74</v>
      </c>
    </row>
    <row r="48" spans="1:7" x14ac:dyDescent="0.25">
      <c r="A48">
        <v>46</v>
      </c>
      <c r="B48" t="s">
        <v>75</v>
      </c>
      <c r="C48" t="s">
        <v>7</v>
      </c>
      <c r="D48" t="s">
        <v>75</v>
      </c>
    </row>
    <row r="49" spans="1:6" x14ac:dyDescent="0.25">
      <c r="A49">
        <v>47</v>
      </c>
      <c r="B49" t="s">
        <v>121</v>
      </c>
      <c r="C49" t="s">
        <v>7</v>
      </c>
      <c r="D49" t="s">
        <v>16</v>
      </c>
      <c r="F49" t="s">
        <v>57</v>
      </c>
    </row>
    <row r="50" spans="1:6" x14ac:dyDescent="0.25">
      <c r="A50">
        <v>48</v>
      </c>
      <c r="B50" t="s">
        <v>121</v>
      </c>
      <c r="C50" t="s">
        <v>7</v>
      </c>
      <c r="D50" t="s">
        <v>16</v>
      </c>
      <c r="F50" t="s">
        <v>58</v>
      </c>
    </row>
    <row r="51" spans="1:6" x14ac:dyDescent="0.25">
      <c r="A51">
        <v>49</v>
      </c>
      <c r="B51" t="s">
        <v>122</v>
      </c>
      <c r="C51" t="s">
        <v>7</v>
      </c>
      <c r="D51" t="s">
        <v>76</v>
      </c>
    </row>
    <row r="52" spans="1:6" x14ac:dyDescent="0.25">
      <c r="A52">
        <v>50</v>
      </c>
      <c r="B52" t="s">
        <v>130</v>
      </c>
      <c r="C52" t="s">
        <v>20</v>
      </c>
      <c r="E52" t="s">
        <v>131</v>
      </c>
    </row>
    <row r="53" spans="1:6" x14ac:dyDescent="0.25">
      <c r="A53">
        <v>51</v>
      </c>
      <c r="B53" t="s">
        <v>132</v>
      </c>
      <c r="C53" t="s">
        <v>20</v>
      </c>
      <c r="E53" t="s">
        <v>133</v>
      </c>
    </row>
    <row r="54" spans="1:6" x14ac:dyDescent="0.25">
      <c r="A54">
        <v>52</v>
      </c>
      <c r="B54" t="s">
        <v>134</v>
      </c>
      <c r="C54" t="s">
        <v>20</v>
      </c>
      <c r="E54" t="s">
        <v>135</v>
      </c>
    </row>
    <row r="55" spans="1:6" x14ac:dyDescent="0.25">
      <c r="A55">
        <v>53</v>
      </c>
      <c r="B55" t="s">
        <v>136</v>
      </c>
      <c r="C55" t="s">
        <v>20</v>
      </c>
      <c r="E55" t="s">
        <v>137</v>
      </c>
    </row>
    <row r="56" spans="1:6" x14ac:dyDescent="0.25">
      <c r="A56">
        <v>54</v>
      </c>
      <c r="B56" t="s">
        <v>138</v>
      </c>
      <c r="C56" t="s">
        <v>20</v>
      </c>
      <c r="E56" t="s">
        <v>139</v>
      </c>
    </row>
    <row r="57" spans="1:6" x14ac:dyDescent="0.25">
      <c r="A57">
        <v>55</v>
      </c>
      <c r="B57" t="s">
        <v>140</v>
      </c>
      <c r="C57" t="s">
        <v>20</v>
      </c>
      <c r="E57" t="s">
        <v>141</v>
      </c>
    </row>
    <row r="58" spans="1:6" x14ac:dyDescent="0.25">
      <c r="A58">
        <v>56</v>
      </c>
      <c r="B58" t="s">
        <v>142</v>
      </c>
      <c r="C58" t="s">
        <v>20</v>
      </c>
      <c r="E58" t="s">
        <v>143</v>
      </c>
    </row>
    <row r="59" spans="1:6" x14ac:dyDescent="0.25">
      <c r="A59">
        <v>57</v>
      </c>
      <c r="B59" t="s">
        <v>144</v>
      </c>
      <c r="C59" t="s">
        <v>20</v>
      </c>
      <c r="E59" t="s">
        <v>145</v>
      </c>
    </row>
    <row r="60" spans="1:6" x14ac:dyDescent="0.25">
      <c r="A60">
        <v>58</v>
      </c>
      <c r="B60" t="s">
        <v>146</v>
      </c>
      <c r="C60" t="s">
        <v>20</v>
      </c>
      <c r="E60" t="s">
        <v>147</v>
      </c>
    </row>
    <row r="61" spans="1:6" x14ac:dyDescent="0.25">
      <c r="A61">
        <v>59</v>
      </c>
      <c r="B61" t="s">
        <v>148</v>
      </c>
      <c r="C61" t="s">
        <v>20</v>
      </c>
      <c r="E61" t="s">
        <v>149</v>
      </c>
    </row>
    <row r="62" spans="1:6" x14ac:dyDescent="0.25">
      <c r="A62">
        <v>60</v>
      </c>
      <c r="B62" t="s">
        <v>150</v>
      </c>
      <c r="C62" t="s">
        <v>20</v>
      </c>
      <c r="E62" t="s">
        <v>151</v>
      </c>
    </row>
    <row r="63" spans="1:6" x14ac:dyDescent="0.25">
      <c r="A63">
        <v>61</v>
      </c>
      <c r="B63" t="s">
        <v>152</v>
      </c>
      <c r="C63" t="s">
        <v>20</v>
      </c>
      <c r="E63" t="s">
        <v>153</v>
      </c>
    </row>
    <row r="64" spans="1:6" x14ac:dyDescent="0.25">
      <c r="A64">
        <v>62</v>
      </c>
      <c r="B64" t="s">
        <v>154</v>
      </c>
      <c r="C64" t="s">
        <v>20</v>
      </c>
      <c r="E64" t="s">
        <v>155</v>
      </c>
    </row>
    <row r="65" spans="1:5" x14ac:dyDescent="0.25">
      <c r="A65">
        <v>63</v>
      </c>
      <c r="B65" t="s">
        <v>156</v>
      </c>
      <c r="C65" t="s">
        <v>20</v>
      </c>
      <c r="E65" t="s">
        <v>157</v>
      </c>
    </row>
    <row r="66" spans="1:5" x14ac:dyDescent="0.25">
      <c r="A66">
        <v>64</v>
      </c>
      <c r="B66" t="s">
        <v>158</v>
      </c>
      <c r="C66" t="s">
        <v>20</v>
      </c>
      <c r="E66" t="s">
        <v>159</v>
      </c>
    </row>
    <row r="67" spans="1:5" x14ac:dyDescent="0.25">
      <c r="A67">
        <v>65</v>
      </c>
      <c r="B67" t="s">
        <v>160</v>
      </c>
      <c r="C67" t="s">
        <v>20</v>
      </c>
      <c r="E67" t="s">
        <v>161</v>
      </c>
    </row>
    <row r="68" spans="1:5" x14ac:dyDescent="0.25">
      <c r="A68">
        <v>66</v>
      </c>
      <c r="B68" t="s">
        <v>162</v>
      </c>
      <c r="C68" t="s">
        <v>69</v>
      </c>
      <c r="E68" t="s">
        <v>163</v>
      </c>
    </row>
    <row r="69" spans="1:5" x14ac:dyDescent="0.25">
      <c r="A69">
        <v>67</v>
      </c>
      <c r="B69" t="s">
        <v>164</v>
      </c>
      <c r="C69" t="s">
        <v>69</v>
      </c>
      <c r="E69" t="s">
        <v>165</v>
      </c>
    </row>
    <row r="70" spans="1:5" x14ac:dyDescent="0.25">
      <c r="A70">
        <v>68</v>
      </c>
      <c r="B70" t="s">
        <v>166</v>
      </c>
      <c r="C70" t="s">
        <v>69</v>
      </c>
      <c r="E70" t="s">
        <v>167</v>
      </c>
    </row>
    <row r="71" spans="1:5" x14ac:dyDescent="0.25">
      <c r="A71">
        <v>69</v>
      </c>
      <c r="B71" t="s">
        <v>168</v>
      </c>
      <c r="C71" t="s">
        <v>69</v>
      </c>
      <c r="E71" t="s">
        <v>169</v>
      </c>
    </row>
    <row r="72" spans="1:5" x14ac:dyDescent="0.25">
      <c r="A72">
        <v>70</v>
      </c>
      <c r="B72" t="s">
        <v>170</v>
      </c>
      <c r="C72" t="s">
        <v>69</v>
      </c>
      <c r="E72" t="s">
        <v>171</v>
      </c>
    </row>
    <row r="73" spans="1:5" x14ac:dyDescent="0.25">
      <c r="A73">
        <v>71</v>
      </c>
      <c r="B73" t="s">
        <v>172</v>
      </c>
      <c r="C73" t="s">
        <v>69</v>
      </c>
      <c r="E73" t="s">
        <v>173</v>
      </c>
    </row>
    <row r="74" spans="1:5" x14ac:dyDescent="0.25">
      <c r="A74">
        <v>72</v>
      </c>
      <c r="B74" t="s">
        <v>174</v>
      </c>
      <c r="C74" t="s">
        <v>69</v>
      </c>
      <c r="E74" t="s">
        <v>175</v>
      </c>
    </row>
    <row r="75" spans="1:5" x14ac:dyDescent="0.25">
      <c r="A75">
        <v>73</v>
      </c>
      <c r="B75" t="s">
        <v>176</v>
      </c>
      <c r="C75" t="s">
        <v>69</v>
      </c>
      <c r="E75" t="s">
        <v>177</v>
      </c>
    </row>
    <row r="76" spans="1:5" x14ac:dyDescent="0.25">
      <c r="A76">
        <v>74</v>
      </c>
      <c r="B76" t="s">
        <v>178</v>
      </c>
      <c r="C76" t="s">
        <v>69</v>
      </c>
      <c r="E76" t="s">
        <v>179</v>
      </c>
    </row>
    <row r="77" spans="1:5" x14ac:dyDescent="0.25">
      <c r="A77">
        <v>75</v>
      </c>
      <c r="B77" t="s">
        <v>180</v>
      </c>
      <c r="C77" t="s">
        <v>69</v>
      </c>
      <c r="E77" t="s">
        <v>181</v>
      </c>
    </row>
    <row r="78" spans="1:5" x14ac:dyDescent="0.25">
      <c r="A78">
        <v>76</v>
      </c>
      <c r="B78" t="s">
        <v>182</v>
      </c>
      <c r="C78" t="s">
        <v>69</v>
      </c>
      <c r="E78" t="s">
        <v>183</v>
      </c>
    </row>
    <row r="79" spans="1:5" x14ac:dyDescent="0.25">
      <c r="A79">
        <v>77</v>
      </c>
      <c r="B79" t="s">
        <v>184</v>
      </c>
      <c r="C79" t="s">
        <v>69</v>
      </c>
      <c r="E79" t="s">
        <v>185</v>
      </c>
    </row>
    <row r="80" spans="1:5" x14ac:dyDescent="0.25">
      <c r="A80">
        <v>78</v>
      </c>
      <c r="B80" t="s">
        <v>186</v>
      </c>
      <c r="C80" t="s">
        <v>69</v>
      </c>
      <c r="E80" t="s">
        <v>187</v>
      </c>
    </row>
    <row r="81" spans="1:5" x14ac:dyDescent="0.25">
      <c r="A81">
        <v>79</v>
      </c>
      <c r="B81" t="s">
        <v>188</v>
      </c>
      <c r="C81" t="s">
        <v>69</v>
      </c>
      <c r="E81" t="s">
        <v>189</v>
      </c>
    </row>
    <row r="82" spans="1:5" x14ac:dyDescent="0.25">
      <c r="A82">
        <v>80</v>
      </c>
      <c r="B82" t="s">
        <v>190</v>
      </c>
      <c r="C82" t="s">
        <v>69</v>
      </c>
      <c r="E82" t="s">
        <v>191</v>
      </c>
    </row>
    <row r="83" spans="1:5" x14ac:dyDescent="0.25">
      <c r="A83">
        <v>81</v>
      </c>
      <c r="B83" t="s">
        <v>192</v>
      </c>
      <c r="C83" t="s">
        <v>69</v>
      </c>
      <c r="E83" t="s">
        <v>193</v>
      </c>
    </row>
    <row r="84" spans="1:5" x14ac:dyDescent="0.25">
      <c r="A84">
        <v>82</v>
      </c>
      <c r="B84" t="s">
        <v>194</v>
      </c>
      <c r="C84" t="s">
        <v>69</v>
      </c>
      <c r="E84" t="s">
        <v>195</v>
      </c>
    </row>
    <row r="85" spans="1:5" x14ac:dyDescent="0.25">
      <c r="A85">
        <v>83</v>
      </c>
      <c r="B85" t="s">
        <v>196</v>
      </c>
      <c r="C85" t="s">
        <v>69</v>
      </c>
      <c r="E85" t="s">
        <v>197</v>
      </c>
    </row>
    <row r="86" spans="1:5" x14ac:dyDescent="0.25">
      <c r="A86">
        <v>84</v>
      </c>
      <c r="B86" t="s">
        <v>198</v>
      </c>
      <c r="C86" t="s">
        <v>69</v>
      </c>
      <c r="E86" t="s">
        <v>199</v>
      </c>
    </row>
    <row r="87" spans="1:5" x14ac:dyDescent="0.25">
      <c r="A87">
        <v>85</v>
      </c>
      <c r="B87" t="s">
        <v>200</v>
      </c>
      <c r="C87" t="s">
        <v>69</v>
      </c>
      <c r="E87" t="s">
        <v>201</v>
      </c>
    </row>
    <row r="88" spans="1:5" x14ac:dyDescent="0.25">
      <c r="A88">
        <v>86</v>
      </c>
      <c r="B88" t="s">
        <v>202</v>
      </c>
      <c r="C88" t="s">
        <v>69</v>
      </c>
      <c r="E88" t="s">
        <v>203</v>
      </c>
    </row>
    <row r="89" spans="1:5" x14ac:dyDescent="0.25">
      <c r="A89">
        <v>87</v>
      </c>
      <c r="B89" t="s">
        <v>204</v>
      </c>
      <c r="C89" t="s">
        <v>69</v>
      </c>
      <c r="E89" t="s">
        <v>205</v>
      </c>
    </row>
    <row r="90" spans="1:5" x14ac:dyDescent="0.25">
      <c r="A90">
        <v>88</v>
      </c>
      <c r="B90" t="s">
        <v>206</v>
      </c>
      <c r="C90" t="s">
        <v>69</v>
      </c>
      <c r="E90" t="s">
        <v>207</v>
      </c>
    </row>
    <row r="91" spans="1:5" x14ac:dyDescent="0.25">
      <c r="A91">
        <v>89</v>
      </c>
      <c r="B91" t="s">
        <v>208</v>
      </c>
      <c r="C91" t="s">
        <v>69</v>
      </c>
      <c r="E91" t="s">
        <v>209</v>
      </c>
    </row>
    <row r="92" spans="1:5" x14ac:dyDescent="0.25">
      <c r="A92">
        <v>90</v>
      </c>
      <c r="B92" t="s">
        <v>210</v>
      </c>
      <c r="C92" t="s">
        <v>69</v>
      </c>
      <c r="E92" t="s">
        <v>211</v>
      </c>
    </row>
    <row r="93" spans="1:5" x14ac:dyDescent="0.25">
      <c r="A93">
        <v>91</v>
      </c>
      <c r="B93" t="s">
        <v>212</v>
      </c>
      <c r="C93" t="s">
        <v>69</v>
      </c>
      <c r="E93" t="s">
        <v>213</v>
      </c>
    </row>
    <row r="94" spans="1:5" x14ac:dyDescent="0.25">
      <c r="A94">
        <v>92</v>
      </c>
      <c r="B94" t="s">
        <v>214</v>
      </c>
      <c r="C94" t="s">
        <v>69</v>
      </c>
      <c r="E94" t="s">
        <v>215</v>
      </c>
    </row>
    <row r="95" spans="1:5" x14ac:dyDescent="0.25">
      <c r="A95">
        <v>93</v>
      </c>
      <c r="B95" t="s">
        <v>216</v>
      </c>
      <c r="C95" t="s">
        <v>69</v>
      </c>
      <c r="E95" t="s">
        <v>217</v>
      </c>
    </row>
    <row r="96" spans="1:5" x14ac:dyDescent="0.25">
      <c r="A96">
        <v>94</v>
      </c>
      <c r="B96" t="s">
        <v>218</v>
      </c>
      <c r="C96" t="s">
        <v>69</v>
      </c>
      <c r="E96" t="s">
        <v>219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51"/>
  <sheetViews>
    <sheetView topLeftCell="A4" workbookViewId="0">
      <selection activeCell="I20" sqref="I20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43</v>
      </c>
      <c r="G2" t="s">
        <v>5</v>
      </c>
      <c r="J2" t="e" cm="1">
        <f t="array" aca="1" ref="J2" ca="1">_xlfn._xlws.FILTER(_TBL_INVENTORY[NAME], _TBL_INVENTORY[VARIANT] = "14'")</f>
        <v>#NAME?</v>
      </c>
    </row>
    <row r="3" spans="1:10" x14ac:dyDescent="0.25">
      <c r="A3">
        <v>1</v>
      </c>
      <c r="B3" t="s">
        <v>77</v>
      </c>
      <c r="C3" t="s">
        <v>7</v>
      </c>
      <c r="D3" t="s">
        <v>8</v>
      </c>
      <c r="F3" t="s">
        <v>44</v>
      </c>
      <c r="G3" t="s">
        <v>53</v>
      </c>
    </row>
    <row r="4" spans="1:10" x14ac:dyDescent="0.25">
      <c r="A4">
        <v>2</v>
      </c>
      <c r="B4" t="s">
        <v>78</v>
      </c>
      <c r="C4" t="s">
        <v>7</v>
      </c>
      <c r="D4" t="s">
        <v>8</v>
      </c>
      <c r="F4" t="s">
        <v>44</v>
      </c>
      <c r="G4" t="s">
        <v>45</v>
      </c>
    </row>
    <row r="5" spans="1:10" x14ac:dyDescent="0.25">
      <c r="A5">
        <v>3</v>
      </c>
      <c r="B5" t="s">
        <v>79</v>
      </c>
      <c r="C5" t="s">
        <v>7</v>
      </c>
      <c r="D5" t="s">
        <v>8</v>
      </c>
      <c r="F5" t="s">
        <v>44</v>
      </c>
      <c r="G5" t="s">
        <v>47</v>
      </c>
    </row>
    <row r="6" spans="1:10" x14ac:dyDescent="0.25">
      <c r="A6">
        <v>4</v>
      </c>
      <c r="B6" t="s">
        <v>48</v>
      </c>
      <c r="C6" t="s">
        <v>7</v>
      </c>
      <c r="D6" t="s">
        <v>9</v>
      </c>
      <c r="F6" t="s">
        <v>44</v>
      </c>
      <c r="G6" t="s">
        <v>45</v>
      </c>
    </row>
    <row r="7" spans="1:10" x14ac:dyDescent="0.25">
      <c r="A7">
        <v>5</v>
      </c>
      <c r="B7" t="s">
        <v>80</v>
      </c>
      <c r="C7" t="s">
        <v>7</v>
      </c>
      <c r="D7" t="s">
        <v>9</v>
      </c>
      <c r="F7" t="s">
        <v>44</v>
      </c>
      <c r="G7" t="s">
        <v>47</v>
      </c>
    </row>
    <row r="8" spans="1:10" x14ac:dyDescent="0.25">
      <c r="A8">
        <v>6</v>
      </c>
      <c r="B8" t="s">
        <v>81</v>
      </c>
      <c r="C8" t="s">
        <v>7</v>
      </c>
      <c r="D8" t="s">
        <v>71</v>
      </c>
      <c r="F8" t="s">
        <v>44</v>
      </c>
      <c r="G8" t="s">
        <v>45</v>
      </c>
    </row>
    <row r="9" spans="1:10" x14ac:dyDescent="0.25">
      <c r="A9">
        <v>7</v>
      </c>
      <c r="B9" t="s">
        <v>82</v>
      </c>
      <c r="C9" t="s">
        <v>7</v>
      </c>
      <c r="D9" t="s">
        <v>16</v>
      </c>
      <c r="F9" t="s">
        <v>44</v>
      </c>
      <c r="G9" t="s">
        <v>45</v>
      </c>
    </row>
    <row r="10" spans="1:10" x14ac:dyDescent="0.25">
      <c r="A10">
        <v>8</v>
      </c>
      <c r="B10" s="28" t="s">
        <v>83</v>
      </c>
      <c r="C10" s="28" t="s">
        <v>7</v>
      </c>
      <c r="D10" s="28" t="s">
        <v>16</v>
      </c>
      <c r="E10" s="28"/>
      <c r="F10" s="28" t="s">
        <v>44</v>
      </c>
      <c r="G10" s="28" t="s">
        <v>47</v>
      </c>
    </row>
    <row r="11" spans="1:10" x14ac:dyDescent="0.25">
      <c r="A11">
        <v>9</v>
      </c>
      <c r="B11" s="28" t="s">
        <v>49</v>
      </c>
      <c r="C11" s="28" t="s">
        <v>7</v>
      </c>
      <c r="D11" s="28" t="s">
        <v>9</v>
      </c>
      <c r="E11" s="28"/>
      <c r="F11" s="28" t="s">
        <v>50</v>
      </c>
      <c r="G11" s="28" t="s">
        <v>45</v>
      </c>
    </row>
    <row r="12" spans="1:10" x14ac:dyDescent="0.25">
      <c r="A12">
        <v>10</v>
      </c>
      <c r="B12" s="28" t="s">
        <v>84</v>
      </c>
      <c r="C12" s="28" t="s">
        <v>7</v>
      </c>
      <c r="D12" s="28" t="s">
        <v>9</v>
      </c>
      <c r="E12" s="28"/>
      <c r="F12" s="28" t="s">
        <v>50</v>
      </c>
      <c r="G12" s="28" t="s">
        <v>47</v>
      </c>
    </row>
    <row r="13" spans="1:10" x14ac:dyDescent="0.25">
      <c r="A13">
        <v>11</v>
      </c>
      <c r="B13" s="28" t="s">
        <v>85</v>
      </c>
      <c r="C13" s="28" t="s">
        <v>7</v>
      </c>
      <c r="D13" s="28" t="s">
        <v>8</v>
      </c>
      <c r="E13" s="28"/>
      <c r="F13" s="28" t="s">
        <v>50</v>
      </c>
      <c r="G13" s="28" t="s">
        <v>45</v>
      </c>
    </row>
    <row r="14" spans="1:10" x14ac:dyDescent="0.25">
      <c r="A14">
        <v>12</v>
      </c>
      <c r="B14" s="28" t="s">
        <v>86</v>
      </c>
      <c r="C14" s="28" t="s">
        <v>7</v>
      </c>
      <c r="D14" s="28" t="s">
        <v>8</v>
      </c>
      <c r="E14" s="28"/>
      <c r="F14" s="28" t="s">
        <v>50</v>
      </c>
      <c r="G14" s="28" t="s">
        <v>47</v>
      </c>
    </row>
    <row r="15" spans="1:10" x14ac:dyDescent="0.25">
      <c r="A15">
        <v>13</v>
      </c>
      <c r="B15" s="28" t="s">
        <v>87</v>
      </c>
      <c r="C15" s="28" t="s">
        <v>7</v>
      </c>
      <c r="D15" s="28" t="s">
        <v>14</v>
      </c>
      <c r="E15" s="28"/>
      <c r="F15" s="28" t="s">
        <v>50</v>
      </c>
      <c r="G15" s="28" t="s">
        <v>47</v>
      </c>
    </row>
    <row r="16" spans="1:10" x14ac:dyDescent="0.25">
      <c r="A16">
        <v>14</v>
      </c>
      <c r="B16" s="28" t="s">
        <v>88</v>
      </c>
      <c r="C16" s="28" t="s">
        <v>7</v>
      </c>
      <c r="D16" s="28" t="s">
        <v>14</v>
      </c>
      <c r="E16" s="28"/>
      <c r="F16" s="28" t="s">
        <v>50</v>
      </c>
      <c r="G16" s="28" t="s">
        <v>45</v>
      </c>
    </row>
    <row r="17" spans="1:7" x14ac:dyDescent="0.25">
      <c r="A17">
        <v>15</v>
      </c>
      <c r="B17" s="28" t="s">
        <v>89</v>
      </c>
      <c r="C17" s="28" t="s">
        <v>7</v>
      </c>
      <c r="D17" s="28" t="s">
        <v>16</v>
      </c>
      <c r="E17" s="28"/>
      <c r="F17" s="28" t="s">
        <v>50</v>
      </c>
      <c r="G17" s="28" t="s">
        <v>45</v>
      </c>
    </row>
    <row r="18" spans="1:7" x14ac:dyDescent="0.25">
      <c r="A18">
        <v>16</v>
      </c>
      <c r="B18" s="28" t="s">
        <v>90</v>
      </c>
      <c r="C18" s="28" t="s">
        <v>7</v>
      </c>
      <c r="D18" s="28" t="s">
        <v>71</v>
      </c>
      <c r="E18" s="28"/>
      <c r="F18" s="28" t="s">
        <v>50</v>
      </c>
      <c r="G18" s="28" t="s">
        <v>47</v>
      </c>
    </row>
    <row r="19" spans="1:7" x14ac:dyDescent="0.25">
      <c r="A19">
        <v>17</v>
      </c>
      <c r="B19" s="28" t="s">
        <v>91</v>
      </c>
      <c r="C19" s="28" t="s">
        <v>7</v>
      </c>
      <c r="D19" s="28" t="s">
        <v>8</v>
      </c>
      <c r="E19" s="28"/>
      <c r="F19" s="28" t="s">
        <v>52</v>
      </c>
      <c r="G19" s="28" t="s">
        <v>45</v>
      </c>
    </row>
    <row r="20" spans="1:7" x14ac:dyDescent="0.25">
      <c r="A20">
        <v>18</v>
      </c>
      <c r="B20" s="28" t="s">
        <v>92</v>
      </c>
      <c r="C20" s="28" t="s">
        <v>7</v>
      </c>
      <c r="D20" s="28" t="s">
        <v>9</v>
      </c>
      <c r="E20" s="28"/>
      <c r="F20" s="28" t="s">
        <v>52</v>
      </c>
      <c r="G20" s="28" t="s">
        <v>53</v>
      </c>
    </row>
    <row r="21" spans="1:7" x14ac:dyDescent="0.25">
      <c r="A21">
        <v>19</v>
      </c>
      <c r="B21" s="28" t="s">
        <v>51</v>
      </c>
      <c r="C21" s="28" t="s">
        <v>7</v>
      </c>
      <c r="D21" s="28" t="s">
        <v>9</v>
      </c>
      <c r="E21" s="28"/>
      <c r="F21" s="28" t="s">
        <v>52</v>
      </c>
      <c r="G21" s="28" t="s">
        <v>45</v>
      </c>
    </row>
    <row r="22" spans="1:7" x14ac:dyDescent="0.25">
      <c r="A22">
        <v>20</v>
      </c>
      <c r="B22" s="28" t="s">
        <v>93</v>
      </c>
      <c r="C22" s="28" t="s">
        <v>7</v>
      </c>
      <c r="D22" s="28" t="s">
        <v>9</v>
      </c>
      <c r="E22" s="28"/>
      <c r="F22" s="28" t="s">
        <v>52</v>
      </c>
      <c r="G22" s="28" t="s">
        <v>47</v>
      </c>
    </row>
    <row r="23" spans="1:7" x14ac:dyDescent="0.25">
      <c r="A23">
        <v>21</v>
      </c>
      <c r="B23" s="28" t="s">
        <v>94</v>
      </c>
      <c r="C23" s="28" t="s">
        <v>7</v>
      </c>
      <c r="D23" s="28" t="s">
        <v>9</v>
      </c>
      <c r="E23" s="28"/>
      <c r="F23" s="28" t="s">
        <v>52</v>
      </c>
      <c r="G23" s="28" t="s">
        <v>95</v>
      </c>
    </row>
    <row r="24" spans="1:7" x14ac:dyDescent="0.25">
      <c r="A24">
        <v>22</v>
      </c>
      <c r="B24" s="28" t="s">
        <v>96</v>
      </c>
      <c r="C24" s="28" t="s">
        <v>7</v>
      </c>
      <c r="D24" s="28" t="s">
        <v>9</v>
      </c>
      <c r="E24" s="28"/>
      <c r="F24" s="28" t="s">
        <v>52</v>
      </c>
      <c r="G24" s="28" t="s">
        <v>97</v>
      </c>
    </row>
    <row r="25" spans="1:7" x14ac:dyDescent="0.25">
      <c r="A25">
        <v>23</v>
      </c>
      <c r="B25" s="28" t="s">
        <v>98</v>
      </c>
      <c r="C25" s="28" t="s">
        <v>7</v>
      </c>
      <c r="D25" s="28" t="s">
        <v>14</v>
      </c>
      <c r="E25" s="28"/>
      <c r="F25" s="28" t="s">
        <v>52</v>
      </c>
      <c r="G25" s="28" t="s">
        <v>53</v>
      </c>
    </row>
    <row r="26" spans="1:7" x14ac:dyDescent="0.25">
      <c r="A26">
        <v>24</v>
      </c>
      <c r="B26" s="28" t="s">
        <v>99</v>
      </c>
      <c r="C26" s="28" t="s">
        <v>7</v>
      </c>
      <c r="D26" s="28" t="s">
        <v>14</v>
      </c>
      <c r="E26" s="28"/>
      <c r="F26" s="28" t="s">
        <v>52</v>
      </c>
      <c r="G26" s="28" t="s">
        <v>45</v>
      </c>
    </row>
    <row r="27" spans="1:7" x14ac:dyDescent="0.25">
      <c r="A27">
        <v>25</v>
      </c>
      <c r="B27" s="28" t="s">
        <v>100</v>
      </c>
      <c r="C27" s="28" t="s">
        <v>7</v>
      </c>
      <c r="D27" s="28" t="s">
        <v>15</v>
      </c>
      <c r="E27" s="28"/>
      <c r="F27" s="28" t="s">
        <v>52</v>
      </c>
      <c r="G27" s="28" t="s">
        <v>53</v>
      </c>
    </row>
    <row r="28" spans="1:7" x14ac:dyDescent="0.25">
      <c r="A28">
        <v>26</v>
      </c>
      <c r="B28" s="28" t="s">
        <v>101</v>
      </c>
      <c r="C28" s="28" t="s">
        <v>7</v>
      </c>
      <c r="D28" s="28" t="s">
        <v>16</v>
      </c>
      <c r="E28" s="28"/>
      <c r="F28" s="28" t="s">
        <v>52</v>
      </c>
      <c r="G28" s="28" t="s">
        <v>45</v>
      </c>
    </row>
    <row r="29" spans="1:7" x14ac:dyDescent="0.25">
      <c r="A29">
        <v>27</v>
      </c>
      <c r="B29" s="28" t="s">
        <v>102</v>
      </c>
      <c r="C29" s="28" t="s">
        <v>7</v>
      </c>
      <c r="D29" s="28" t="s">
        <v>8</v>
      </c>
      <c r="E29" s="28"/>
      <c r="F29" s="28" t="s">
        <v>56</v>
      </c>
      <c r="G29" s="28" t="s">
        <v>45</v>
      </c>
    </row>
    <row r="30" spans="1:7" x14ac:dyDescent="0.25">
      <c r="A30">
        <v>28</v>
      </c>
      <c r="B30" s="28" t="s">
        <v>103</v>
      </c>
      <c r="C30" s="28" t="s">
        <v>7</v>
      </c>
      <c r="D30" s="28" t="s">
        <v>8</v>
      </c>
      <c r="E30" s="28"/>
      <c r="F30" s="28" t="s">
        <v>56</v>
      </c>
      <c r="G30" s="28" t="s">
        <v>47</v>
      </c>
    </row>
    <row r="31" spans="1:7" x14ac:dyDescent="0.25">
      <c r="A31">
        <v>29</v>
      </c>
      <c r="B31" s="28" t="s">
        <v>104</v>
      </c>
      <c r="C31" s="28" t="s">
        <v>7</v>
      </c>
      <c r="D31" s="28" t="s">
        <v>8</v>
      </c>
      <c r="E31" s="28"/>
      <c r="F31" s="28" t="s">
        <v>56</v>
      </c>
      <c r="G31" s="28" t="s">
        <v>54</v>
      </c>
    </row>
    <row r="32" spans="1:7" x14ac:dyDescent="0.25">
      <c r="A32">
        <v>30</v>
      </c>
      <c r="B32" s="28" t="s">
        <v>105</v>
      </c>
      <c r="C32" s="28" t="s">
        <v>7</v>
      </c>
      <c r="D32" s="28" t="s">
        <v>14</v>
      </c>
      <c r="E32" s="28"/>
      <c r="F32" s="28" t="s">
        <v>56</v>
      </c>
      <c r="G32" s="28" t="s">
        <v>45</v>
      </c>
    </row>
    <row r="33" spans="1:7" x14ac:dyDescent="0.25">
      <c r="A33">
        <v>31</v>
      </c>
      <c r="B33" s="28" t="s">
        <v>106</v>
      </c>
      <c r="C33" s="28" t="s">
        <v>7</v>
      </c>
      <c r="D33" s="28" t="s">
        <v>14</v>
      </c>
      <c r="E33" s="28"/>
      <c r="F33" s="28" t="s">
        <v>56</v>
      </c>
      <c r="G33" s="28" t="s">
        <v>47</v>
      </c>
    </row>
    <row r="34" spans="1:7" x14ac:dyDescent="0.25">
      <c r="A34">
        <v>32</v>
      </c>
      <c r="B34" s="28" t="s">
        <v>107</v>
      </c>
      <c r="C34" s="28" t="s">
        <v>7</v>
      </c>
      <c r="D34" s="28" t="s">
        <v>16</v>
      </c>
      <c r="E34" s="28"/>
      <c r="F34" s="28" t="s">
        <v>56</v>
      </c>
      <c r="G34" s="28" t="s">
        <v>45</v>
      </c>
    </row>
    <row r="35" spans="1:7" x14ac:dyDescent="0.25">
      <c r="A35">
        <v>33</v>
      </c>
      <c r="B35" s="28" t="s">
        <v>108</v>
      </c>
      <c r="C35" s="28" t="s">
        <v>7</v>
      </c>
      <c r="D35" s="28" t="s">
        <v>16</v>
      </c>
      <c r="E35" s="28"/>
      <c r="F35" s="28" t="s">
        <v>56</v>
      </c>
      <c r="G35" s="28" t="s">
        <v>47</v>
      </c>
    </row>
    <row r="36" spans="1:7" x14ac:dyDescent="0.25">
      <c r="A36">
        <v>34</v>
      </c>
      <c r="B36" s="28" t="s">
        <v>109</v>
      </c>
      <c r="C36" s="28" t="s">
        <v>7</v>
      </c>
      <c r="D36" s="28" t="s">
        <v>16</v>
      </c>
      <c r="E36" s="28"/>
      <c r="F36" s="28" t="s">
        <v>56</v>
      </c>
      <c r="G36" s="28" t="s">
        <v>110</v>
      </c>
    </row>
    <row r="37" spans="1:7" x14ac:dyDescent="0.25">
      <c r="A37">
        <v>35</v>
      </c>
      <c r="B37" s="28" t="s">
        <v>111</v>
      </c>
      <c r="C37" s="28" t="s">
        <v>7</v>
      </c>
      <c r="D37" s="28" t="s">
        <v>9</v>
      </c>
      <c r="E37" s="28"/>
      <c r="F37" s="28" t="s">
        <v>56</v>
      </c>
      <c r="G37" s="28" t="s">
        <v>47</v>
      </c>
    </row>
    <row r="38" spans="1:7" x14ac:dyDescent="0.25">
      <c r="A38">
        <v>36</v>
      </c>
      <c r="B38" s="28" t="s">
        <v>112</v>
      </c>
      <c r="C38" s="28" t="s">
        <v>7</v>
      </c>
      <c r="D38" s="28" t="s">
        <v>9</v>
      </c>
      <c r="E38" s="28"/>
      <c r="F38" s="28" t="s">
        <v>56</v>
      </c>
      <c r="G38" s="28" t="s">
        <v>110</v>
      </c>
    </row>
    <row r="39" spans="1:7" x14ac:dyDescent="0.25">
      <c r="A39">
        <v>37</v>
      </c>
      <c r="B39" s="28" t="s">
        <v>113</v>
      </c>
      <c r="C39" s="28" t="s">
        <v>7</v>
      </c>
      <c r="D39" s="28" t="s">
        <v>15</v>
      </c>
      <c r="E39" s="28"/>
      <c r="F39" s="28" t="s">
        <v>56</v>
      </c>
      <c r="G39" s="28" t="s">
        <v>47</v>
      </c>
    </row>
    <row r="40" spans="1:7" x14ac:dyDescent="0.25">
      <c r="A40">
        <v>38</v>
      </c>
      <c r="B40" s="28" t="s">
        <v>114</v>
      </c>
      <c r="C40" s="28" t="s">
        <v>7</v>
      </c>
      <c r="D40" s="28" t="s">
        <v>71</v>
      </c>
      <c r="E40" s="28"/>
      <c r="F40" s="28" t="s">
        <v>56</v>
      </c>
      <c r="G40" s="28" t="s">
        <v>47</v>
      </c>
    </row>
    <row r="41" spans="1:7" x14ac:dyDescent="0.25">
      <c r="A41">
        <v>39</v>
      </c>
      <c r="B41" s="28" t="s">
        <v>115</v>
      </c>
      <c r="C41" s="28" t="s">
        <v>7</v>
      </c>
      <c r="D41" s="28" t="s">
        <v>72</v>
      </c>
      <c r="E41" s="28"/>
      <c r="F41" s="28" t="s">
        <v>57</v>
      </c>
      <c r="G41" s="28"/>
    </row>
    <row r="42" spans="1:7" x14ac:dyDescent="0.25">
      <c r="A42">
        <v>40</v>
      </c>
      <c r="B42" s="28" t="s">
        <v>116</v>
      </c>
      <c r="C42" s="28" t="s">
        <v>7</v>
      </c>
      <c r="D42" s="28" t="s">
        <v>72</v>
      </c>
      <c r="E42" s="28"/>
      <c r="F42" s="28" t="s">
        <v>58</v>
      </c>
      <c r="G42" s="28"/>
    </row>
    <row r="43" spans="1:7" x14ac:dyDescent="0.25">
      <c r="A43">
        <v>41</v>
      </c>
      <c r="B43" s="28" t="s">
        <v>73</v>
      </c>
      <c r="C43" s="28" t="s">
        <v>7</v>
      </c>
      <c r="D43" s="28" t="s">
        <v>73</v>
      </c>
      <c r="E43" s="28"/>
      <c r="F43" s="28"/>
      <c r="G43" s="28"/>
    </row>
    <row r="44" spans="1:7" x14ac:dyDescent="0.25">
      <c r="A44">
        <v>42</v>
      </c>
      <c r="B44" s="28" t="s">
        <v>117</v>
      </c>
      <c r="C44" s="28" t="s">
        <v>7</v>
      </c>
      <c r="D44" s="28" t="s">
        <v>8</v>
      </c>
      <c r="E44" s="28"/>
      <c r="F44" s="28" t="s">
        <v>57</v>
      </c>
      <c r="G44" s="28"/>
    </row>
    <row r="45" spans="1:7" x14ac:dyDescent="0.25">
      <c r="A45">
        <v>43</v>
      </c>
      <c r="B45" s="28" t="s">
        <v>118</v>
      </c>
      <c r="C45" s="28" t="s">
        <v>7</v>
      </c>
      <c r="D45" s="28" t="s">
        <v>8</v>
      </c>
      <c r="E45" s="28"/>
      <c r="F45" s="28" t="s">
        <v>58</v>
      </c>
      <c r="G45" s="28"/>
    </row>
    <row r="46" spans="1:7" x14ac:dyDescent="0.25">
      <c r="A46">
        <v>44</v>
      </c>
      <c r="B46" s="28" t="s">
        <v>119</v>
      </c>
      <c r="C46" s="28" t="s">
        <v>7</v>
      </c>
      <c r="D46" s="28" t="s">
        <v>8</v>
      </c>
      <c r="E46" s="28"/>
      <c r="F46" s="28" t="s">
        <v>120</v>
      </c>
      <c r="G46" s="28"/>
    </row>
    <row r="47" spans="1:7" x14ac:dyDescent="0.25">
      <c r="A47">
        <v>45</v>
      </c>
      <c r="B47" s="28" t="s">
        <v>74</v>
      </c>
      <c r="C47" s="28" t="s">
        <v>7</v>
      </c>
      <c r="D47" s="28" t="s">
        <v>74</v>
      </c>
      <c r="E47" s="28"/>
      <c r="F47" s="28"/>
      <c r="G47" s="28"/>
    </row>
    <row r="48" spans="1:7" x14ac:dyDescent="0.25">
      <c r="A48">
        <v>46</v>
      </c>
      <c r="B48" s="28" t="s">
        <v>75</v>
      </c>
      <c r="C48" s="28" t="s">
        <v>7</v>
      </c>
      <c r="D48" s="28" t="s">
        <v>75</v>
      </c>
      <c r="E48" s="28"/>
      <c r="F48" s="28"/>
      <c r="G48" s="28"/>
    </row>
    <row r="49" spans="1:7" x14ac:dyDescent="0.25">
      <c r="A49">
        <v>47</v>
      </c>
      <c r="B49" s="28" t="s">
        <v>121</v>
      </c>
      <c r="C49" s="28" t="s">
        <v>7</v>
      </c>
      <c r="D49" s="28" t="s">
        <v>16</v>
      </c>
      <c r="E49" s="28"/>
      <c r="F49" s="28" t="s">
        <v>57</v>
      </c>
      <c r="G49" s="28"/>
    </row>
    <row r="50" spans="1:7" x14ac:dyDescent="0.25">
      <c r="A50">
        <v>48</v>
      </c>
      <c r="B50" s="28" t="s">
        <v>121</v>
      </c>
      <c r="C50" s="28" t="s">
        <v>7</v>
      </c>
      <c r="D50" s="28" t="s">
        <v>16</v>
      </c>
      <c r="E50" s="28"/>
      <c r="F50" s="28" t="s">
        <v>58</v>
      </c>
      <c r="G50" s="28"/>
    </row>
    <row r="51" spans="1:7" x14ac:dyDescent="0.25">
      <c r="A51">
        <v>49</v>
      </c>
      <c r="B51" s="28" t="s">
        <v>122</v>
      </c>
      <c r="C51" s="28" t="s">
        <v>7</v>
      </c>
      <c r="D51" s="28" t="s">
        <v>76</v>
      </c>
      <c r="E51" s="28"/>
      <c r="F51" s="28"/>
      <c r="G51" s="2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12"/>
  <sheetViews>
    <sheetView workbookViewId="0">
      <selection sqref="A1:C6"/>
    </sheetView>
  </sheetViews>
  <sheetFormatPr defaultRowHeight="15" x14ac:dyDescent="0.25"/>
  <cols>
    <col min="1" max="1" width="5.140625" bestFit="1" customWidth="1"/>
    <col min="2" max="2" width="9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14</v>
      </c>
    </row>
    <row r="3" spans="1:3" x14ac:dyDescent="0.25">
      <c r="A3">
        <v>2</v>
      </c>
      <c r="B3" t="s">
        <v>15</v>
      </c>
    </row>
    <row r="4" spans="1:3" x14ac:dyDescent="0.25">
      <c r="A4">
        <v>3</v>
      </c>
      <c r="B4" t="s">
        <v>71</v>
      </c>
    </row>
    <row r="5" spans="1:3" x14ac:dyDescent="0.25">
      <c r="A5">
        <v>4</v>
      </c>
      <c r="B5" t="s">
        <v>8</v>
      </c>
    </row>
    <row r="6" spans="1:3" x14ac:dyDescent="0.25">
      <c r="A6">
        <v>5</v>
      </c>
      <c r="B6" t="s">
        <v>9</v>
      </c>
    </row>
    <row r="7" spans="1:3" x14ac:dyDescent="0.25">
      <c r="A7">
        <v>6</v>
      </c>
      <c r="B7" s="28" t="s">
        <v>16</v>
      </c>
    </row>
    <row r="8" spans="1:3" x14ac:dyDescent="0.25">
      <c r="A8">
        <v>7</v>
      </c>
      <c r="B8" s="28" t="s">
        <v>72</v>
      </c>
    </row>
    <row r="9" spans="1:3" x14ac:dyDescent="0.25">
      <c r="A9">
        <v>8</v>
      </c>
      <c r="B9" s="28" t="s">
        <v>73</v>
      </c>
    </row>
    <row r="10" spans="1:3" x14ac:dyDescent="0.25">
      <c r="A10">
        <v>9</v>
      </c>
      <c r="B10" s="28" t="s">
        <v>74</v>
      </c>
    </row>
    <row r="11" spans="1:3" x14ac:dyDescent="0.25">
      <c r="A11">
        <v>10</v>
      </c>
      <c r="B11" s="28" t="s">
        <v>75</v>
      </c>
    </row>
    <row r="12" spans="1:3" x14ac:dyDescent="0.25">
      <c r="A12">
        <v>11</v>
      </c>
      <c r="B12" s="28" t="s">
        <v>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10</v>
      </c>
      <c r="B1" t="s">
        <v>30</v>
      </c>
      <c r="C1" t="s">
        <v>31</v>
      </c>
      <c r="D1" t="s">
        <v>1</v>
      </c>
      <c r="E1" t="s">
        <v>32</v>
      </c>
    </row>
    <row r="2" spans="1:5" x14ac:dyDescent="0.25">
      <c r="A2" s="10">
        <v>45766</v>
      </c>
      <c r="B2" s="10">
        <v>45766</v>
      </c>
      <c r="C2" s="10">
        <v>45766</v>
      </c>
      <c r="D2" t="s">
        <v>33</v>
      </c>
      <c r="E2">
        <v>1</v>
      </c>
    </row>
    <row r="3" spans="1:5" x14ac:dyDescent="0.25">
      <c r="A3" s="10">
        <v>45766</v>
      </c>
      <c r="B3" s="10">
        <v>45765</v>
      </c>
      <c r="C3" s="10">
        <v>45765</v>
      </c>
      <c r="D3" t="s">
        <v>34</v>
      </c>
      <c r="E3">
        <v>1</v>
      </c>
    </row>
    <row r="4" spans="1:5" x14ac:dyDescent="0.25">
      <c r="A4" s="10">
        <v>45766</v>
      </c>
      <c r="B4" s="10">
        <v>45760</v>
      </c>
      <c r="C4" s="10">
        <v>45766</v>
      </c>
      <c r="D4" t="s">
        <v>35</v>
      </c>
      <c r="E4">
        <v>7</v>
      </c>
    </row>
    <row r="5" spans="1:5" x14ac:dyDescent="0.25">
      <c r="A5" s="10">
        <v>45766</v>
      </c>
      <c r="B5" s="10">
        <v>45753</v>
      </c>
      <c r="C5" s="10">
        <v>45759</v>
      </c>
      <c r="D5" t="s">
        <v>36</v>
      </c>
      <c r="E5">
        <v>7</v>
      </c>
    </row>
    <row r="6" spans="1:5" x14ac:dyDescent="0.25">
      <c r="A6" s="10">
        <v>45766</v>
      </c>
      <c r="B6" s="10">
        <v>45748</v>
      </c>
      <c r="C6" s="10">
        <v>45777</v>
      </c>
      <c r="D6" t="s">
        <v>37</v>
      </c>
      <c r="E6">
        <v>30</v>
      </c>
    </row>
    <row r="7" spans="1:5" x14ac:dyDescent="0.25">
      <c r="A7" s="10">
        <v>45766</v>
      </c>
      <c r="B7" s="10">
        <v>45717</v>
      </c>
      <c r="C7" s="10">
        <v>45747</v>
      </c>
      <c r="D7" t="s">
        <v>38</v>
      </c>
      <c r="E7">
        <v>31</v>
      </c>
    </row>
    <row r="8" spans="1:5" x14ac:dyDescent="0.25">
      <c r="A8" s="10">
        <v>45766</v>
      </c>
      <c r="B8" s="10">
        <v>45658</v>
      </c>
      <c r="C8" s="10">
        <v>46022</v>
      </c>
      <c r="D8" t="s">
        <v>39</v>
      </c>
      <c r="E8">
        <v>365</v>
      </c>
    </row>
    <row r="9" spans="1:5" x14ac:dyDescent="0.25">
      <c r="A9" s="10">
        <v>45766</v>
      </c>
      <c r="B9" s="10"/>
      <c r="C9" s="10"/>
      <c r="D9" t="s">
        <v>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3"/>
  <sheetViews>
    <sheetView workbookViewId="0">
      <selection activeCell="D19" sqref="D19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0" t="s">
        <v>27</v>
      </c>
      <c r="D1" s="30"/>
      <c r="E1" s="30"/>
    </row>
    <row r="2" spans="2:9" ht="15.75" thickBot="1" x14ac:dyDescent="0.3">
      <c r="B2" s="1" t="s">
        <v>10</v>
      </c>
      <c r="C2" s="1" t="s">
        <v>11</v>
      </c>
      <c r="D2" s="1" t="s">
        <v>23</v>
      </c>
      <c r="E2" s="1" t="s">
        <v>24</v>
      </c>
      <c r="F2" s="1" t="s">
        <v>22</v>
      </c>
      <c r="G2" s="1" t="s">
        <v>12</v>
      </c>
      <c r="H2" s="1" t="s">
        <v>25</v>
      </c>
      <c r="I2" s="1" t="s">
        <v>26</v>
      </c>
    </row>
    <row r="3" spans="2:9" x14ac:dyDescent="0.25">
      <c r="B3" s="3"/>
      <c r="C3" s="13"/>
      <c r="D3" s="14"/>
      <c r="E3" s="15"/>
      <c r="F3" s="5" t="str">
        <f>IF(_TBL_LAPTOP_INVENTORY[[#This Row],[IN]]+_TBL_LAPTOP_INVENTORY[[#This Row],[OUT]]&lt;&gt; 0, _TBL_LAPTOP_INVENTORY[[#This Row],[IN]]+_TBL_LAPTOP_INVENTORY[[#This Row],[OUT]], "")</f>
        <v/>
      </c>
      <c r="G3" s="22"/>
      <c r="H3" s="33"/>
      <c r="I3" s="23"/>
    </row>
    <row r="4" spans="2:9" x14ac:dyDescent="0.25">
      <c r="B4" s="3"/>
      <c r="C4" s="16"/>
      <c r="D4" s="17"/>
      <c r="E4" s="18"/>
      <c r="F4" s="5" t="str">
        <f>IF(_TBL_LAPTOP_INVENTORY[[#This Row],[IN]]+_TBL_LAPTOP_INVENTORY[[#This Row],[OUT]]&lt;&gt; 0, _TBL_LAPTOP_INVENTORY[[#This Row],[IN]]+_TBL_LAPTOP_INVENTORY[[#This Row],[OUT]], "")</f>
        <v/>
      </c>
      <c r="G4" s="24"/>
      <c r="H4" s="32"/>
      <c r="I4" s="25"/>
    </row>
    <row r="5" spans="2:9" x14ac:dyDescent="0.25">
      <c r="B5" s="3"/>
      <c r="C5" s="16"/>
      <c r="D5" s="17"/>
      <c r="E5" s="18"/>
      <c r="F5" s="5" t="str">
        <f>IF(_TBL_LAPTOP_INVENTORY[[#This Row],[IN]]+_TBL_LAPTOP_INVENTORY[[#This Row],[OUT]]&lt;&gt; 0, _TBL_LAPTOP_INVENTORY[[#This Row],[IN]]+_TBL_LAPTOP_INVENTORY[[#This Row],[OUT]], "")</f>
        <v/>
      </c>
      <c r="G5" s="24"/>
      <c r="H5" s="32"/>
      <c r="I5" s="25"/>
    </row>
    <row r="6" spans="2:9" x14ac:dyDescent="0.25">
      <c r="B6" s="3"/>
      <c r="C6" s="16"/>
      <c r="D6" s="17"/>
      <c r="E6" s="18"/>
      <c r="F6" s="5" t="str">
        <f>IF(_TBL_LAPTOP_INVENTORY[[#This Row],[IN]]+_TBL_LAPTOP_INVENTORY[[#This Row],[OUT]]&lt;&gt; 0, _TBL_LAPTOP_INVENTORY[[#This Row],[IN]]+_TBL_LAPTOP_INVENTORY[[#This Row],[OUT]], "")</f>
        <v/>
      </c>
      <c r="G6" s="24"/>
      <c r="H6" s="32"/>
      <c r="I6" s="25"/>
    </row>
    <row r="7" spans="2:9" x14ac:dyDescent="0.25">
      <c r="B7" s="3"/>
      <c r="C7" s="16"/>
      <c r="D7" s="17"/>
      <c r="E7" s="18"/>
      <c r="F7" s="5" t="str">
        <f>IF(_TBL_LAPTOP_INVENTORY[[#This Row],[IN]]+_TBL_LAPTOP_INVENTORY[[#This Row],[OUT]]&lt;&gt; 0, _TBL_LAPTOP_INVENTORY[[#This Row],[IN]]+_TBL_LAPTOP_INVENTORY[[#This Row],[OUT]], "")</f>
        <v/>
      </c>
      <c r="G7" s="24"/>
      <c r="H7" s="32"/>
      <c r="I7" s="25"/>
    </row>
    <row r="8" spans="2:9" x14ac:dyDescent="0.25">
      <c r="B8" s="3"/>
      <c r="C8" s="16"/>
      <c r="D8" s="17"/>
      <c r="E8" s="18"/>
      <c r="F8" s="5" t="str">
        <f>IF(_TBL_LAPTOP_INVENTORY[[#This Row],[IN]]+_TBL_LAPTOP_INVENTORY[[#This Row],[OUT]]&lt;&gt; 0, _TBL_LAPTOP_INVENTORY[[#This Row],[IN]]+_TBL_LAPTOP_INVENTORY[[#This Row],[OUT]], "")</f>
        <v/>
      </c>
      <c r="G8" s="24"/>
      <c r="H8" s="32"/>
      <c r="I8" s="25"/>
    </row>
    <row r="9" spans="2:9" x14ac:dyDescent="0.25">
      <c r="B9" s="3"/>
      <c r="C9" s="16"/>
      <c r="D9" s="17"/>
      <c r="E9" s="18"/>
      <c r="F9" s="5" t="str">
        <f>IF(_TBL_LAPTOP_INVENTORY[[#This Row],[IN]]+_TBL_LAPTOP_INVENTORY[[#This Row],[OUT]]&lt;&gt; 0, _TBL_LAPTOP_INVENTORY[[#This Row],[IN]]+_TBL_LAPTOP_INVENTORY[[#This Row],[OUT]], "")</f>
        <v/>
      </c>
      <c r="G9" s="24"/>
      <c r="H9" s="32"/>
      <c r="I9" s="25"/>
    </row>
    <row r="10" spans="2:9" x14ac:dyDescent="0.25">
      <c r="B10" s="3"/>
      <c r="C10" s="16"/>
      <c r="D10" s="17"/>
      <c r="E10" s="18"/>
      <c r="F10" s="5" t="str">
        <f>IF(_TBL_LAPTOP_INVENTORY[[#This Row],[IN]]+_TBL_LAPTOP_INVENTORY[[#This Row],[OUT]]&lt;&gt; 0, _TBL_LAPTOP_INVENTORY[[#This Row],[IN]]+_TBL_LAPTOP_INVENTORY[[#This Row],[OUT]], "")</f>
        <v/>
      </c>
      <c r="G10" s="24"/>
      <c r="H10" s="32"/>
      <c r="I10" s="25"/>
    </row>
    <row r="11" spans="2:9" ht="15.75" thickBot="1" x14ac:dyDescent="0.3">
      <c r="C11" s="19"/>
      <c r="D11" s="20"/>
      <c r="E11" s="21"/>
      <c r="F11" s="5" t="str">
        <f>IF(_TBL_LAPTOP_INVENTORY[[#This Row],[IN]]+_TBL_LAPTOP_INVENTORY[[#This Row],[OUT]]&lt;&gt; 0, _TBL_LAPTOP_INVENTORY[[#This Row],[IN]]+_TBL_LAPTOP_INVENTORY[[#This Row],[OUT]], "")</f>
        <v/>
      </c>
      <c r="G11" s="26"/>
      <c r="H11" s="34"/>
      <c r="I11" s="27"/>
    </row>
    <row r="12" spans="2:9" x14ac:dyDescent="0.25">
      <c r="B12" s="1" t="str">
        <f>_xlfn.CONCAT("COUNT: ", SUBTOTAL(103,_TBL_LAPTOP_INVENTORY[DATE]))</f>
        <v>COUNT: 0</v>
      </c>
      <c r="C12" s="7" t="s">
        <v>28</v>
      </c>
      <c r="D12" s="6">
        <f>SUBTOTAL(109,_TBL_LAPTOP_INVENTORY[IN])</f>
        <v>0</v>
      </c>
      <c r="E12" s="6">
        <f>SUBTOTAL(109,_TBL_LAPTOP_INVENTORY[OUT])</f>
        <v>0</v>
      </c>
      <c r="F12" s="6">
        <f>SUBTOTAL(109,_TBL_LAPTOP_INVENTORY[TOTAL])</f>
        <v>0</v>
      </c>
      <c r="G12" s="6">
        <f>SUBTOTAL(109,_TBL_LAPTOP_INVENTORY[BACKJOB])</f>
        <v>0</v>
      </c>
      <c r="H12" s="2"/>
      <c r="I12" s="4"/>
    </row>
    <row r="13" spans="2:9" x14ac:dyDescent="0.25">
      <c r="C13" s="8" t="s">
        <v>29</v>
      </c>
      <c r="D13" s="9">
        <f>SUM(_TBL_LAPTOP_INVENTORY[IN])</f>
        <v>0</v>
      </c>
      <c r="E13" s="9">
        <f>SUM(_TBL_LAPTOP_INVENTORY[OUT])</f>
        <v>0</v>
      </c>
      <c r="F13" s="9">
        <f>SUM(_TBL_LAPTOP_INVENTORY[TOTAL])</f>
        <v>0</v>
      </c>
      <c r="G13" s="9">
        <f>SUM(_TBL_LAPTOP_INVENTORY[BACKJOB])</f>
        <v>0</v>
      </c>
    </row>
  </sheetData>
  <mergeCells count="1">
    <mergeCell ref="C1:E1"/>
  </mergeCells>
  <dataValidations count="1">
    <dataValidation type="list" showInput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/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43</v>
      </c>
      <c r="G1" t="s">
        <v>5</v>
      </c>
    </row>
    <row r="2" spans="1:7" x14ac:dyDescent="0.25">
      <c r="A2">
        <v>98</v>
      </c>
      <c r="B2" t="s">
        <v>226</v>
      </c>
      <c r="C2" t="s">
        <v>227</v>
      </c>
      <c r="E2" t="s">
        <v>226</v>
      </c>
    </row>
    <row r="3" spans="1:7" x14ac:dyDescent="0.25">
      <c r="A3">
        <v>99</v>
      </c>
      <c r="B3" t="s">
        <v>228</v>
      </c>
      <c r="C3" t="s">
        <v>227</v>
      </c>
      <c r="E3" t="s">
        <v>228</v>
      </c>
    </row>
    <row r="4" spans="1:7" x14ac:dyDescent="0.25">
      <c r="A4">
        <v>100</v>
      </c>
      <c r="B4" t="s">
        <v>229</v>
      </c>
      <c r="C4" t="s">
        <v>227</v>
      </c>
      <c r="E4" t="s">
        <v>229</v>
      </c>
    </row>
    <row r="5" spans="1:7" x14ac:dyDescent="0.25">
      <c r="A5">
        <v>101</v>
      </c>
      <c r="B5" t="s">
        <v>230</v>
      </c>
      <c r="C5" t="s">
        <v>227</v>
      </c>
      <c r="E5" t="s">
        <v>230</v>
      </c>
    </row>
    <row r="6" spans="1:7" x14ac:dyDescent="0.25">
      <c r="A6">
        <v>102</v>
      </c>
      <c r="B6" t="s">
        <v>231</v>
      </c>
      <c r="C6" t="s">
        <v>227</v>
      </c>
      <c r="E6" t="s">
        <v>231</v>
      </c>
    </row>
    <row r="7" spans="1:7" x14ac:dyDescent="0.25">
      <c r="A7">
        <v>103</v>
      </c>
      <c r="B7" t="s">
        <v>232</v>
      </c>
      <c r="C7" t="s">
        <v>227</v>
      </c>
      <c r="E7" t="s">
        <v>232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tabSelected="1" workbookViewId="0">
      <selection sqref="A1:G4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43</v>
      </c>
      <c r="G1" t="s">
        <v>5</v>
      </c>
    </row>
    <row r="2" spans="1:7" x14ac:dyDescent="0.25">
      <c r="A2">
        <v>95</v>
      </c>
      <c r="B2" t="s">
        <v>220</v>
      </c>
      <c r="C2" t="s">
        <v>18</v>
      </c>
      <c r="E2" t="s">
        <v>221</v>
      </c>
      <c r="F2" t="s">
        <v>58</v>
      </c>
      <c r="G2" t="s">
        <v>222</v>
      </c>
    </row>
    <row r="3" spans="1:7" x14ac:dyDescent="0.25">
      <c r="A3">
        <v>96</v>
      </c>
      <c r="B3" t="s">
        <v>223</v>
      </c>
      <c r="C3" t="s">
        <v>18</v>
      </c>
      <c r="E3" t="s">
        <v>224</v>
      </c>
      <c r="F3" t="s">
        <v>59</v>
      </c>
    </row>
    <row r="4" spans="1:7" x14ac:dyDescent="0.25">
      <c r="A4">
        <v>97</v>
      </c>
      <c r="B4" t="s">
        <v>225</v>
      </c>
      <c r="C4" t="s">
        <v>18</v>
      </c>
      <c r="E4" t="s">
        <v>225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workbookViewId="0">
      <selection activeCell="C3" sqref="C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0" t="s">
        <v>27</v>
      </c>
      <c r="D1" s="30"/>
      <c r="E1" s="30"/>
    </row>
    <row r="2" spans="2:9" ht="15.75" thickBot="1" x14ac:dyDescent="0.3">
      <c r="B2" s="1" t="s">
        <v>10</v>
      </c>
      <c r="C2" s="1" t="s">
        <v>11</v>
      </c>
      <c r="D2" s="1" t="s">
        <v>23</v>
      </c>
      <c r="E2" s="1" t="s">
        <v>24</v>
      </c>
      <c r="F2" s="1" t="s">
        <v>22</v>
      </c>
      <c r="G2" s="1" t="s">
        <v>12</v>
      </c>
      <c r="H2" s="1" t="s">
        <v>25</v>
      </c>
      <c r="I2" s="1" t="s">
        <v>26</v>
      </c>
    </row>
    <row r="3" spans="2:9" x14ac:dyDescent="0.25">
      <c r="B3" s="3"/>
      <c r="C3" s="13"/>
      <c r="D3" s="14"/>
      <c r="E3" s="15"/>
      <c r="F3" s="5" t="str">
        <f>IF(_TBL_LAPTOP_INVENTORY4[[#This Row],[IN]]+_TBL_LAPTOP_INVENTORY4[[#This Row],[OUT]]&lt;&gt; 0, _TBL_LAPTOP_INVENTORY4[[#This Row],[IN]]+_TBL_LAPTOP_INVENTORY4[[#This Row],[OUT]], "")</f>
        <v/>
      </c>
      <c r="G3" s="22"/>
      <c r="H3" s="33"/>
      <c r="I3" s="23"/>
    </row>
    <row r="4" spans="2:9" x14ac:dyDescent="0.25">
      <c r="B4" s="3"/>
      <c r="C4" s="16"/>
      <c r="D4" s="17"/>
      <c r="E4" s="18"/>
      <c r="F4" s="5" t="str">
        <f>IF(_TBL_LAPTOP_INVENTORY4[[#This Row],[IN]]+_TBL_LAPTOP_INVENTORY4[[#This Row],[OUT]]&lt;&gt; 0, _TBL_LAPTOP_INVENTORY4[[#This Row],[IN]]+_TBL_LAPTOP_INVENTORY4[[#This Row],[OUT]], "")</f>
        <v/>
      </c>
      <c r="G4" s="24"/>
      <c r="H4" s="32"/>
      <c r="I4" s="25"/>
    </row>
    <row r="5" spans="2:9" x14ac:dyDescent="0.25">
      <c r="B5" s="3"/>
      <c r="C5" s="16"/>
      <c r="D5" s="17"/>
      <c r="E5" s="18"/>
      <c r="F5" s="5" t="str">
        <f>IF(_TBL_LAPTOP_INVENTORY4[[#This Row],[IN]]+_TBL_LAPTOP_INVENTORY4[[#This Row],[OUT]]&lt;&gt; 0, _TBL_LAPTOP_INVENTORY4[[#This Row],[IN]]+_TBL_LAPTOP_INVENTORY4[[#This Row],[OUT]], "")</f>
        <v/>
      </c>
      <c r="G5" s="24"/>
      <c r="H5" s="32"/>
      <c r="I5" s="25"/>
    </row>
    <row r="6" spans="2:9" x14ac:dyDescent="0.25">
      <c r="B6" s="3"/>
      <c r="C6" s="16"/>
      <c r="D6" s="17"/>
      <c r="E6" s="18"/>
      <c r="F6" s="5" t="str">
        <f>IF(_TBL_LAPTOP_INVENTORY4[[#This Row],[IN]]+_TBL_LAPTOP_INVENTORY4[[#This Row],[OUT]]&lt;&gt; 0, _TBL_LAPTOP_INVENTORY4[[#This Row],[IN]]+_TBL_LAPTOP_INVENTORY4[[#This Row],[OUT]], "")</f>
        <v/>
      </c>
      <c r="G6" s="24"/>
      <c r="H6" s="32"/>
      <c r="I6" s="25"/>
    </row>
    <row r="7" spans="2:9" x14ac:dyDescent="0.25">
      <c r="B7" s="3"/>
      <c r="C7" s="16"/>
      <c r="D7" s="17"/>
      <c r="E7" s="18"/>
      <c r="F7" s="5" t="str">
        <f>IF(_TBL_LAPTOP_INVENTORY4[[#This Row],[IN]]+_TBL_LAPTOP_INVENTORY4[[#This Row],[OUT]]&lt;&gt; 0, _TBL_LAPTOP_INVENTORY4[[#This Row],[IN]]+_TBL_LAPTOP_INVENTORY4[[#This Row],[OUT]], "")</f>
        <v/>
      </c>
      <c r="G7" s="24"/>
      <c r="H7" s="32"/>
      <c r="I7" s="25"/>
    </row>
    <row r="8" spans="2:9" x14ac:dyDescent="0.25">
      <c r="B8" s="3"/>
      <c r="C8" s="16"/>
      <c r="D8" s="17"/>
      <c r="E8" s="18"/>
      <c r="F8" s="5" t="str">
        <f>IF(_TBL_LAPTOP_INVENTORY4[[#This Row],[IN]]+_TBL_LAPTOP_INVENTORY4[[#This Row],[OUT]]&lt;&gt; 0, _TBL_LAPTOP_INVENTORY4[[#This Row],[IN]]+_TBL_LAPTOP_INVENTORY4[[#This Row],[OUT]], "")</f>
        <v/>
      </c>
      <c r="G8" s="24"/>
      <c r="H8" s="32"/>
      <c r="I8" s="25"/>
    </row>
    <row r="9" spans="2:9" x14ac:dyDescent="0.25">
      <c r="B9" s="3"/>
      <c r="C9" s="16"/>
      <c r="D9" s="17"/>
      <c r="E9" s="18"/>
      <c r="F9" s="5" t="str">
        <f>IF(_TBL_LAPTOP_INVENTORY4[[#This Row],[IN]]+_TBL_LAPTOP_INVENTORY4[[#This Row],[OUT]]&lt;&gt; 0, _TBL_LAPTOP_INVENTORY4[[#This Row],[IN]]+_TBL_LAPTOP_INVENTORY4[[#This Row],[OUT]], "")</f>
        <v/>
      </c>
      <c r="G9" s="24"/>
      <c r="H9" s="32"/>
      <c r="I9" s="25"/>
    </row>
    <row r="10" spans="2:9" x14ac:dyDescent="0.25">
      <c r="B10" s="3"/>
      <c r="C10" s="16"/>
      <c r="D10" s="17"/>
      <c r="E10" s="18"/>
      <c r="F10" s="5" t="str">
        <f>IF(_TBL_LAPTOP_INVENTORY4[[#This Row],[IN]]+_TBL_LAPTOP_INVENTORY4[[#This Row],[OUT]]&lt;&gt; 0, _TBL_LAPTOP_INVENTORY4[[#This Row],[IN]]+_TBL_LAPTOP_INVENTORY4[[#This Row],[OUT]], "")</f>
        <v/>
      </c>
      <c r="G10" s="24"/>
      <c r="H10" s="32"/>
      <c r="I10" s="25"/>
    </row>
    <row r="11" spans="2:9" ht="15.75" thickBot="1" x14ac:dyDescent="0.3">
      <c r="C11" s="19"/>
      <c r="D11" s="20"/>
      <c r="E11" s="21"/>
      <c r="F11" s="5" t="str">
        <f>IF(_TBL_LAPTOP_INVENTORY4[[#This Row],[IN]]+_TBL_LAPTOP_INVENTORY4[[#This Row],[OUT]]&lt;&gt; 0, _TBL_LAPTOP_INVENTORY4[[#This Row],[IN]]+_TBL_LAPTOP_INVENTORY4[[#This Row],[OUT]], "")</f>
        <v/>
      </c>
      <c r="G11" s="26"/>
      <c r="H11" s="34"/>
      <c r="I11" s="27"/>
    </row>
    <row r="12" spans="2:9" x14ac:dyDescent="0.25">
      <c r="B12" s="1" t="str">
        <f>_xlfn.CONCAT("COUNT: ", SUBTOTAL(103,_TBL_LAPTOP_INVENTORY4[DATE]))</f>
        <v>COUNT: 0</v>
      </c>
      <c r="C12" s="7" t="s">
        <v>28</v>
      </c>
      <c r="D12" s="6">
        <f>SUBTOTAL(109,_TBL_LAPTOP_INVENTORY4[IN])</f>
        <v>0</v>
      </c>
      <c r="E12" s="6">
        <f>SUBTOTAL(109,_TBL_LAPTOP_INVENTORY4[OUT])</f>
        <v>0</v>
      </c>
      <c r="F12" s="6">
        <f>SUBTOTAL(109,_TBL_LAPTOP_INVENTORY4[TOTAL])</f>
        <v>0</v>
      </c>
      <c r="G12" s="6">
        <f>SUBTOTAL(109,_TBL_LAPTOP_INVENTORY4[BACKJOB])</f>
        <v>0</v>
      </c>
      <c r="H12" s="29"/>
      <c r="I12" s="4"/>
    </row>
    <row r="13" spans="2:9" x14ac:dyDescent="0.25">
      <c r="C13" s="8" t="s">
        <v>29</v>
      </c>
      <c r="D13" s="9">
        <f>SUM(_TBL_LAPTOP_INVENTORY4[IN])</f>
        <v>0</v>
      </c>
      <c r="E13" s="9">
        <f>SUM(_TBL_LAPTOP_INVENTORY4[OUT])</f>
        <v>0</v>
      </c>
      <c r="F13" s="9">
        <f>SUM(_TBL_LAPTOP_INVENTORY4[TOTAL])</f>
        <v>0</v>
      </c>
      <c r="G13" s="9">
        <f>SUM(_TBL_LAPTOP_INVENTORY4[BACKJOB])</f>
        <v>0</v>
      </c>
    </row>
  </sheetData>
  <mergeCells count="1">
    <mergeCell ref="C1:E1"/>
  </mergeCells>
  <dataValidations count="1">
    <dataValidation type="list" showInputMessage="1" sqref="C3:C11" xr:uid="{A3BDE8B4-98AF-4353-B65F-4220EC17724A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27"/>
  <sheetViews>
    <sheetView workbookViewId="0">
      <selection activeCell="B14" sqref="B14"/>
    </sheetView>
  </sheetViews>
  <sheetFormatPr defaultRowHeight="15" x14ac:dyDescent="0.25"/>
  <cols>
    <col min="1" max="1" width="8.85546875" customWidth="1"/>
    <col min="2" max="2" width="29.28515625" style="12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2" bestFit="1" customWidth="1"/>
    <col min="9" max="9" width="18.7109375" customWidth="1"/>
    <col min="10" max="10" width="21.42578125" style="12" bestFit="1" customWidth="1"/>
  </cols>
  <sheetData>
    <row r="1" spans="2:10" x14ac:dyDescent="0.25">
      <c r="C1" s="31" t="s">
        <v>44</v>
      </c>
      <c r="D1" s="31"/>
      <c r="E1" s="31"/>
    </row>
    <row r="2" spans="2:10" ht="14.25" customHeight="1" x14ac:dyDescent="0.25">
      <c r="B2" s="12" t="s">
        <v>1</v>
      </c>
      <c r="C2" s="12" t="s">
        <v>41</v>
      </c>
      <c r="D2" s="12" t="s">
        <v>61</v>
      </c>
      <c r="E2" s="12" t="s">
        <v>64</v>
      </c>
      <c r="F2" s="12" t="s">
        <v>42</v>
      </c>
      <c r="G2" s="12" t="s">
        <v>62</v>
      </c>
      <c r="H2" s="12" t="s">
        <v>22</v>
      </c>
      <c r="I2" s="12" t="s">
        <v>12</v>
      </c>
      <c r="J2" s="12" t="s">
        <v>68</v>
      </c>
    </row>
    <row r="3" spans="2:10" ht="14.25" customHeight="1" x14ac:dyDescent="0.25">
      <c r="B3" s="12" t="s">
        <v>6</v>
      </c>
      <c r="C3" s="11"/>
      <c r="D3" s="11"/>
      <c r="E3" s="11"/>
      <c r="F3" s="11"/>
      <c r="G3" s="11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1"/>
      <c r="J3" s="9">
        <f>IFERROR(TEMPLATE_REGULAR[[#This Row],[TOTAL]] + TEMPLATE_REGULAR[[#This Row],[BACKJOB]], "")</f>
        <v>0</v>
      </c>
    </row>
    <row r="4" spans="2:10" ht="14.25" customHeight="1" x14ac:dyDescent="0.25">
      <c r="B4" s="12" t="s">
        <v>46</v>
      </c>
      <c r="C4" s="11"/>
      <c r="D4" s="11"/>
      <c r="E4" s="11"/>
      <c r="F4" s="11"/>
      <c r="G4" s="11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1"/>
      <c r="J4" s="9">
        <f>IFERROR(TEMPLATE_REGULAR[[#This Row],[TOTAL]] + TEMPLATE_REGULAR[[#This Row],[BACKJOB]], "")</f>
        <v>0</v>
      </c>
    </row>
    <row r="5" spans="2:10" x14ac:dyDescent="0.25">
      <c r="B5" s="12" t="s">
        <v>48</v>
      </c>
      <c r="C5" s="11"/>
      <c r="D5" s="11"/>
      <c r="E5" s="11"/>
      <c r="F5" s="11"/>
      <c r="G5" s="11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1"/>
      <c r="J5" s="9">
        <f>IFERROR(TEMPLATE_REGULAR[[#This Row],[TOTAL]] + TEMPLATE_REGULAR[[#This Row],[BACKJOB]], "")</f>
        <v>0</v>
      </c>
    </row>
    <row r="6" spans="2:10" x14ac:dyDescent="0.25">
      <c r="B6" s="12" t="s">
        <v>13</v>
      </c>
      <c r="C6" s="11"/>
      <c r="D6" s="11"/>
      <c r="E6" s="11"/>
      <c r="F6" s="11"/>
      <c r="G6" s="11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1"/>
      <c r="J6" s="9">
        <f>IFERROR(TEMPLATE_REGULAR[[#This Row],[TOTAL]] + TEMPLATE_REGULAR[[#This Row],[BACKJOB]], "")</f>
        <v>0</v>
      </c>
    </row>
    <row r="7" spans="2:10" x14ac:dyDescent="0.25">
      <c r="B7" s="12" t="s">
        <v>66</v>
      </c>
      <c r="C7" s="11"/>
      <c r="D7" s="11"/>
      <c r="E7" s="11"/>
      <c r="F7" s="11"/>
      <c r="G7" s="11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1"/>
      <c r="J7" s="9">
        <f>IFERROR(TEMPLATE_REGULAR[[#This Row],[TOTAL]] + TEMPLATE_REGULAR[[#This Row],[BACKJOB]], "")</f>
        <v>0</v>
      </c>
    </row>
    <row r="8" spans="2:10" x14ac:dyDescent="0.25">
      <c r="C8" s="11"/>
      <c r="D8" s="11"/>
      <c r="E8" s="11"/>
      <c r="F8" s="11"/>
      <c r="G8" s="11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1"/>
      <c r="J8" s="9">
        <f>IFERROR(TEMPLATE_REGULAR[[#This Row],[TOTAL]] + TEMPLATE_REGULAR[[#This Row],[BACKJOB]], "")</f>
        <v>0</v>
      </c>
    </row>
    <row r="9" spans="2:10" x14ac:dyDescent="0.25">
      <c r="C9" s="11"/>
      <c r="D9" s="11"/>
      <c r="E9" s="11"/>
      <c r="F9" s="11"/>
      <c r="G9" s="11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1"/>
      <c r="J9" s="9">
        <f>IFERROR(TEMPLATE_REGULAR[[#This Row],[TOTAL]] + TEMPLATE_REGULAR[[#This Row],[BACKJOB]], "")</f>
        <v>0</v>
      </c>
    </row>
    <row r="10" spans="2:10" x14ac:dyDescent="0.25">
      <c r="B10" s="12" t="s">
        <v>63</v>
      </c>
      <c r="C10" s="9">
        <f>SUM(TEMPLATE_REGULAR[UNCHECKED])</f>
        <v>0</v>
      </c>
      <c r="D10" s="9">
        <f>SUM(TEMPLATE_REGULAR[CHECKED])</f>
        <v>0</v>
      </c>
      <c r="E10" s="9">
        <f>SUM(TEMPLATE_REGULAR[ON PROCESS])</f>
        <v>0</v>
      </c>
      <c r="F10" s="9">
        <f>SUM(TEMPLATE_REGULAR[CHROME OS])</f>
        <v>0</v>
      </c>
      <c r="G10" s="9">
        <f>SUM(TEMPLATE_REGULAR[WINDOWS])</f>
        <v>0</v>
      </c>
      <c r="H10" s="9">
        <f>SUM(TEMPLATE_REGULAR[TOTAL])</f>
        <v>0</v>
      </c>
      <c r="I10" s="9">
        <f>SUM(TEMPLATE_REGULAR[BACKJOB])</f>
        <v>0</v>
      </c>
      <c r="J10" s="9">
        <f>SUM(TEMPLATE_REGULAR[TOTAL INVENTORY:])</f>
        <v>0</v>
      </c>
    </row>
    <row r="12" spans="2:10" x14ac:dyDescent="0.25">
      <c r="C12" s="31" t="s">
        <v>50</v>
      </c>
      <c r="D12" s="31"/>
      <c r="E12" s="31"/>
    </row>
    <row r="13" spans="2:10" x14ac:dyDescent="0.25">
      <c r="B13" s="12" t="s">
        <v>1</v>
      </c>
      <c r="C13" t="s">
        <v>41</v>
      </c>
      <c r="D13" t="s">
        <v>61</v>
      </c>
      <c r="E13" t="s">
        <v>64</v>
      </c>
      <c r="F13" t="s">
        <v>42</v>
      </c>
      <c r="G13" t="s">
        <v>62</v>
      </c>
      <c r="H13" s="12" t="s">
        <v>63</v>
      </c>
      <c r="I13" t="s">
        <v>12</v>
      </c>
      <c r="J13" s="12" t="s">
        <v>65</v>
      </c>
    </row>
    <row r="14" spans="2:10" x14ac:dyDescent="0.25">
      <c r="B14" s="12" t="e" cm="1">
        <f t="array" aca="1" ref="B14" ca="1">_xlfn._xlws.FILTER(_TBL_INVENTORY[NAME], _TBL_INVENTORY[VARIANT] = "TOUCHSCREEN")</f>
        <v>#NAME?</v>
      </c>
      <c r="H14" s="12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4" s="12">
        <f>IFERROR(TEMPLATE_TOUCHSCREEN[[#This Row],[TOTAL : ]] + TEMPLATE_TOUCHSCREEN[[#This Row],[BACKJOB]], "")</f>
        <v>0</v>
      </c>
    </row>
    <row r="15" spans="2:10" x14ac:dyDescent="0.25">
      <c r="H15" s="12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5" s="12">
        <f>IFERROR(TEMPLATE_TOUCHSCREEN[[#This Row],[TOTAL : ]] + TEMPLATE_TOUCHSCREEN[[#This Row],[BACKJOB]], "")</f>
        <v>0</v>
      </c>
    </row>
    <row r="16" spans="2:10" x14ac:dyDescent="0.25">
      <c r="B16" s="12" t="s">
        <v>63</v>
      </c>
      <c r="C16" s="11">
        <f>SUBTOTAL(109, TEMPLATE_TOUCHSCREEN[UNCHECKED])</f>
        <v>0</v>
      </c>
      <c r="D16" s="11">
        <f>SUBTOTAL(109, TEMPLATE_TOUCHSCREEN[CHECKED])</f>
        <v>0</v>
      </c>
      <c r="E16" s="11">
        <f>SUBTOTAL(109, TEMPLATE_TOUCHSCREEN[ON PROCESS])</f>
        <v>0</v>
      </c>
      <c r="F16" s="11">
        <f>SUBTOTAL(109, TEMPLATE_TOUCHSCREEN[CHROME OS])</f>
        <v>0</v>
      </c>
      <c r="G16" s="11">
        <f>SUBTOTAL(109, TEMPLATE_TOUCHSCREEN[WINDOWS])</f>
        <v>0</v>
      </c>
      <c r="H16" s="9">
        <f>SUBTOTAL(109, TEMPLATE_TOUCHSCREEN[TOTAL : ])</f>
        <v>0</v>
      </c>
      <c r="I16" s="11">
        <f>SUBTOTAL(109, TEMPLATE_TOUCHSCREEN[BACKJOB])</f>
        <v>0</v>
      </c>
      <c r="J16" s="9">
        <f>SUBTOTAL(109, TEMPLATE_TOUCHSCREEN[TOTAL INVENTORY : ])</f>
        <v>0</v>
      </c>
    </row>
    <row r="17" spans="2:10" x14ac:dyDescent="0.25">
      <c r="C17" s="11"/>
      <c r="D17" s="11"/>
      <c r="E17" s="11"/>
      <c r="F17" s="11"/>
      <c r="G17" s="11"/>
      <c r="H17" s="9"/>
      <c r="I17" s="11"/>
      <c r="J17" s="9"/>
    </row>
    <row r="18" spans="2:10" x14ac:dyDescent="0.25">
      <c r="C18" s="31" t="s">
        <v>67</v>
      </c>
      <c r="D18" s="31"/>
      <c r="E18" s="31"/>
    </row>
    <row r="19" spans="2:10" x14ac:dyDescent="0.25">
      <c r="B19" s="12" t="s">
        <v>1</v>
      </c>
      <c r="C19" t="s">
        <v>41</v>
      </c>
      <c r="D19" t="s">
        <v>61</v>
      </c>
      <c r="E19" t="s">
        <v>64</v>
      </c>
      <c r="F19" t="s">
        <v>42</v>
      </c>
      <c r="G19" t="s">
        <v>62</v>
      </c>
      <c r="H19" s="12" t="s">
        <v>63</v>
      </c>
      <c r="I19" t="s">
        <v>12</v>
      </c>
      <c r="J19" s="12" t="s">
        <v>65</v>
      </c>
    </row>
    <row r="20" spans="2:10" x14ac:dyDescent="0.25">
      <c r="B20" s="12" t="e" cm="1">
        <f t="array" aca="1" ref="B20" ca="1">_xlfn._xlws.FILTER(_TBL_INVENTORY[NAME], _TBL_INVENTORY[VARIANT] = "14'")</f>
        <v>#NAME?</v>
      </c>
      <c r="H20" s="12">
        <f>SUM(TEMPLATE_14_INCH[[#This Row],[UNCHECKED]],TEMPLATE_14_INCH[[#This Row],[CHECKED]],TEMPLATE_14_INCH[[#This Row],[ON PROCESS]],TEMPLATE_14_INCH[[#This Row],[CHROME OS]],TEMPLATE_14_INCH[[#This Row],[WINDOWS]])</f>
        <v>0</v>
      </c>
      <c r="J20" s="12">
        <f>IFERROR(TEMPLATE_14_INCH[[#This Row],[TOTAL : ]] + TEMPLATE_14_INCH[[#This Row],[BACKJOB]], "")</f>
        <v>0</v>
      </c>
    </row>
    <row r="21" spans="2:10" x14ac:dyDescent="0.25">
      <c r="H21" s="12">
        <f>SUM(TEMPLATE_14_INCH[[#This Row],[UNCHECKED]],TEMPLATE_14_INCH[[#This Row],[CHECKED]],TEMPLATE_14_INCH[[#This Row],[ON PROCESS]],TEMPLATE_14_INCH[[#This Row],[CHROME OS]],TEMPLATE_14_INCH[[#This Row],[WINDOWS]])</f>
        <v>0</v>
      </c>
      <c r="J21" s="12">
        <f>IFERROR(TEMPLATE_14_INCH[[#This Row],[TOTAL : ]] + TEMPLATE_14_INCH[[#This Row],[BACKJOB]], "")</f>
        <v>0</v>
      </c>
    </row>
    <row r="22" spans="2:10" x14ac:dyDescent="0.25">
      <c r="B22" s="12" t="s">
        <v>63</v>
      </c>
      <c r="C22" s="11">
        <f>SUBTOTAL(109, TEMPLATE_14_INCH[UNCHECKED])</f>
        <v>0</v>
      </c>
      <c r="D22" s="11">
        <f>SUBTOTAL(109, TEMPLATE_14_INCH[CHECKED])</f>
        <v>0</v>
      </c>
      <c r="E22" s="11">
        <f>SUBTOTAL(109, TEMPLATE_14_INCH[ON PROCESS])</f>
        <v>0</v>
      </c>
      <c r="F22" s="11">
        <f>SUBTOTAL(109, TEMPLATE_14_INCH[CHROME OS])</f>
        <v>0</v>
      </c>
      <c r="G22" s="11">
        <f>SUBTOTAL(109, TEMPLATE_14_INCH[WINDOWS])</f>
        <v>0</v>
      </c>
      <c r="H22" s="9">
        <f>SUBTOTAL(109, TEMPLATE_14_INCH[TOTAL : ])</f>
        <v>0</v>
      </c>
      <c r="I22" s="11">
        <f>SUBTOTAL(109, TEMPLATE_14_INCH[BACKJOB])</f>
        <v>0</v>
      </c>
      <c r="J22" s="9">
        <f>SUBTOTAL(109, TEMPLATE_14_INCH[TOTAL INVENTORY : ])</f>
        <v>0</v>
      </c>
    </row>
    <row r="24" spans="2:10" x14ac:dyDescent="0.25">
      <c r="C24" s="11"/>
      <c r="D24" s="11"/>
      <c r="E24" s="11"/>
      <c r="F24" s="11"/>
      <c r="G24" s="11"/>
      <c r="H24" s="9"/>
      <c r="I24" s="11"/>
      <c r="J24" s="9" t="str">
        <f>IFERROR(TEMPLATE_14_INCH[[#This Row],[TOTAL : ]]+TEMPLATE_14_INCH[[#This Row],[BACKJOB]], "")</f>
        <v/>
      </c>
    </row>
    <row r="25" spans="2:10" x14ac:dyDescent="0.25">
      <c r="C25" s="11"/>
      <c r="D25" s="11"/>
      <c r="E25" s="11"/>
      <c r="F25" s="11"/>
      <c r="G25" s="11"/>
      <c r="H25" s="9"/>
      <c r="I25" s="11"/>
      <c r="J25" s="9" t="str">
        <f>IFERROR(TEMPLATE_14_INCH[[#This Row],[TOTAL : ]]+TEMPLATE_14_INCH[[#This Row],[BACKJOB]], "")</f>
        <v/>
      </c>
    </row>
    <row r="26" spans="2:10" x14ac:dyDescent="0.25">
      <c r="C26" s="11"/>
      <c r="D26" s="11"/>
      <c r="E26" s="11"/>
      <c r="F26" s="11"/>
      <c r="G26" s="11"/>
      <c r="H26" s="9"/>
      <c r="I26" s="11"/>
      <c r="J26" s="9" t="str">
        <f>IFERROR(TEMPLATE_14_INCH[[#This Row],[TOTAL : ]]+TEMPLATE_14_INCH[[#This Row],[BACKJOB]], "")</f>
        <v/>
      </c>
    </row>
    <row r="27" spans="2:10" x14ac:dyDescent="0.25">
      <c r="C27" s="11"/>
      <c r="D27" s="11"/>
      <c r="E27" s="11"/>
      <c r="F27" s="11"/>
      <c r="G27" s="11"/>
      <c r="H27" s="9"/>
      <c r="I27" s="11"/>
      <c r="J27" s="9"/>
    </row>
  </sheetData>
  <mergeCells count="3">
    <mergeCell ref="C1:E1"/>
    <mergeCell ref="C12:E12"/>
    <mergeCell ref="C18:E18"/>
  </mergeCells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_TBL_SPECS</vt:lpstr>
      <vt:lpstr>_TBL_VARIANT</vt:lpstr>
      <vt:lpstr>_TBL_INVENTORY_TYPE</vt:lpstr>
      <vt:lpstr>Sheet2</vt:lpstr>
      <vt:lpstr>_TBL_INVENTORY</vt:lpstr>
      <vt:lpstr>_TBL_BRAND</vt:lpstr>
      <vt:lpstr>_TBL_DATES</vt:lpstr>
      <vt:lpstr>INVENTORY</vt:lpstr>
      <vt:lpstr>Sheet4</vt:lpstr>
      <vt:lpstr>Sheet3</vt:lpstr>
      <vt:lpstr>PC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2025-04-19T07:01:01Z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