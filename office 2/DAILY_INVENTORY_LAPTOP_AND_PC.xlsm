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2\"/>
    </mc:Choice>
  </mc:AlternateContent>
  <xr:revisionPtr revIDLastSave="0" documentId="13_ncr:1_{F57F1E65-4C27-40BF-B974-0CA7C731962A}" xr6:coauthVersionLast="36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_TBL_INVENTORY_LAPTOP" sheetId="4" state="hidden" r:id="rId1"/>
    <sheet name="LAPTOP" sheetId="2" r:id="rId2"/>
    <sheet name="PRINTER" sheetId="16" r:id="rId3"/>
    <sheet name="_TBL_INVENTORY_PRINTER" sheetId="15" state="hidden" r:id="rId4"/>
    <sheet name="_TBL_INVENTORY_PC" sheetId="14" state="hidden" r:id="rId5"/>
    <sheet name="PC" sheetId="12" r:id="rId6"/>
    <sheet name="TEMPLATE" sheetId="11" r:id="rId7"/>
  </sheets>
  <functionGroups builtInGroupCount="19"/>
  <definedNames>
    <definedName name="ExternalData_1" localSheetId="0" hidden="1">'_TBL_INVENTORY_LAPTOP'!$A$2:$G$51</definedName>
    <definedName name="ExternalData_1" localSheetId="4" hidden="1">'_TBL_INVENTORY_PC'!$A$1:$G$4</definedName>
    <definedName name="ExternalData_2" localSheetId="3" hidden="1">'_TBL_INVENTORY_PRINTER'!$A$1:$G$7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3" i="2"/>
  <c r="F5" i="2" l="1"/>
  <c r="F6" i="2"/>
  <c r="F7" i="2"/>
  <c r="F8" i="2"/>
  <c r="F9" i="2"/>
  <c r="F10" i="2"/>
  <c r="F11" i="2"/>
  <c r="F4" i="16"/>
  <c r="F5" i="16"/>
  <c r="F6" i="16"/>
  <c r="F7" i="16"/>
  <c r="F8" i="16"/>
  <c r="F9" i="16"/>
  <c r="F10" i="16"/>
  <c r="F11" i="16"/>
  <c r="F3" i="16"/>
  <c r="F3" i="12"/>
  <c r="F5" i="12"/>
  <c r="F6" i="12"/>
  <c r="F7" i="12"/>
  <c r="F8" i="12"/>
  <c r="F9" i="12"/>
  <c r="F10" i="12"/>
  <c r="F11" i="12"/>
  <c r="F4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13" i="16"/>
  <c r="E13" i="16"/>
  <c r="D13" i="16"/>
  <c r="G12" i="16"/>
  <c r="E12" i="16"/>
  <c r="D12" i="16"/>
  <c r="B12" i="16"/>
  <c r="G13" i="12"/>
  <c r="E13" i="12"/>
  <c r="D13" i="12"/>
  <c r="G12" i="12"/>
  <c r="E12" i="12"/>
  <c r="D12" i="12"/>
  <c r="B12" i="12"/>
  <c r="F12" i="16" l="1"/>
  <c r="F13" i="16"/>
  <c r="H61" i="11"/>
  <c r="F12" i="12"/>
  <c r="F13" i="12"/>
  <c r="J2" i="4" a="1"/>
  <c r="J2" i="4" s="1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E12" i="2" l="1"/>
  <c r="G12" i="2"/>
  <c r="D12" i="2"/>
  <c r="E13" i="2"/>
  <c r="G13" i="2"/>
  <c r="D13" i="2"/>
  <c r="B12" i="2"/>
  <c r="F12" i="2" l="1"/>
  <c r="F13" i="2"/>
  <c r="J11" i="4"/>
  <c r="J10" i="4"/>
  <c r="J9" i="4"/>
  <c r="J8" i="4"/>
  <c r="J7" i="4"/>
  <c r="J6" i="4"/>
  <c r="J5" i="4"/>
  <c r="J4" i="4"/>
  <c r="J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<sst xmlns="http://schemas.openxmlformats.org/spreadsheetml/2006/main" count="407" uniqueCount="115">
  <si>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</si>
  <si>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</si>
  <si>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</si>
  <si>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</si>
  <si>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</si>
  <si>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</si>
  <si>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</si>
  <si>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</si>
  <si>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</si>
  <si>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</si>
  <si>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</si>
  <si>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</si>
  <si>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</si>
  <si>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</si>
  <si>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</si>
  <si>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</si>
  <si>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</si>
  <si>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</si>
  <si>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</si>
  <si>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</si>
  <si>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</si>
  <si>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</si>
  <si>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</si>
  <si>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</si>
  <si>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</si>
  <si>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</si>
  <si>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</si>
  <si>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</si>
  <si>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</si>
  <si>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</si>
  <si>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</si>
  <si>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</si>
  <si>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</si>
  <si>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</si>
  <si>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</si>
  <si>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</si>
  <si>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</si>
  <si>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</si>
  <si>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</si>
  <si>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</si>
  <si>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</si>
  <si>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</si>
  <si>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</si>
  <si>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</si>
  <si>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</si>
  <si>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</si>
  <si>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</si>
  <si>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</si>
  <si>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</si>
  <si>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</si>
  <si>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</si>
  <si>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</si>
  <si>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</si>
  <si>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</si>
  <si>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</si>
  <si>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</si>
  <si>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</si>
  <si>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</si>
  <si>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</si>
  <si>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</si>
  <si>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</si>
  <si>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</si>
  <si>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</si>
  <si>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</si>
  <si>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</si>
  <si>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</si>
  <si>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</si>
  <si>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</si>
  <si>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</si>
  <si>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</si>
  <si>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</si>
  <si>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</si>
  <si>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</si>
  <si>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</si>
  <si>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</si>
  <si>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</si>
  <si>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</si>
  <si>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</si>
  <si>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</si>
  <si>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</si>
  <si>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</si>
  <si>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</si>
  <si>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</si>
  <si>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</si>
  <si>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</si>
  <si>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</si>
  <si>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</si>
  <si>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</si>
  <si>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</si>
  <si>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</si>
  <si>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</si>
  <si>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</si>
  <si>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</si>
  <si>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</si>
  <si>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</si>
  <si>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</si>
  <si>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</si>
  <si>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</si>
  <si>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</si>
  <si>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</si>
  <si>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</si>
  <si>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</si>
  <si>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</si>
  <si>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</si>
  <si>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</si>
  <si>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</si>
  <si>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</si>
  <si>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</si>
  <si>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</si>
  <si>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</si>
  <si>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</si>
  <si>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</si>
  <si>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</si>
  <si>
    <t>LENOVO Intel i3</t>
  </si>
  <si>
    <t>LENOVO Intel i5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</si>
</sst>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15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1" tableType="queryTable" totalsRowShown="0">
  <autoFilter ref="A2:G51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14"/>
    <tableColumn id="3" xr3:uid="{72D63A58-4BF9-4348-9278-03658337BDE4}" uniqueName="3" name="TYPE" queryTableFieldId="3" dataDxfId="113"/>
    <tableColumn id="4" xr3:uid="{C1D1FE9A-E7D1-49CB-990A-521223F02F2F}" uniqueName="4" name="BRAND" queryTableFieldId="4" dataDxfId="112"/>
    <tableColumn id="5" xr3:uid="{6A522385-7131-4700-B14C-7A2CC7322CB4}" uniqueName="5" name="CODE" queryTableFieldId="5" dataDxfId="111"/>
    <tableColumn id="6" xr3:uid="{357B56B4-AAF6-43D4-AEAD-F93F1453D095}" uniqueName="6" name="VARIANT" queryTableFieldId="6" dataDxfId="110"/>
    <tableColumn id="7" xr3:uid="{A6335F81-8B2A-4D68-A3D4-C528C11BFB62}" uniqueName="7" name="SPECS" queryTableFieldId="7" dataDxfId="10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I12" totalsRowCount="1" headerRowDxfId="108" dataDxfId="107">
  <autoFilter ref="B2:I11" xr:uid="{11196D4F-0C08-44E6-8845-054A162CF400}">
    <filterColumn colId="0">
      <customFilters>
        <customFilter operator="notEqual" val=" "/>
      </customFilters>
    </filterColumn>
  </autoFilter>
  <tableColumns count="8">
    <tableColumn id="1" xr3:uid="{7E5944E0-EEF7-48BA-9C65-2A065AAFA2D9}" name="DATE" totalsRowFunction="custom" dataDxfId="106" totalsRowDxfId="7">
      <totalsRowFormula>_xlfn.CONCAT("COUNT: ", SUBTOTAL(103,LAPTOP_INVENTORY[DATE]))</totalsRowFormula>
    </tableColumn>
    <tableColumn id="2" xr3:uid="{6346439F-B17B-42E4-B169-E92F350D30A5}" name="INVENTORY ITEM" totalsRowLabel="TOTAL: " dataDxfId="105" totalsRowDxfId="6"/>
    <tableColumn id="4" xr3:uid="{95CD9087-654C-4E2A-AF3A-261436977333}" name="IN" totalsRowFunction="sum" dataDxfId="104" totalsRowDxfId="5"/>
    <tableColumn id="5" xr3:uid="{20315BED-21B2-403E-9EB7-F0CC6C891D05}" name="OUT" totalsRowFunction="sum" dataDxfId="103" totalsRowDxfId="4"/>
    <tableColumn id="7" xr3:uid="{A2774850-F5E8-4FA1-8C17-FE6EEC4F8D73}" name="TOTAL" totalsRowFunction="sum" dataDxfId="102" totalsRowDxfId="3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calculatedColumnFormula>
    </tableColumn>
    <tableColumn id="8" xr3:uid="{3BEEB058-8C1B-4F3B-A112-E1C3BF3C5795}" name="BACKJOB" totalsRowFunction="sum" dataDxfId="101" totalsRowDxfId="2"/>
    <tableColumn id="10" xr3:uid="{1B6A8F81-4CD3-412F-B3A2-C032710C5771}" name="REMARKS" dataDxfId="100" totalsRowDxfId="1"/>
    <tableColumn id="12" xr3:uid="{161DBC59-E0E9-488B-9D75-AD60C50E18B7}" name="BOX ID" dataDxfId="99" totalsRow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12" totalsRowCount="1" headerRowDxfId="98" dataDxfId="97">
  <autoFilter ref="B2:I11" xr:uid="{FECDFDCB-CE0D-4B06-940A-5F27DEC0B1EA}"/>
  <tableColumns count="8">
    <tableColumn id="1" xr3:uid="{7878D738-6F3F-43B6-9888-8FA33CEB6D3C}" name="DATE" totalsRowFunction="custom" dataDxfId="96" totalsRowDxfId="23">
      <totalsRowFormula>_xlfn.CONCAT("COUNT: ", SUBTOTAL(103,PRINTER_INVENTORY[DATE]))</totalsRowFormula>
    </tableColumn>
    <tableColumn id="2" xr3:uid="{AE58DF75-011B-45FE-AEB1-2FE90FF38C27}" name="INVENTORY ITEM" totalsRowLabel="TOTAL: " dataDxfId="95" totalsRowDxfId="22"/>
    <tableColumn id="4" xr3:uid="{2D3AD1AC-A23C-4179-90D6-4D30DF3A3486}" name="IN" totalsRowFunction="sum" dataDxfId="94" totalsRowDxfId="21"/>
    <tableColumn id="5" xr3:uid="{62CFB38B-B757-4792-9B84-F23884971FD3}" name="OUT" totalsRowFunction="sum" dataDxfId="93" totalsRowDxfId="20"/>
    <tableColumn id="7" xr3:uid="{E9FA0FF2-F0A4-4FB0-8D19-8025674EC1E2}" name="TOTAL" totalsRowFunction="sum" dataDxfId="92" totalsRowDxfId="19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91" totalsRowDxfId="18"/>
    <tableColumn id="10" xr3:uid="{B73131B1-576B-4ED8-9F38-D370C20634EC}" name="REMARKS" dataDxfId="90" totalsRowDxfId="17"/>
    <tableColumn id="12" xr3:uid="{5254B59C-16CD-4988-8B85-93BD8DEAC78E}" name="BOX ID" dataDxfId="89" totalsRow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7" tableType="queryTable" totalsRowShown="0">
  <autoFilter ref="A1:G7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12" totalsRowCount="1" headerRowDxfId="88" dataDxfId="87">
  <autoFilter ref="B2:I11" xr:uid="{CCD5F1A0-C195-4E63-936A-43706ADC2989}"/>
  <tableColumns count="8">
    <tableColumn id="1" xr3:uid="{5CDACDCD-B7D4-42C8-B4FF-47907B56A404}" name="DATE" totalsRowFunction="custom" dataDxfId="86" totalsRowDxfId="15">
      <totalsRowFormula>_xlfn.CONCAT("COUNT: ", SUBTOTAL(103,PC_INVENTORY[DATE]))</totalsRowFormula>
    </tableColumn>
    <tableColumn id="2" xr3:uid="{08580266-0DDD-4E86-9243-2AF1790ECE07}" name="INVENTORY ITEM" totalsRowLabel="TOTAL: " dataDxfId="85" totalsRowDxfId="14"/>
    <tableColumn id="4" xr3:uid="{7976317F-3C79-4C9A-AFE8-6ADE89DE934F}" name="IN" totalsRowFunction="sum" dataDxfId="84" totalsRowDxfId="13"/>
    <tableColumn id="5" xr3:uid="{CB8D2757-17B5-469D-953A-BEDD5875E951}" name="OUT" totalsRowFunction="sum" dataDxfId="83" totalsRowDxfId="12"/>
    <tableColumn id="7" xr3:uid="{BC557211-9C16-47D6-91D1-61EDD9A83964}" name="TOTAL" totalsRowFunction="sum" dataDxfId="82" totalsRowDxfId="11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81" totalsRowDxfId="10"/>
    <tableColumn id="10" xr3:uid="{C7D3AE44-6094-4DCE-B4E5-08594544FB4D}" name="REMARKS" dataDxfId="80" totalsRowDxfId="9"/>
    <tableColumn id="12" xr3:uid="{086DEEC2-01C5-475F-879A-B8A691B2E288}" name="BOX ID" dataDxfId="79" totalsRow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78" totalsRowDxfId="77"/>
    <tableColumn id="2" xr3:uid="{676606A0-7990-4C08-BB3D-F65A0581C705}" name="UNCHECKED" totalsRowFunction="custom" totalsRowDxfId="76">
      <totalsRowFormula>SUBTOTAL(109, TEMPLATE_TOUCHSCREEN[UNCHECKED])</totalsRowFormula>
    </tableColumn>
    <tableColumn id="3" xr3:uid="{7640C5A0-97C1-403A-B35B-3A7E0D0E8EFB}" name="CHECKED" totalsRowFunction="custom" totalsRowDxfId="75">
      <totalsRowFormula>SUBTOTAL(109, TEMPLATE_TOUCHSCREEN[CHECKED])</totalsRowFormula>
    </tableColumn>
    <tableColumn id="8" xr3:uid="{C6E7B794-E407-4445-90B2-CF8B0D4CB47B}" name="ON PROCESS" totalsRowFunction="custom" totalsRowDxfId="74">
      <totalsRowFormula>SUBTOTAL(109, TEMPLATE_TOUCHSCREEN[ON PROCESS])</totalsRowFormula>
    </tableColumn>
    <tableColumn id="4" xr3:uid="{D9E4E3E7-74A6-4EC6-BE23-96237B958C35}" name="CHROME OS" totalsRowFunction="custom" totalsRowDxfId="73">
      <totalsRowFormula>SUBTOTAL(109, TEMPLATE_TOUCHSCREEN[CHROME OS])</totalsRowFormula>
    </tableColumn>
    <tableColumn id="5" xr3:uid="{C8F5FEF4-4501-440C-BFC3-80FDF100B145}" name="WINDOWS" totalsRowFunction="custom" totalsRowDxfId="72">
      <totalsRowFormula>SUBTOTAL(109, TEMPLATE_TOUCHSCREEN[WINDOWS])</totalsRowFormula>
    </tableColumn>
    <tableColumn id="6" xr3:uid="{B1690278-5FFF-49D3-A64E-52AAA807A6F0}" name="TOTAL : " totalsRowFunction="custom" dataDxfId="71" totalsRowDxfId="70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69">
      <totalsRowFormula>SUBTOTAL(109, TEMPLATE_TOUCHSCREEN[BACKJOB])</totalsRowFormula>
    </tableColumn>
    <tableColumn id="9" xr3:uid="{48911CB4-28B4-41E1-97CD-C5272AF691DB}" name="TOTAL INVENTORY : " totalsRowFunction="custom" dataDxfId="68" totalsRowDxfId="67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66" totalsRowDxfId="65"/>
    <tableColumn id="2" xr3:uid="{FFC772EF-57C6-4F5A-99C7-66277A580722}" name="UNCHECKED" totalsRowFunction="custom" totalsRowDxfId="64">
      <totalsRowFormula>SUBTOTAL(109, TEMPLATE_14_INCH[UNCHECKED])</totalsRowFormula>
    </tableColumn>
    <tableColumn id="3" xr3:uid="{374E1D3D-EF48-4634-AC36-E3B7A570A185}" name="CHECKED" totalsRowFunction="custom" totalsRowDxfId="63">
      <totalsRowFormula>SUBTOTAL(109, TEMPLATE_14_INCH[CHECKED])</totalsRowFormula>
    </tableColumn>
    <tableColumn id="8" xr3:uid="{2E40B7B5-E2BF-4F46-8610-E0080F5DACBD}" name="ON PROCESS" totalsRowFunction="custom" totalsRowDxfId="62">
      <totalsRowFormula>SUBTOTAL(109, TEMPLATE_14_INCH[ON PROCESS])</totalsRowFormula>
    </tableColumn>
    <tableColumn id="4" xr3:uid="{ACDEF88D-D1C3-4B1F-894C-202E99EBF8E9}" name="CHROME OS" totalsRowFunction="custom" totalsRowDxfId="61">
      <totalsRowFormula>SUBTOTAL(109, TEMPLATE_14_INCH[CHROME OS])</totalsRowFormula>
    </tableColumn>
    <tableColumn id="5" xr3:uid="{2ECBE8BA-63BC-45F1-B80B-3654DDF8E047}" name="WINDOWS" totalsRowFunction="custom" totalsRowDxfId="60">
      <totalsRowFormula>SUBTOTAL(109, TEMPLATE_14_INCH[WINDOWS])</totalsRowFormula>
    </tableColumn>
    <tableColumn id="6" xr3:uid="{EAD79535-A3C7-43FB-9CCB-C7443B43FD85}" name="TOTAL : " totalsRowFunction="custom" dataDxfId="59" totalsRowDxfId="58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57">
      <totalsRowFormula>SUBTOTAL(109, TEMPLATE_14_INCH[BACKJOB])</totalsRowFormula>
    </tableColumn>
    <tableColumn id="9" xr3:uid="{D31E8141-E9EB-4AE4-9A2E-5B59A74AF13E}" name="TOTAL INVENTORY : " totalsRowFunction="custom" dataDxfId="56" totalsRowDxfId="55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54">
  <autoFilter ref="B2:J11" xr:uid="{A0942573-3D2A-4612-9F97-D46E99284621}"/>
  <tableColumns count="9">
    <tableColumn id="1" xr3:uid="{1C67AC96-2C7A-4556-AFAD-259A3248D46F}" name="NAME" totalsRowLabel="TOTAL : " dataDxfId="53" totalsRowDxfId="52"/>
    <tableColumn id="2" xr3:uid="{DABB5C53-2CDF-41B3-9D0D-DB9341665E4D}" name="UNCHECKED" totalsRowFunction="custom" dataDxfId="51" totalsRowDxfId="50">
      <totalsRowFormula>SUM(TEMPLATE_REGULAR[UNCHECKED])</totalsRowFormula>
    </tableColumn>
    <tableColumn id="3" xr3:uid="{D4CB0E69-46DD-4A99-9CE4-2A42D692C4D7}" name="CHECKED" totalsRowFunction="custom" dataDxfId="49" totalsRowDxfId="48">
      <totalsRowFormula>SUM(TEMPLATE_REGULAR[CHECKED])</totalsRowFormula>
    </tableColumn>
    <tableColumn id="4" xr3:uid="{82D116FE-5845-4C69-9D87-C369D84B4BC0}" name="ON PROCESS" totalsRowFunction="custom" dataDxfId="47" totalsRowDxfId="46">
      <totalsRowFormula>SUM(TEMPLATE_REGULAR[ON PROCESS])</totalsRowFormula>
    </tableColumn>
    <tableColumn id="5" xr3:uid="{814FF9B6-6A0F-436B-8EEA-3028CDA5891C}" name="CHROME OS" totalsRowFunction="custom" dataDxfId="45" totalsRowDxfId="44">
      <totalsRowFormula>SUM(TEMPLATE_REGULAR[CHROME OS])</totalsRowFormula>
    </tableColumn>
    <tableColumn id="6" xr3:uid="{6CCD520B-C9ED-4C70-BBE0-636C8372FD39}" name="WINDOWS" totalsRowFunction="custom" dataDxfId="43" totalsRowDxfId="42">
      <totalsRowFormula>SUM(TEMPLATE_REGULAR[WINDOWS])</totalsRowFormula>
    </tableColumn>
    <tableColumn id="7" xr3:uid="{B0445342-6B9D-4F87-A291-1CC3BEB5A493}" name="TOTAL" totalsRowFunction="custom" dataDxfId="41" totalsRowDxfId="40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39" totalsRowDxfId="38">
      <totalsRowFormula>SUM(TEMPLATE_REGULAR[BACKJOB])</totalsRowFormula>
    </tableColumn>
    <tableColumn id="9" xr3:uid="{C9D37CF1-C98E-4D9E-9A35-229E5D0E639B}" name="TOTAL INVENTORY:" totalsRowFunction="custom" dataDxfId="37" totalsRowDxfId="36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35" totalsRowDxfId="34"/>
    <tableColumn id="2" xr3:uid="{22990DB1-5844-4D1B-ADAC-BE4EAC70F548}" name="UNCHECKED" totalsRowFunction="custom" totalsRowDxfId="33">
      <totalsRowFormula>SUBTOTAL(109, TEMPLATE_14_INCH5[UNCHECKED])</totalsRowFormula>
    </tableColumn>
    <tableColumn id="3" xr3:uid="{CCA6FBA7-11AB-4D60-B714-E34A83FC8A88}" name="CHECKED" totalsRowFunction="custom" totalsRowDxfId="32">
      <totalsRowFormula>SUBTOTAL(109, TEMPLATE_14_INCH5[CHECKED])</totalsRowFormula>
    </tableColumn>
    <tableColumn id="8" xr3:uid="{401ABD6E-5904-41AE-8A65-A8BC1F8D9DC2}" name="ON PROCESS" totalsRowFunction="custom" totalsRowDxfId="31">
      <totalsRowFormula>SUBTOTAL(109, TEMPLATE_14_INCH5[ON PROCESS])</totalsRowFormula>
    </tableColumn>
    <tableColumn id="4" xr3:uid="{25473A3F-2B28-43BA-8BB2-D9270FF80141}" name="CHROME OS" totalsRowFunction="custom" totalsRowDxfId="30">
      <totalsRowFormula>SUBTOTAL(109, TEMPLATE_14_INCH5[CHROME OS])</totalsRowFormula>
    </tableColumn>
    <tableColumn id="5" xr3:uid="{94219E22-D6E6-4273-9273-F4F0CFFAB534}" name="WINDOWS" totalsRowFunction="custom" totalsRowDxfId="29">
      <totalsRowFormula>SUBTOTAL(109, TEMPLATE_14_INCH5[WINDOWS])</totalsRowFormula>
    </tableColumn>
    <tableColumn id="6" xr3:uid="{ED8178B9-21BC-4714-886A-7E38FF0CDD54}" name="TOTAL : " totalsRowFunction="custom" dataDxfId="28" totalsRowDxfId="27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26">
      <totalsRowFormula>SUBTOTAL(109, TEMPLATE_14_INCH5[BACKJOB])</totalsRowFormula>
    </tableColumn>
    <tableColumn id="9" xr3:uid="{09521353-8272-4576-B6A4-8EAC15ECA5B4}" name="TOTAL INVENTORY : " totalsRowFunction="custom" dataDxfId="25" totalsRowDxfId="24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51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  <c r="J2" t="e" cm="1">
        <f t="array" aca="1" ref="J2:J11" ca="1">_xlfn._xlws.FILTER(_TBL_INVENTORY_LAPTOP[NAME], _TBL_INVENTORY_LAPTOP[VARIANT] = "14'")</f>
        <v>#NAME?</v>
      </c>
    </row>
    <row r="3" spans="1:10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  <c r="J3" t="e">
        <f ca="1"/>
        <v>#NAME?</v>
      </c>
    </row>
    <row r="4" spans="1:10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  <c r="J4" t="e">
        <f ca="1"/>
        <v>#NAME?</v>
      </c>
    </row>
    <row r="5" spans="1:10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  <c r="J5" t="e">
        <f ca="1"/>
        <v>#NAME?</v>
      </c>
    </row>
    <row r="6" spans="1:10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  <c r="J6" t="e">
        <f ca="1"/>
        <v>#NAME?</v>
      </c>
    </row>
    <row r="7" spans="1:10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  <c r="J7" t="e">
        <f ca="1"/>
        <v>#NAME?</v>
      </c>
    </row>
    <row r="8" spans="1:10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  <c r="J8" t="e">
        <f ca="1"/>
        <v>#NAME?</v>
      </c>
    </row>
    <row r="9" spans="1:10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  <c r="J9" t="e">
        <f ca="1"/>
        <v>#NAME?</v>
      </c>
    </row>
    <row r="10" spans="1:10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  <c r="J10" t="e">
        <f ca="1"/>
        <v>#NAME?</v>
      </c>
    </row>
    <row r="11" spans="1:10" x14ac:dyDescent="0.25">
      <c r="A11">
        <v>9</v>
      </c>
      <c r="B11" t="s">
        <v>31</v>
      </c>
      <c r="C11" t="s">
        <v>6</v>
      </c>
      <c r="D11" t="s">
        <v>8</v>
      </c>
      <c r="F11" t="s">
        <v>32</v>
      </c>
      <c r="G11" t="s">
        <v>28</v>
      </c>
      <c r="J11" t="e">
        <f ca="1"/>
        <v>#NAME?</v>
      </c>
    </row>
    <row r="12" spans="1:10" x14ac:dyDescent="0.25">
      <c r="A12">
        <v>10</v>
      </c>
      <c r="B12" t="s">
        <v>61</v>
      </c>
      <c r="C12" t="s">
        <v>6</v>
      </c>
      <c r="D12" t="s">
        <v>8</v>
      </c>
      <c r="F12" t="s">
        <v>32</v>
      </c>
      <c r="G12" t="s">
        <v>29</v>
      </c>
    </row>
    <row r="13" spans="1:10" x14ac:dyDescent="0.25">
      <c r="A13">
        <v>11</v>
      </c>
      <c r="B13" t="s">
        <v>62</v>
      </c>
      <c r="C13" t="s">
        <v>6</v>
      </c>
      <c r="D13" t="s">
        <v>7</v>
      </c>
      <c r="F13" t="s">
        <v>32</v>
      </c>
      <c r="G13" t="s">
        <v>28</v>
      </c>
    </row>
    <row r="14" spans="1:10" x14ac:dyDescent="0.25">
      <c r="A14">
        <v>12</v>
      </c>
      <c r="B14" t="s">
        <v>63</v>
      </c>
      <c r="C14" t="s">
        <v>6</v>
      </c>
      <c r="D14" t="s">
        <v>7</v>
      </c>
      <c r="F14" t="s">
        <v>32</v>
      </c>
      <c r="G14" t="s">
        <v>29</v>
      </c>
    </row>
    <row r="15" spans="1:10" x14ac:dyDescent="0.25">
      <c r="A15">
        <v>13</v>
      </c>
      <c r="B15" t="s">
        <v>64</v>
      </c>
      <c r="C15" t="s">
        <v>6</v>
      </c>
      <c r="D15" t="s">
        <v>12</v>
      </c>
      <c r="F15" t="s">
        <v>32</v>
      </c>
      <c r="G15" t="s">
        <v>29</v>
      </c>
    </row>
    <row r="16" spans="1:10" x14ac:dyDescent="0.25">
      <c r="A16">
        <v>14</v>
      </c>
      <c r="B16" t="s">
        <v>65</v>
      </c>
      <c r="C16" t="s">
        <v>6</v>
      </c>
      <c r="D16" t="s">
        <v>12</v>
      </c>
      <c r="F16" t="s">
        <v>32</v>
      </c>
      <c r="G16" t="s">
        <v>28</v>
      </c>
    </row>
    <row r="17" spans="1:7" x14ac:dyDescent="0.25">
      <c r="A17">
        <v>15</v>
      </c>
      <c r="B17" t="s">
        <v>66</v>
      </c>
      <c r="C17" t="s">
        <v>6</v>
      </c>
      <c r="D17" t="s">
        <v>14</v>
      </c>
      <c r="F17" t="s">
        <v>32</v>
      </c>
      <c r="G17" t="s">
        <v>28</v>
      </c>
    </row>
    <row r="18" spans="1:7" x14ac:dyDescent="0.25">
      <c r="A18">
        <v>16</v>
      </c>
      <c r="B18" t="s">
        <v>67</v>
      </c>
      <c r="C18" t="s">
        <v>6</v>
      </c>
      <c r="D18" t="s">
        <v>48</v>
      </c>
      <c r="F18" t="s">
        <v>32</v>
      </c>
      <c r="G18" t="s">
        <v>29</v>
      </c>
    </row>
    <row r="19" spans="1:7" x14ac:dyDescent="0.25">
      <c r="A19">
        <v>17</v>
      </c>
      <c r="B19" t="s">
        <v>68</v>
      </c>
      <c r="C19" t="s">
        <v>6</v>
      </c>
      <c r="D19" t="s">
        <v>7</v>
      </c>
      <c r="F19" t="s">
        <v>34</v>
      </c>
      <c r="G19" t="s">
        <v>28</v>
      </c>
    </row>
    <row r="20" spans="1:7" x14ac:dyDescent="0.25">
      <c r="A20">
        <v>18</v>
      </c>
      <c r="B20" t="s">
        <v>69</v>
      </c>
      <c r="C20" t="s">
        <v>6</v>
      </c>
      <c r="D20" t="s">
        <v>8</v>
      </c>
      <c r="F20" t="s">
        <v>34</v>
      </c>
      <c r="G20" t="s">
        <v>35</v>
      </c>
    </row>
    <row r="21" spans="1:7" x14ac:dyDescent="0.25">
      <c r="A21">
        <v>19</v>
      </c>
      <c r="B21" t="s">
        <v>33</v>
      </c>
      <c r="C21" t="s">
        <v>6</v>
      </c>
      <c r="D21" t="s">
        <v>8</v>
      </c>
      <c r="F21" t="s">
        <v>34</v>
      </c>
      <c r="G21" t="s">
        <v>28</v>
      </c>
    </row>
    <row r="22" spans="1:7" x14ac:dyDescent="0.25">
      <c r="A22">
        <v>20</v>
      </c>
      <c r="B22" t="s">
        <v>70</v>
      </c>
      <c r="C22" t="s">
        <v>6</v>
      </c>
      <c r="D22" t="s">
        <v>8</v>
      </c>
      <c r="F22" t="s">
        <v>34</v>
      </c>
      <c r="G22" t="s">
        <v>29</v>
      </c>
    </row>
    <row r="23" spans="1:7" x14ac:dyDescent="0.25">
      <c r="A23">
        <v>21</v>
      </c>
      <c r="B23" t="s">
        <v>71</v>
      </c>
      <c r="C23" t="s">
        <v>6</v>
      </c>
      <c r="D23" t="s">
        <v>8</v>
      </c>
      <c r="F23" t="s">
        <v>34</v>
      </c>
      <c r="G23" t="s">
        <v>72</v>
      </c>
    </row>
    <row r="24" spans="1:7" x14ac:dyDescent="0.25">
      <c r="A24">
        <v>22</v>
      </c>
      <c r="B24" t="s">
        <v>73</v>
      </c>
      <c r="C24" t="s">
        <v>6</v>
      </c>
      <c r="D24" t="s">
        <v>8</v>
      </c>
      <c r="F24" t="s">
        <v>34</v>
      </c>
      <c r="G24" t="s">
        <v>74</v>
      </c>
    </row>
    <row r="25" spans="1:7" x14ac:dyDescent="0.25">
      <c r="A25">
        <v>23</v>
      </c>
      <c r="B25" t="s">
        <v>75</v>
      </c>
      <c r="C25" t="s">
        <v>6</v>
      </c>
      <c r="D25" t="s">
        <v>12</v>
      </c>
      <c r="F25" t="s">
        <v>34</v>
      </c>
      <c r="G25" t="s">
        <v>35</v>
      </c>
    </row>
    <row r="26" spans="1:7" x14ac:dyDescent="0.25">
      <c r="A26">
        <v>24</v>
      </c>
      <c r="B26" t="s">
        <v>76</v>
      </c>
      <c r="C26" t="s">
        <v>6</v>
      </c>
      <c r="D26" t="s">
        <v>12</v>
      </c>
      <c r="F26" t="s">
        <v>34</v>
      </c>
      <c r="G26" t="s">
        <v>28</v>
      </c>
    </row>
    <row r="27" spans="1:7" x14ac:dyDescent="0.25">
      <c r="A27">
        <v>25</v>
      </c>
      <c r="B27" t="s">
        <v>77</v>
      </c>
      <c r="C27" t="s">
        <v>6</v>
      </c>
      <c r="D27" t="s">
        <v>13</v>
      </c>
      <c r="F27" t="s">
        <v>34</v>
      </c>
      <c r="G27" t="s">
        <v>35</v>
      </c>
    </row>
    <row r="28" spans="1:7" x14ac:dyDescent="0.25">
      <c r="A28">
        <v>26</v>
      </c>
      <c r="B28" t="s">
        <v>78</v>
      </c>
      <c r="C28" t="s">
        <v>6</v>
      </c>
      <c r="D28" t="s">
        <v>14</v>
      </c>
      <c r="F28" t="s">
        <v>34</v>
      </c>
      <c r="G28" t="s">
        <v>28</v>
      </c>
    </row>
    <row r="29" spans="1:7" x14ac:dyDescent="0.25">
      <c r="A29">
        <v>27</v>
      </c>
      <c r="B29" t="s">
        <v>79</v>
      </c>
      <c r="C29" t="s">
        <v>6</v>
      </c>
      <c r="D29" t="s">
        <v>7</v>
      </c>
      <c r="F29" t="s">
        <v>37</v>
      </c>
      <c r="G29" t="s">
        <v>28</v>
      </c>
    </row>
    <row r="30" spans="1:7" x14ac:dyDescent="0.25">
      <c r="A30">
        <v>28</v>
      </c>
      <c r="B30" t="s">
        <v>80</v>
      </c>
      <c r="C30" t="s">
        <v>6</v>
      </c>
      <c r="D30" t="s">
        <v>7</v>
      </c>
      <c r="F30" t="s">
        <v>37</v>
      </c>
      <c r="G30" t="s">
        <v>29</v>
      </c>
    </row>
    <row r="31" spans="1:7" x14ac:dyDescent="0.25">
      <c r="A31">
        <v>29</v>
      </c>
      <c r="B31" t="s">
        <v>81</v>
      </c>
      <c r="C31" t="s">
        <v>6</v>
      </c>
      <c r="D31" t="s">
        <v>7</v>
      </c>
      <c r="F31" t="s">
        <v>37</v>
      </c>
      <c r="G31" t="s">
        <v>36</v>
      </c>
    </row>
    <row r="32" spans="1:7" x14ac:dyDescent="0.25">
      <c r="A32">
        <v>30</v>
      </c>
      <c r="B32" t="s">
        <v>82</v>
      </c>
      <c r="C32" t="s">
        <v>6</v>
      </c>
      <c r="D32" t="s">
        <v>12</v>
      </c>
      <c r="F32" t="s">
        <v>37</v>
      </c>
      <c r="G32" t="s">
        <v>28</v>
      </c>
    </row>
    <row r="33" spans="1:7" x14ac:dyDescent="0.25">
      <c r="A33">
        <v>31</v>
      </c>
      <c r="B33" t="s">
        <v>83</v>
      </c>
      <c r="C33" t="s">
        <v>6</v>
      </c>
      <c r="D33" t="s">
        <v>12</v>
      </c>
      <c r="F33" t="s">
        <v>37</v>
      </c>
      <c r="G33" t="s">
        <v>29</v>
      </c>
    </row>
    <row r="34" spans="1:7" x14ac:dyDescent="0.25">
      <c r="A34">
        <v>32</v>
      </c>
      <c r="B34" t="s">
        <v>84</v>
      </c>
      <c r="C34" t="s">
        <v>6</v>
      </c>
      <c r="D34" t="s">
        <v>14</v>
      </c>
      <c r="F34" t="s">
        <v>37</v>
      </c>
      <c r="G34" t="s">
        <v>28</v>
      </c>
    </row>
    <row r="35" spans="1:7" x14ac:dyDescent="0.25">
      <c r="A35">
        <v>33</v>
      </c>
      <c r="B35" t="s">
        <v>85</v>
      </c>
      <c r="C35" t="s">
        <v>6</v>
      </c>
      <c r="D35" t="s">
        <v>14</v>
      </c>
      <c r="F35" t="s">
        <v>37</v>
      </c>
      <c r="G35" t="s">
        <v>29</v>
      </c>
    </row>
    <row r="36" spans="1:7" x14ac:dyDescent="0.25">
      <c r="A36">
        <v>34</v>
      </c>
      <c r="B36" t="s">
        <v>86</v>
      </c>
      <c r="C36" t="s">
        <v>6</v>
      </c>
      <c r="D36" t="s">
        <v>14</v>
      </c>
      <c r="F36" t="s">
        <v>37</v>
      </c>
      <c r="G36" t="s">
        <v>87</v>
      </c>
    </row>
    <row r="37" spans="1:7" x14ac:dyDescent="0.25">
      <c r="A37">
        <v>35</v>
      </c>
      <c r="B37" t="s">
        <v>88</v>
      </c>
      <c r="C37" t="s">
        <v>6</v>
      </c>
      <c r="D37" t="s">
        <v>8</v>
      </c>
      <c r="F37" t="s">
        <v>37</v>
      </c>
      <c r="G37" t="s">
        <v>29</v>
      </c>
    </row>
    <row r="38" spans="1:7" x14ac:dyDescent="0.25">
      <c r="A38">
        <v>36</v>
      </c>
      <c r="B38" t="s">
        <v>89</v>
      </c>
      <c r="C38" t="s">
        <v>6</v>
      </c>
      <c r="D38" t="s">
        <v>8</v>
      </c>
      <c r="F38" t="s">
        <v>37</v>
      </c>
      <c r="G38" t="s">
        <v>87</v>
      </c>
    </row>
    <row r="39" spans="1:7" x14ac:dyDescent="0.25">
      <c r="A39">
        <v>37</v>
      </c>
      <c r="B39" t="s">
        <v>90</v>
      </c>
      <c r="C39" t="s">
        <v>6</v>
      </c>
      <c r="D39" t="s">
        <v>13</v>
      </c>
      <c r="F39" t="s">
        <v>37</v>
      </c>
      <c r="G39" t="s">
        <v>29</v>
      </c>
    </row>
    <row r="40" spans="1:7" x14ac:dyDescent="0.25">
      <c r="A40">
        <v>38</v>
      </c>
      <c r="B40" t="s">
        <v>91</v>
      </c>
      <c r="C40" t="s">
        <v>6</v>
      </c>
      <c r="D40" t="s">
        <v>48</v>
      </c>
      <c r="F40" t="s">
        <v>37</v>
      </c>
      <c r="G40" t="s">
        <v>29</v>
      </c>
    </row>
    <row r="41" spans="1:7" x14ac:dyDescent="0.25">
      <c r="A41">
        <v>39</v>
      </c>
      <c r="B41" t="s">
        <v>92</v>
      </c>
      <c r="C41" t="s">
        <v>6</v>
      </c>
      <c r="D41" t="s">
        <v>49</v>
      </c>
      <c r="F41" t="s">
        <v>38</v>
      </c>
    </row>
    <row r="42" spans="1:7" x14ac:dyDescent="0.25">
      <c r="A42">
        <v>40</v>
      </c>
      <c r="B42" t="s">
        <v>93</v>
      </c>
      <c r="C42" t="s">
        <v>6</v>
      </c>
      <c r="D42" t="s">
        <v>49</v>
      </c>
      <c r="F42" t="s">
        <v>39</v>
      </c>
    </row>
    <row r="43" spans="1:7" x14ac:dyDescent="0.25">
      <c r="A43">
        <v>41</v>
      </c>
      <c r="B43" t="s">
        <v>50</v>
      </c>
      <c r="C43" t="s">
        <v>6</v>
      </c>
      <c r="D43" t="s">
        <v>50</v>
      </c>
    </row>
    <row r="44" spans="1:7" x14ac:dyDescent="0.25">
      <c r="A44">
        <v>42</v>
      </c>
      <c r="B44" t="s">
        <v>94</v>
      </c>
      <c r="C44" t="s">
        <v>6</v>
      </c>
      <c r="D44" t="s">
        <v>7</v>
      </c>
      <c r="F44" t="s">
        <v>38</v>
      </c>
    </row>
    <row r="45" spans="1:7" x14ac:dyDescent="0.25">
      <c r="A45">
        <v>43</v>
      </c>
      <c r="B45" t="s">
        <v>95</v>
      </c>
      <c r="C45" t="s">
        <v>6</v>
      </c>
      <c r="D45" t="s">
        <v>7</v>
      </c>
      <c r="F45" t="s">
        <v>39</v>
      </c>
    </row>
    <row r="46" spans="1:7" x14ac:dyDescent="0.25">
      <c r="A46">
        <v>44</v>
      </c>
      <c r="B46" t="s">
        <v>96</v>
      </c>
      <c r="C46" t="s">
        <v>6</v>
      </c>
      <c r="D46" t="s">
        <v>7</v>
      </c>
      <c r="F46" t="s">
        <v>97</v>
      </c>
    </row>
    <row r="47" spans="1:7" x14ac:dyDescent="0.25">
      <c r="A47">
        <v>45</v>
      </c>
      <c r="B47" t="s">
        <v>51</v>
      </c>
      <c r="C47" t="s">
        <v>6</v>
      </c>
      <c r="D47" t="s">
        <v>51</v>
      </c>
    </row>
    <row r="48" spans="1:7" x14ac:dyDescent="0.25">
      <c r="A48">
        <v>46</v>
      </c>
      <c r="B48" t="s">
        <v>52</v>
      </c>
      <c r="C48" t="s">
        <v>6</v>
      </c>
      <c r="D48" t="s">
        <v>52</v>
      </c>
    </row>
    <row r="49" spans="1:6" x14ac:dyDescent="0.25">
      <c r="A49">
        <v>47</v>
      </c>
      <c r="B49" t="s">
        <v>113</v>
      </c>
      <c r="C49" t="s">
        <v>6</v>
      </c>
      <c r="D49" t="s">
        <v>14</v>
      </c>
      <c r="F49" t="s">
        <v>38</v>
      </c>
    </row>
    <row r="50" spans="1:6" x14ac:dyDescent="0.25">
      <c r="A50">
        <v>48</v>
      </c>
      <c r="B50" t="s">
        <v>114</v>
      </c>
      <c r="C50" t="s">
        <v>6</v>
      </c>
      <c r="D50" t="s">
        <v>14</v>
      </c>
      <c r="F50" t="s">
        <v>39</v>
      </c>
    </row>
    <row r="51" spans="1:6" x14ac:dyDescent="0.25">
      <c r="A51">
        <v>49</v>
      </c>
      <c r="B51" t="s">
        <v>53</v>
      </c>
      <c r="C51" t="s">
        <v>6</v>
      </c>
      <c r="D51" t="s">
        <v>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3"/>
  <sheetViews>
    <sheetView tabSelected="1" workbookViewId="0">
      <selection activeCell="E19" sqref="E19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2" t="s">
        <v>17</v>
      </c>
      <c r="E2" s="2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>
        <v>20</v>
      </c>
      <c r="E3" s="14">
        <v>5</v>
      </c>
      <c r="F3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15</v>
      </c>
      <c r="G3" s="20">
        <v>1</v>
      </c>
      <c r="H3" s="26"/>
      <c r="I3" s="21"/>
    </row>
    <row r="4" spans="2:9" x14ac:dyDescent="0.25">
      <c r="B4" s="3">
        <v>45767</v>
      </c>
      <c r="C4" s="15" t="s">
        <v>56</v>
      </c>
      <c r="D4" s="5">
        <v>20</v>
      </c>
      <c r="E4" s="16">
        <v>10</v>
      </c>
      <c r="F4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58</v>
      </c>
      <c r="D5" s="5">
        <v>7</v>
      </c>
      <c r="E5" s="16">
        <v>7</v>
      </c>
      <c r="F5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0</v>
      </c>
      <c r="G5" s="22"/>
      <c r="H5" s="2"/>
      <c r="I5" s="23"/>
    </row>
    <row r="6" spans="2:9" x14ac:dyDescent="0.25">
      <c r="B6" s="3">
        <v>45773</v>
      </c>
      <c r="C6" s="15" t="s">
        <v>55</v>
      </c>
      <c r="D6" s="5">
        <v>20</v>
      </c>
      <c r="E6" s="16">
        <v>5</v>
      </c>
      <c r="F6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30</v>
      </c>
      <c r="G6" s="22"/>
      <c r="H6" s="2"/>
      <c r="I6" s="23"/>
    </row>
    <row r="7" spans="2:9" x14ac:dyDescent="0.25">
      <c r="B7" s="3">
        <v>45774</v>
      </c>
      <c r="C7" s="15" t="s">
        <v>55</v>
      </c>
      <c r="D7" s="5"/>
      <c r="E7" s="16">
        <v>7</v>
      </c>
      <c r="F7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23</v>
      </c>
      <c r="G7" s="22"/>
      <c r="H7" s="2"/>
      <c r="I7" s="23"/>
    </row>
    <row r="8" spans="2:9" hidden="1" x14ac:dyDescent="0.25">
      <c r="B8" s="3"/>
      <c r="C8" s="15"/>
      <c r="D8" s="5"/>
      <c r="E8" s="16"/>
      <c r="F8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8" s="22"/>
      <c r="H8" s="2"/>
      <c r="I8" s="23"/>
    </row>
    <row r="9" spans="2:9" hidden="1" x14ac:dyDescent="0.25">
      <c r="B9" s="3"/>
      <c r="C9" s="15"/>
      <c r="D9" s="5"/>
      <c r="E9" s="16"/>
      <c r="F9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9" s="22"/>
      <c r="H9" s="2"/>
      <c r="I9" s="23"/>
    </row>
    <row r="10" spans="2:9" hidden="1" x14ac:dyDescent="0.25">
      <c r="B10" s="3"/>
      <c r="C10" s="15"/>
      <c r="D10" s="5"/>
      <c r="E10" s="16"/>
      <c r="F10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0" s="22"/>
      <c r="H10" s="2"/>
      <c r="I10" s="23"/>
    </row>
    <row r="11" spans="2:9" ht="15.75" hidden="1" thickBot="1" x14ac:dyDescent="0.3">
      <c r="C11" s="17"/>
      <c r="D11" s="18"/>
      <c r="E11" s="19"/>
      <c r="F11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SUBTOTAL(103,LAPTOP_INVENTORY[DATE]))</f>
        <v>COUNT: 5</v>
      </c>
      <c r="C12" s="7" t="s">
        <v>22</v>
      </c>
      <c r="D12" s="6">
        <f>SUBTOTAL(109,LAPTOP_INVENTORY[IN])</f>
        <v>67</v>
      </c>
      <c r="E12" s="6">
        <f>SUBTOTAL(109,LAPTOP_INVENTORY[OUT])</f>
        <v>34</v>
      </c>
      <c r="F12" s="6">
        <f>SUBTOTAL(109,LAPTOP_INVENTORY[TOTAL])</f>
        <v>78</v>
      </c>
      <c r="G12" s="6">
        <f>SUBTOTAL(109,LAPTOP_INVENTORY[BACKJOB])</f>
        <v>2</v>
      </c>
      <c r="H12" s="2"/>
      <c r="I12" s="4"/>
    </row>
    <row r="13" spans="2:9" x14ac:dyDescent="0.25">
      <c r="C13" s="8" t="s">
        <v>23</v>
      </c>
      <c r="D13" s="9">
        <f>SUM(LAPTOP_INVENTORY[IN])</f>
        <v>67</v>
      </c>
      <c r="E13" s="9">
        <f>SUM(LAPTOP_INVENTORY[OUT])</f>
        <v>34</v>
      </c>
      <c r="F13" s="9">
        <f>SUM(LAPTOP_INVENTORY[TOTAL])</f>
        <v>78</v>
      </c>
      <c r="G13" s="9">
        <f>SUM(LAPTOP_INVENTORY[BACKJOB])</f>
        <v>2</v>
      </c>
    </row>
  </sheetData>
  <mergeCells count="1">
    <mergeCell ref="C1:E1"/>
  </mergeCells>
  <dataValidations count="1">
    <dataValidation type="list" showInput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dimension ref="B1:I13"/>
  <sheetViews>
    <sheetView workbookViewId="0">
      <selection activeCell="E3" sqref="E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112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104</v>
      </c>
      <c r="D3" s="13">
        <v>55</v>
      </c>
      <c r="E3" s="14">
        <v>5</v>
      </c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50</v>
      </c>
      <c r="G3" s="20">
        <v>2</v>
      </c>
      <c r="H3" s="26"/>
      <c r="I3" s="21"/>
    </row>
    <row r="4" spans="2:9" x14ac:dyDescent="0.25">
      <c r="B4" s="3">
        <v>45770</v>
      </c>
      <c r="C4" s="15" t="s">
        <v>106</v>
      </c>
      <c r="D4" s="5">
        <v>5</v>
      </c>
      <c r="E4" s="16">
        <v>5</v>
      </c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4" s="22">
        <v>5</v>
      </c>
      <c r="H4" s="2"/>
      <c r="I4" s="23"/>
    </row>
    <row r="5" spans="2:9" x14ac:dyDescent="0.25">
      <c r="B5" s="3"/>
      <c r="C5" s="15"/>
      <c r="D5" s="5"/>
      <c r="E5" s="16"/>
      <c r="F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SUBTOTAL(103,PRINTER_INVENTORY[DATE]))</f>
        <v>COUNT: 2</v>
      </c>
      <c r="C12" s="7" t="s">
        <v>22</v>
      </c>
      <c r="D12" s="6">
        <f>SUBTOTAL(109,PRINTER_INVENTORY[IN])</f>
        <v>60</v>
      </c>
      <c r="E12" s="6">
        <f>SUBTOTAL(109,PRINTER_INVENTORY[OUT])</f>
        <v>10</v>
      </c>
      <c r="F12" s="6">
        <f>SUBTOTAL(109,PRINTER_INVENTORY[TOTAL])</f>
        <v>50</v>
      </c>
      <c r="G12" s="6">
        <f>SUBTOTAL(109,PRINTER_INVENTORY[BACKJOB])</f>
        <v>7</v>
      </c>
      <c r="H12" s="2"/>
      <c r="I12" s="4"/>
    </row>
    <row r="13" spans="2:9" x14ac:dyDescent="0.25">
      <c r="C13" s="8" t="s">
        <v>23</v>
      </c>
      <c r="D13" s="9">
        <f>SUM(PRINTER_INVENTORY[IN])</f>
        <v>60</v>
      </c>
      <c r="E13" s="9">
        <f>SUM(PRINTER_INVENTORY[OUT])</f>
        <v>10</v>
      </c>
      <c r="F13" s="9">
        <f>SUM(PRINTER_INVENTORY[TOTAL])</f>
        <v>50</v>
      </c>
      <c r="G13" s="9">
        <f>SUM(PRINTER_INVENTORY[BACKJOB])</f>
        <v>7</v>
      </c>
    </row>
  </sheetData>
  <mergeCells count="1">
    <mergeCell ref="C1:E1"/>
  </mergeCells>
  <dataValidations count="1">
    <dataValidation type="list" showInputMessage="1" sqref="C3:C11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104</v>
      </c>
      <c r="C2" t="s">
        <v>105</v>
      </c>
      <c r="E2" t="s">
        <v>104</v>
      </c>
    </row>
    <row r="3" spans="1:7" x14ac:dyDescent="0.25">
      <c r="A3">
        <v>99</v>
      </c>
      <c r="B3" t="s">
        <v>106</v>
      </c>
      <c r="C3" t="s">
        <v>105</v>
      </c>
      <c r="E3" t="s">
        <v>106</v>
      </c>
    </row>
    <row r="4" spans="1:7" x14ac:dyDescent="0.25">
      <c r="A4">
        <v>100</v>
      </c>
      <c r="B4" t="s">
        <v>107</v>
      </c>
      <c r="C4" t="s">
        <v>105</v>
      </c>
      <c r="E4" t="s">
        <v>107</v>
      </c>
    </row>
    <row r="5" spans="1:7" x14ac:dyDescent="0.25">
      <c r="A5">
        <v>101</v>
      </c>
      <c r="B5" t="s">
        <v>108</v>
      </c>
      <c r="C5" t="s">
        <v>105</v>
      </c>
      <c r="E5" t="s">
        <v>108</v>
      </c>
    </row>
    <row r="6" spans="1:7" x14ac:dyDescent="0.25">
      <c r="A6">
        <v>102</v>
      </c>
      <c r="B6" t="s">
        <v>109</v>
      </c>
      <c r="C6" t="s">
        <v>105</v>
      </c>
      <c r="E6" t="s">
        <v>109</v>
      </c>
    </row>
    <row r="7" spans="1:7" x14ac:dyDescent="0.25">
      <c r="A7">
        <v>103</v>
      </c>
      <c r="B7" t="s">
        <v>110</v>
      </c>
      <c r="C7" t="s">
        <v>105</v>
      </c>
      <c r="E7" t="s">
        <v>110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95</v>
      </c>
      <c r="B2" t="s">
        <v>98</v>
      </c>
      <c r="C2" t="s">
        <v>15</v>
      </c>
      <c r="E2" t="s">
        <v>99</v>
      </c>
      <c r="F2" t="s">
        <v>39</v>
      </c>
      <c r="G2" t="s">
        <v>100</v>
      </c>
    </row>
    <row r="3" spans="1:7" x14ac:dyDescent="0.25">
      <c r="A3">
        <v>96</v>
      </c>
      <c r="B3" t="s">
        <v>101</v>
      </c>
      <c r="C3" t="s">
        <v>15</v>
      </c>
      <c r="E3" t="s">
        <v>102</v>
      </c>
      <c r="F3" t="s">
        <v>40</v>
      </c>
    </row>
    <row r="4" spans="1:7" x14ac:dyDescent="0.25">
      <c r="A4">
        <v>97</v>
      </c>
      <c r="B4" t="s">
        <v>103</v>
      </c>
      <c r="C4" t="s">
        <v>15</v>
      </c>
      <c r="E4" t="s">
        <v>103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13"/>
  <sheetViews>
    <sheetView workbookViewId="0">
      <selection activeCell="E3" sqref="E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98</v>
      </c>
      <c r="D3" s="13">
        <v>20</v>
      </c>
      <c r="E3" s="14">
        <v>5</v>
      </c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15</v>
      </c>
      <c r="G3" s="20">
        <v>1</v>
      </c>
      <c r="H3" s="26"/>
      <c r="I3" s="21"/>
    </row>
    <row r="4" spans="2:9" x14ac:dyDescent="0.25">
      <c r="B4" s="3">
        <v>45770</v>
      </c>
      <c r="C4" s="15" t="s">
        <v>98</v>
      </c>
      <c r="D4" s="5"/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101</v>
      </c>
      <c r="D5" s="5">
        <v>100</v>
      </c>
      <c r="E5" s="16">
        <v>20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80</v>
      </c>
      <c r="G5" s="22"/>
      <c r="H5" s="2"/>
      <c r="I5" s="23"/>
    </row>
    <row r="6" spans="2:9" x14ac:dyDescent="0.25">
      <c r="B6" s="3"/>
      <c r="C6" s="15" t="s">
        <v>101</v>
      </c>
      <c r="D6" s="5"/>
      <c r="E6" s="16"/>
      <c r="F6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0</v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2"/>
      <c r="I10" s="23"/>
    </row>
    <row r="11" spans="2:9" ht="15.75" thickBot="1" x14ac:dyDescent="0.3">
      <c r="C11" s="28"/>
      <c r="D11" s="18"/>
      <c r="E11" s="19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SUBTOTAL(103,PC_INVENTORY[DATE]))</f>
        <v>COUNT: 3</v>
      </c>
      <c r="C12" s="7" t="s">
        <v>22</v>
      </c>
      <c r="D12" s="6">
        <f>SUBTOTAL(109,PC_INVENTORY[IN])</f>
        <v>120</v>
      </c>
      <c r="E12" s="6">
        <f>SUBTOTAL(109,PC_INVENTORY[OUT])</f>
        <v>30</v>
      </c>
      <c r="F12" s="6">
        <f>SUBTOTAL(109,PC_INVENTORY[TOTAL])</f>
        <v>105</v>
      </c>
      <c r="G12" s="6">
        <f>SUBTOTAL(109,PC_INVENTORY[BACKJOB])</f>
        <v>2</v>
      </c>
      <c r="H12" s="2"/>
      <c r="I12" s="4"/>
    </row>
    <row r="13" spans="2:9" x14ac:dyDescent="0.25">
      <c r="C13" s="8" t="s">
        <v>23</v>
      </c>
      <c r="D13" s="9">
        <f>SUM(PC_INVENTORY[IN])</f>
        <v>120</v>
      </c>
      <c r="E13" s="9">
        <f>SUM(PC_INVENTORY[OUT])</f>
        <v>30</v>
      </c>
      <c r="F13" s="9">
        <f>SUM(PC_INVENTORY[TOTAL])</f>
        <v>105</v>
      </c>
      <c r="G13" s="9">
        <f>SUM(PC_INVENTORY[BACKJOB])</f>
        <v>2</v>
      </c>
    </row>
  </sheetData>
  <mergeCells count="1">
    <mergeCell ref="C1:E1"/>
  </mergeCells>
  <dataValidations count="1">
    <dataValidation type="list" showInputMessage="1" sqref="C3:C1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87" workbookViewId="0">
      <selection activeCell="C3" sqref="C3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0" t="s">
        <v>27</v>
      </c>
      <c r="D1" s="30"/>
      <c r="E1" s="30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0" t="s">
        <v>32</v>
      </c>
      <c r="D14" s="30"/>
      <c r="E14" s="30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0" t="s">
        <v>46</v>
      </c>
      <c r="D29" s="30"/>
      <c r="E29" s="30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0" t="s">
        <v>111</v>
      </c>
      <c r="D46" s="30"/>
      <c r="E46" s="30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_TBL_INVENTORY_LAPTOP</vt:lpstr>
      <vt:lpstr>LAPTOP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2025-04-26T06:20:41Z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