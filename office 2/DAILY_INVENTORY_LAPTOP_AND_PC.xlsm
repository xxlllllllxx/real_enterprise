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office 2\"/>
    </mc:Choice>
  </mc:AlternateContent>
  <xr:revisionPtr revIDLastSave="0" documentId="13_ncr:1_{0E8FD0C0-2562-4A22-9AC2-FCCDDCA78AC7}" xr6:coauthVersionLast="47" xr6:coauthVersionMax="47" xr10:uidLastSave="{00000000-0000-0000-0000-000000000000}"/>
  <bookViews>
    <workbookView xWindow="-120" yWindow="-120" windowWidth="29040" windowHeight="15720" firstSheet="1" activeTab="5" xr2:uid="{00000000-000D-0000-FFFF-FFFF00000000}"/>
  </bookViews>
  <sheets>
    <sheet name="_TBL_INVENTORY_LAPTOP" sheetId="4" state="hidden" r:id="rId1"/>
    <sheet name="LAPTOP" sheetId="2" r:id="rId2"/>
    <sheet name="PRINTER" sheetId="16" r:id="rId3"/>
    <sheet name="_TBL_INVENTORY_PRINTER" sheetId="15" state="hidden" r:id="rId4"/>
    <sheet name="_TBL_INVENTORY_PC" sheetId="14" state="hidden" r:id="rId5"/>
    <sheet name="PC" sheetId="12" r:id="rId6"/>
    <sheet name="TEMPLATE" sheetId="11" r:id="rId7"/>
  </sheets>
  <functionGroups builtInGroupCount="19"/>
  <definedNames>
    <definedName name="_xlcn.WorksheetConnection_DAILY_INVENTORY.xlsx_TBL_BRAND1" hidden="1">_TBL_BRAND</definedName>
    <definedName name="_xlcn.WorksheetConnection_DAILY_INVENTORY.xlsx_TBL_INVENTORY1" hidden="1">'_TBL_INVENTORY_LAPTOP'!$A$2:$N$8</definedName>
    <definedName name="ExternalData_1" localSheetId="0" hidden="1">'_TBL_INVENTORY_LAPTOP'!$A$2:$G$51</definedName>
    <definedName name="ExternalData_1" localSheetId="4" hidden="1">'_TBL_INVENTORY_PC'!$A$1:$G$4</definedName>
    <definedName name="ExternalData_2" localSheetId="3" hidden="1">'_TBL_INVENTORY_PRINTER'!$A$1:$G$7</definedName>
    <definedName name="NAMES_INVENTORY">OFFSET(_TBL_INVENTORY_LAPTOP[NAME], 0, 0, COUNTA(_TBL_INVENTORY_LAPTOP[NAME]), 1)</definedName>
    <definedName name="NAMES_INVENTORY_PC">_TBL_INVENTORY_PC[NAME]</definedName>
    <definedName name="NAMES_INVENTORY_PRINTERS">_TBL_INVENTORY_PRINTER[NAME]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2" l="1"/>
  <c r="F5" i="2"/>
  <c r="F6" i="2"/>
  <c r="F7" i="2"/>
  <c r="F8" i="2"/>
  <c r="F9" i="2"/>
  <c r="F10" i="2"/>
  <c r="F11" i="2"/>
  <c r="F3" i="2"/>
  <c r="F4" i="16"/>
  <c r="F5" i="16"/>
  <c r="F6" i="16"/>
  <c r="F7" i="16"/>
  <c r="F8" i="16"/>
  <c r="F9" i="16"/>
  <c r="F10" i="16"/>
  <c r="F11" i="16"/>
  <c r="F3" i="16"/>
  <c r="F3" i="12"/>
  <c r="F5" i="12"/>
  <c r="F6" i="12"/>
  <c r="F7" i="12"/>
  <c r="F8" i="12"/>
  <c r="F9" i="12"/>
  <c r="F10" i="12"/>
  <c r="F11" i="12"/>
  <c r="F4" i="12"/>
  <c r="I61" i="11"/>
  <c r="G61" i="11"/>
  <c r="F61" i="11"/>
  <c r="E61" i="11"/>
  <c r="D61" i="11"/>
  <c r="C61" i="11"/>
  <c r="H60" i="11"/>
  <c r="J60" i="11" s="1"/>
  <c r="H59" i="11"/>
  <c r="J59" i="11" s="1"/>
  <c r="J58" i="11"/>
  <c r="H58" i="11"/>
  <c r="H57" i="11"/>
  <c r="J57" i="11" s="1"/>
  <c r="H56" i="11"/>
  <c r="J56" i="11" s="1"/>
  <c r="H55" i="11"/>
  <c r="J55" i="11" s="1"/>
  <c r="J54" i="11"/>
  <c r="H54" i="11"/>
  <c r="H53" i="11"/>
  <c r="J53" i="11" s="1"/>
  <c r="H52" i="11"/>
  <c r="J52" i="11" s="1"/>
  <c r="H51" i="11"/>
  <c r="J51" i="11" s="1"/>
  <c r="J50" i="11"/>
  <c r="H50" i="11"/>
  <c r="H49" i="11"/>
  <c r="J49" i="11" s="1"/>
  <c r="H48" i="11"/>
  <c r="J48" i="11" s="1"/>
  <c r="J61" i="11" s="1"/>
  <c r="H35" i="11"/>
  <c r="H36" i="11"/>
  <c r="H37" i="11"/>
  <c r="J37" i="11" s="1"/>
  <c r="H38" i="11"/>
  <c r="J38" i="11" s="1"/>
  <c r="J35" i="11"/>
  <c r="J36" i="11"/>
  <c r="H32" i="11"/>
  <c r="H33" i="11"/>
  <c r="J33" i="11" s="1"/>
  <c r="H34" i="11"/>
  <c r="J34" i="11" s="1"/>
  <c r="H39" i="11"/>
  <c r="J39" i="11" s="1"/>
  <c r="J32" i="11"/>
  <c r="H40" i="11"/>
  <c r="J40" i="11" s="1"/>
  <c r="H41" i="11"/>
  <c r="J41" i="11" s="1"/>
  <c r="H42" i="11"/>
  <c r="J42" i="11" s="1"/>
  <c r="H8" i="11"/>
  <c r="J8" i="11" s="1"/>
  <c r="H9" i="11"/>
  <c r="J9" i="11" s="1"/>
  <c r="H17" i="11"/>
  <c r="J17" i="11" s="1"/>
  <c r="H18" i="11"/>
  <c r="J18" i="11" s="1"/>
  <c r="H19" i="11"/>
  <c r="J19" i="11" s="1"/>
  <c r="H20" i="11"/>
  <c r="J20" i="11" s="1"/>
  <c r="H21" i="11"/>
  <c r="J21" i="11" s="1"/>
  <c r="H16" i="11"/>
  <c r="J16" i="11" s="1"/>
  <c r="H22" i="11"/>
  <c r="J22" i="11" s="1"/>
  <c r="H23" i="11"/>
  <c r="J23" i="11" s="1"/>
  <c r="H24" i="11"/>
  <c r="J24" i="11" s="1"/>
  <c r="G13" i="16"/>
  <c r="E13" i="16"/>
  <c r="D13" i="16"/>
  <c r="G12" i="16"/>
  <c r="E12" i="16"/>
  <c r="D12" i="16"/>
  <c r="B12" i="16"/>
  <c r="G13" i="12"/>
  <c r="E13" i="12"/>
  <c r="D13" i="12"/>
  <c r="G12" i="12"/>
  <c r="E12" i="12"/>
  <c r="D12" i="12"/>
  <c r="B12" i="12"/>
  <c r="F12" i="16" l="1"/>
  <c r="F13" i="16"/>
  <c r="H61" i="11"/>
  <c r="F12" i="12"/>
  <c r="F13" i="12"/>
  <c r="J2" i="4" a="1"/>
  <c r="J2" i="4" s="1"/>
  <c r="H43" i="11"/>
  <c r="J43" i="11" s="1"/>
  <c r="H26" i="11"/>
  <c r="J26" i="11" s="1"/>
  <c r="H31" i="11"/>
  <c r="J31" i="11" s="1"/>
  <c r="H25" i="11"/>
  <c r="J25" i="11" s="1"/>
  <c r="H3" i="11"/>
  <c r="H4" i="11"/>
  <c r="J4" i="11" s="1"/>
  <c r="H5" i="11"/>
  <c r="J5" i="11" s="1"/>
  <c r="H6" i="11"/>
  <c r="J6" i="11" s="1"/>
  <c r="H7" i="11"/>
  <c r="J7" i="11" s="1"/>
  <c r="H10" i="11"/>
  <c r="H11" i="11"/>
  <c r="J11" i="11" s="1"/>
  <c r="J10" i="11"/>
  <c r="E12" i="11"/>
  <c r="F12" i="11"/>
  <c r="G12" i="11"/>
  <c r="I12" i="11"/>
  <c r="C12" i="11"/>
  <c r="D12" i="11"/>
  <c r="I44" i="11"/>
  <c r="G44" i="11"/>
  <c r="F44" i="11"/>
  <c r="E44" i="11"/>
  <c r="D44" i="11"/>
  <c r="C44" i="11"/>
  <c r="I27" i="11"/>
  <c r="G27" i="11"/>
  <c r="F27" i="11"/>
  <c r="E27" i="11"/>
  <c r="D27" i="11"/>
  <c r="C27" i="11"/>
  <c r="H12" i="11" l="1"/>
  <c r="J3" i="11"/>
  <c r="J12" i="11" s="1"/>
  <c r="H44" i="11"/>
  <c r="H27" i="11"/>
  <c r="J44" i="11"/>
  <c r="J27" i="11"/>
  <c r="E12" i="2" l="1"/>
  <c r="G12" i="2"/>
  <c r="D12" i="2"/>
  <c r="E13" i="2"/>
  <c r="G13" i="2"/>
  <c r="D13" i="2"/>
  <c r="B12" i="2"/>
  <c r="F12" i="2" l="1"/>
  <c r="F13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5815DB0-BA33-40EE-B2D9-AAEF05D56A01}" keepAlive="1" name="Query - _TBL_INVENTORY_LAPTOP" description="Connection to the '_TBL_INVENTORY_LAPTOP' query in the workbook." type="5" refreshedVersion="6" background="1" saveData="1">
    <dbPr connection="Provider=Microsoft.Mashup.OleDb.1;Data Source=$Workbook$;Location=_TBL_INVENTORY_LAPTOP;Extended Properties=&quot;&quot;" command="SELECT * FROM [_TBL_INVENTORY_LAPTOP]"/>
  </connection>
  <connection id="2" xr16:uid="{0A37B048-E40E-4C96-A5D6-CB6F97B83A05}" keepAlive="1" name="Query - _TBL_INVENTORY_PC" description="Connection to the '_TBL_INVENTORY_PC' query in the workbook." type="5" refreshedVersion="6" background="1" saveData="1">
    <dbPr connection="Provider=Microsoft.Mashup.OleDb.1;Data Source=$Workbook$;Location=_TBL_INVENTORY_PC;Extended Properties=&quot;&quot;" command="SELECT * FROM [_TBL_INVENTORY_PC]"/>
  </connection>
  <connection id="3" xr16:uid="{85159E3D-AC24-4314-9534-32A96BD7C7F1}" keepAlive="1" name="Query - _TBL_INVENTORY_PRINTER" description="Connection to the '_TBL_INVENTORY_PRINTER' query in the workbook." type="5" refreshedVersion="6" background="1" saveData="1">
    <dbPr connection="Provider=Microsoft.Mashup.OleDb.1;Data Source=$Workbook$;Location=_TBL_INVENTORY_PRINTER;Extended Properties=&quot;&quot;" command="SELECT * FROM [_TBL_INVENTORY_PRINTER]"/>
  </connection>
  <connection id="4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6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<sst xmlns="http://schemas.openxmlformats.org/spreadsheetml/2006/main" count="404" uniqueCount="115">
  <si>
    <t>ID</t>
  </si>
  <si>
    <t>NAME</t>
  </si>
  <si>
    <t>TYPE</t>
  </si>
  <si>
    <t>BRAND</t>
  </si>
  <si>
    <t>CODE</t>
  </si>
  <si>
    <t>SPECS</t>
  </si>
  <si>
    <t>Laptop</t>
  </si>
  <si>
    <t>DELL</t>
  </si>
  <si>
    <t>HP</t>
  </si>
  <si>
    <t>DATE</t>
  </si>
  <si>
    <t>INVENTORY ITEM</t>
  </si>
  <si>
    <t>BACKJOB</t>
  </si>
  <si>
    <t>ACER</t>
  </si>
  <si>
    <t>ASUS</t>
  </si>
  <si>
    <t>LENOVO</t>
  </si>
  <si>
    <t>PC Parts</t>
  </si>
  <si>
    <t>TOTAL</t>
  </si>
  <si>
    <t>IN</t>
  </si>
  <si>
    <t>OUT</t>
  </si>
  <si>
    <t>REMARKS</t>
  </si>
  <si>
    <t>BOX ID</t>
  </si>
  <si>
    <t>LAPTOP INVENTORY</t>
  </si>
  <si>
    <t xml:space="preserve">TOTAL: </t>
  </si>
  <si>
    <t>ABSOLUTE TOTAL:</t>
  </si>
  <si>
    <t>UNCHECKED</t>
  </si>
  <si>
    <t>CHROME OS</t>
  </si>
  <si>
    <t>VARIANT</t>
  </si>
  <si>
    <t>REGULAR</t>
  </si>
  <si>
    <t>4 / 16</t>
  </si>
  <si>
    <t>4 / 32</t>
  </si>
  <si>
    <t>HP REGULAR 4 / 16</t>
  </si>
  <si>
    <t>HP TOUCHSCREEN 4 / 16</t>
  </si>
  <si>
    <t>TOUCHSCREEN</t>
  </si>
  <si>
    <t>HP 14' 4 / 16</t>
  </si>
  <si>
    <t>14'</t>
  </si>
  <si>
    <t>2 / 16</t>
  </si>
  <si>
    <t>8 / 128</t>
  </si>
  <si>
    <t>TOUCH &amp; FLIP</t>
  </si>
  <si>
    <t>Intel i3</t>
  </si>
  <si>
    <t>Intel i5</t>
  </si>
  <si>
    <t>Ryzen 3</t>
  </si>
  <si>
    <t>CHECKED</t>
  </si>
  <si>
    <t>WINDOWS</t>
  </si>
  <si>
    <t xml:space="preserve">TOTAL : </t>
  </si>
  <si>
    <t>ON PROCESS</t>
  </si>
  <si>
    <t xml:space="preserve">TOTAL INVENTORY : </t>
  </si>
  <si>
    <t>14 INCH</t>
  </si>
  <si>
    <t>TOTAL INVENTORY:</t>
  </si>
  <si>
    <t>CTL</t>
  </si>
  <si>
    <t>Macbook</t>
  </si>
  <si>
    <t>Fujitsu</t>
  </si>
  <si>
    <t>Avgo</t>
  </si>
  <si>
    <t>Toshiba</t>
  </si>
  <si>
    <t>Nec</t>
  </si>
  <si>
    <t>DELL REGULAR 2 / 16</t>
  </si>
  <si>
    <t>DELL REGULAR 4 / 16</t>
  </si>
  <si>
    <t>DELL REGULAR 4 / 32</t>
  </si>
  <si>
    <t>HP REGULAR 4 / 32</t>
  </si>
  <si>
    <t>CTL REGULAR 4 / 16</t>
  </si>
  <si>
    <t>LENOVO REGULAR 4 / 16</t>
  </si>
  <si>
    <t>LENOVO REGULAR 4 / 32</t>
  </si>
  <si>
    <t>HP TOUCHSCREEN 4 / 32</t>
  </si>
  <si>
    <t>DELL TOUCHSCREEN 4 / 16</t>
  </si>
  <si>
    <t>DELL TOUCHSCREEN 4 / 32</t>
  </si>
  <si>
    <t>ACER TOUCHSCREEN 4 / 32</t>
  </si>
  <si>
    <t>ACER TOUCHSCREEN 4 / 16</t>
  </si>
  <si>
    <t>LENOVO TOUCHSCREEN 4 / 16</t>
  </si>
  <si>
    <t>CTL TOUCHSCREEN 4 / 32</t>
  </si>
  <si>
    <t>DELL 14' 4 / 16</t>
  </si>
  <si>
    <t>HP 14' 2 / 16</t>
  </si>
  <si>
    <t>HP 14' 4 / 32</t>
  </si>
  <si>
    <t>HP 14' 4 / 64</t>
  </si>
  <si>
    <t>4 / 64</t>
  </si>
  <si>
    <t>HP 14' 8 / 32</t>
  </si>
  <si>
    <t>8 / 32</t>
  </si>
  <si>
    <t>ACER 14' 2 / 16</t>
  </si>
  <si>
    <t>ACER 14' 4 / 16</t>
  </si>
  <si>
    <t>ASUS 14' 2 / 16</t>
  </si>
  <si>
    <t>LENOVO 14' 4 / 16</t>
  </si>
  <si>
    <t>DELL TOUCH &amp; FLIP 4 / 16</t>
  </si>
  <si>
    <t>DELL TOUCH &amp; FLIP 4 / 32</t>
  </si>
  <si>
    <t>DELL TOUCH &amp; FLIP 8 / 128</t>
  </si>
  <si>
    <t>ACER TOUCH &amp; FLIP 4 / 16</t>
  </si>
  <si>
    <t>ACER TOUCH &amp; FLIP 4 / 32</t>
  </si>
  <si>
    <t>LENOVO TOUCH &amp; FLIP 4 / 16</t>
  </si>
  <si>
    <t>LENOVO TOUCH &amp; FLIP 4 / 32</t>
  </si>
  <si>
    <t>LENOVO TOUCH &amp; FLIP 4 / 128</t>
  </si>
  <si>
    <t>4 / 128</t>
  </si>
  <si>
    <t>HP TOUCH &amp; FLIP 4 / 32</t>
  </si>
  <si>
    <t>HP TOUCH &amp; FLIP 4 / 128</t>
  </si>
  <si>
    <t>ASUS TOUCH &amp; FLIP 4 / 32</t>
  </si>
  <si>
    <t>CTL TOUCH &amp; FLIP 4 / 32</t>
  </si>
  <si>
    <t>Macbook Intel i3</t>
  </si>
  <si>
    <t>Macbook Intel i5</t>
  </si>
  <si>
    <t>DELL Intel i3</t>
  </si>
  <si>
    <t>DELL Intel i5</t>
  </si>
  <si>
    <t>DELL Intel i7</t>
  </si>
  <si>
    <t>Intel i7</t>
  </si>
  <si>
    <t xml:space="preserve">LENOVO  </t>
  </si>
  <si>
    <t xml:space="preserve">Nec  </t>
  </si>
  <si>
    <t>Sytem Intel i5 4th Gen</t>
  </si>
  <si>
    <t>Sytem</t>
  </si>
  <si>
    <t>4th Gen</t>
  </si>
  <si>
    <t>System Ryzen 3</t>
  </si>
  <si>
    <t>System</t>
  </si>
  <si>
    <t>Monitor</t>
  </si>
  <si>
    <t>TS 207</t>
  </si>
  <si>
    <t>Printers</t>
  </si>
  <si>
    <t>MG 2570 S</t>
  </si>
  <si>
    <t>MG 3070 S</t>
  </si>
  <si>
    <t>G 2021</t>
  </si>
  <si>
    <t>L 121</t>
  </si>
  <si>
    <t>Brother 3420 W</t>
  </si>
  <si>
    <t>TOUCH AND FLIP</t>
  </si>
  <si>
    <t>PRINTER INVENTORY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</si>
</sst>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" fontId="0" fillId="0" borderId="0" xfId="0" applyNumberFormat="1"/>
    <xf numFmtId="0" fontId="2" fillId="0" borderId="0" xfId="0" applyFont="1"/>
    <xf numFmtId="0" fontId="0" fillId="0" borderId="1" xfId="0" applyBorder="1" applyAlignment="1">
      <alignment horizontal="left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left"/>
    </xf>
    <xf numFmtId="1" fontId="0" fillId="0" borderId="5" xfId="0" applyNumberFormat="1" applyBorder="1" applyAlignment="1">
      <alignment horizontal="center"/>
    </xf>
    <xf numFmtId="0" fontId="1" fillId="0" borderId="6" xfId="0" applyFont="1" applyBorder="1" applyAlignment="1">
      <alignment horizontal="left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2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6" xfId="0" applyBorder="1" applyAlignment="1">
      <alignment horizontal="left"/>
    </xf>
    <xf numFmtId="0" fontId="0" fillId="0" borderId="0" xfId="0" applyAlignment="1">
      <alignment horizontal="center"/>
    </xf>
    <xf numFmtId="0" fontId="2" fillId="0" borderId="0" xfId="0" applyFont="1" applyAlignment="1">
      <alignment horizontal="center"/>
    </xf>
  </cellXfs>
  <cellStyles count="1">
    <cellStyle name="Normal" xfId="0" builtinId="0"/>
  </cellStyles>
  <dxfs count="115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</font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</font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/>
        <i val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</font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powerPivotData" Target="model/item.data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E4AD0DC-6E41-4139-AC18-0CCC8BBE421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4A03E3D4-EE98-46C7-A9E7-68FC97BC7DE1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B1A05EF-38DB-4507-B7FB-29F288B62B69}" autoFormatId="16" applyNumberFormats="0" applyBorderFormats="0" applyFontFormats="0" applyPatternFormats="0" applyAlignmentFormats="0" applyWidthHeightFormats="0">
  <queryTableRefresh nextId="8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6" name="VARIANT" tableColumnId="6"/>
      <queryTableField id="7" name="SPECS" tableColumnId="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9B10892-250F-4ADB-ADD3-9EEB2933094B}" name="_TBL_INVENTORY_LAPTOP" displayName="_TBL_INVENTORY_LAPTOP" ref="A2:G51" tableType="queryTable" totalsRowShown="0">
  <autoFilter ref="A2:G51" xr:uid="{C9B10892-250F-4ADB-ADD3-9EEB2933094B}"/>
  <tableColumns count="7">
    <tableColumn id="1" xr3:uid="{503B598F-579D-44DA-8DC4-2B1F29F935F9}" uniqueName="1" name="ID" queryTableFieldId="1"/>
    <tableColumn id="2" xr3:uid="{93FEA06D-F155-4B44-AF83-80C84021889D}" uniqueName="2" name="NAME" queryTableFieldId="2" dataDxfId="114"/>
    <tableColumn id="3" xr3:uid="{72D63A58-4BF9-4348-9278-03658337BDE4}" uniqueName="3" name="TYPE" queryTableFieldId="3" dataDxfId="113"/>
    <tableColumn id="4" xr3:uid="{C1D1FE9A-E7D1-49CB-990A-521223F02F2F}" uniqueName="4" name="BRAND" queryTableFieldId="4" dataDxfId="112"/>
    <tableColumn id="5" xr3:uid="{6A522385-7131-4700-B14C-7A2CC7322CB4}" uniqueName="5" name="CODE" queryTableFieldId="5" dataDxfId="111"/>
    <tableColumn id="6" xr3:uid="{357B56B4-AAF6-43D4-AEAD-F93F1453D095}" uniqueName="6" name="VARIANT" queryTableFieldId="6" dataDxfId="110"/>
    <tableColumn id="7" xr3:uid="{A6335F81-8B2A-4D68-A3D4-C528C11BFB62}" uniqueName="7" name="SPECS" queryTableFieldId="7" dataDxfId="109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LAPTOP_INVENTORY" displayName="LAPTOP_INVENTORY" ref="B2:I12" totalsRowCount="1" headerRowDxfId="108" dataDxfId="107">
  <autoFilter ref="B2:I11" xr:uid="{11196D4F-0C08-44E6-8845-054A162CF400}"/>
  <tableColumns count="8">
    <tableColumn id="1" xr3:uid="{7E5944E0-EEF7-48BA-9C65-2A065AAFA2D9}" name="DATE" totalsRowFunction="custom" dataDxfId="106" totalsRowDxfId="15">
      <totalsRowFormula>_xlfn.CONCAT("COUNT: ", SUBTOTAL(103,LAPTOP_INVENTORY[DATE]))</totalsRowFormula>
    </tableColumn>
    <tableColumn id="2" xr3:uid="{6346439F-B17B-42E4-B169-E92F350D30A5}" name="INVENTORY ITEM" totalsRowLabel="TOTAL: " dataDxfId="105" totalsRowDxfId="14"/>
    <tableColumn id="4" xr3:uid="{95CD9087-654C-4E2A-AF3A-261436977333}" name="IN" totalsRowFunction="sum" dataDxfId="104" totalsRowDxfId="13"/>
    <tableColumn id="5" xr3:uid="{20315BED-21B2-403E-9EB7-F0CC6C891D05}" name="OUT" totalsRowFunction="sum" dataDxfId="103" totalsRowDxfId="12"/>
    <tableColumn id="7" xr3:uid="{A2774850-F5E8-4FA1-8C17-FE6EEC4F8D73}" name="TOTAL" totalsRowFunction="sum" dataDxfId="102" totalsRowDxfId="11">
      <calculatedColumnFormula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calculatedColumnFormula>
    </tableColumn>
    <tableColumn id="8" xr3:uid="{3BEEB058-8C1B-4F3B-A112-E1C3BF3C5795}" name="BACKJOB" totalsRowFunction="sum" dataDxfId="101" totalsRowDxfId="10"/>
    <tableColumn id="10" xr3:uid="{1B6A8F81-4CD3-412F-B3A2-C032710C5771}" name="REMARKS" dataDxfId="100" totalsRowDxfId="9"/>
    <tableColumn id="12" xr3:uid="{161DBC59-E0E9-488B-9D75-AD60C50E18B7}" name="BOX ID" dataDxfId="99" totalsRowDxfId="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ECDFDCB-CE0D-4B06-940A-5F27DEC0B1EA}" name="PRINTER_INVENTORY" displayName="PRINTER_INVENTORY" ref="B2:I12" totalsRowCount="1" headerRowDxfId="98" dataDxfId="97">
  <autoFilter ref="B2:I11" xr:uid="{FECDFDCB-CE0D-4B06-940A-5F27DEC0B1EA}"/>
  <tableColumns count="8">
    <tableColumn id="1" xr3:uid="{7878D738-6F3F-43B6-9888-8FA33CEB6D3C}" name="DATE" totalsRowFunction="custom" dataDxfId="96" totalsRowDxfId="23">
      <totalsRowFormula>_xlfn.CONCAT("COUNT: ", SUBTOTAL(103,PRINTER_INVENTORY[DATE]))</totalsRowFormula>
    </tableColumn>
    <tableColumn id="2" xr3:uid="{AE58DF75-011B-45FE-AEB1-2FE90FF38C27}" name="INVENTORY ITEM" totalsRowLabel="TOTAL: " dataDxfId="95" totalsRowDxfId="22"/>
    <tableColumn id="4" xr3:uid="{2D3AD1AC-A23C-4179-90D6-4D30DF3A3486}" name="IN" totalsRowFunction="sum" dataDxfId="94" totalsRowDxfId="21"/>
    <tableColumn id="5" xr3:uid="{62CFB38B-B757-4792-9B84-F23884971FD3}" name="OUT" totalsRowFunction="sum" dataDxfId="93" totalsRowDxfId="20"/>
    <tableColumn id="7" xr3:uid="{E9FA0FF2-F0A4-4FB0-8D19-8025674EC1E2}" name="TOTAL" totalsRowFunction="sum" dataDxfId="92" totalsRowDxfId="19">
      <calculatedColumnFormula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calculatedColumnFormula>
    </tableColumn>
    <tableColumn id="8" xr3:uid="{2EA49318-FAA8-4501-89D7-06924D19DCD2}" name="BACKJOB" totalsRowFunction="sum" dataDxfId="91" totalsRowDxfId="18"/>
    <tableColumn id="10" xr3:uid="{B73131B1-576B-4ED8-9F38-D370C20634EC}" name="REMARKS" dataDxfId="90" totalsRowDxfId="17"/>
    <tableColumn id="12" xr3:uid="{5254B59C-16CD-4988-8B85-93BD8DEAC78E}" name="BOX ID" dataDxfId="89" totalsRowDxfId="1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D548F842-4FA7-440F-90B8-6E24EEC8F7B0}" name="_TBL_INVENTORY_PRINTER" displayName="_TBL_INVENTORY_PRINTER" ref="A1:G7" tableType="queryTable" totalsRowShown="0">
  <autoFilter ref="A1:G7" xr:uid="{33010FBF-BCFC-42C9-B7D9-CB7393173D03}"/>
  <tableColumns count="7">
    <tableColumn id="1" xr3:uid="{5299D878-FE73-47CF-A561-624DBCBB9775}" uniqueName="1" name="ID" queryTableFieldId="1"/>
    <tableColumn id="2" xr3:uid="{B4535A99-865A-4DFA-A797-12681A09C7EE}" uniqueName="2" name="NAME" queryTableFieldId="2"/>
    <tableColumn id="3" xr3:uid="{09F519D1-5EE6-4BA4-8B22-FD6A1C66A9BC}" uniqueName="3" name="TYPE" queryTableFieldId="3"/>
    <tableColumn id="4" xr3:uid="{2CDD4214-F111-40F5-8ADC-CE2A884DB9AB}" uniqueName="4" name="BRAND" queryTableFieldId="4"/>
    <tableColumn id="5" xr3:uid="{DEA70072-AC9D-4C2B-BBC8-6019E3717104}" uniqueName="5" name="CODE" queryTableFieldId="5"/>
    <tableColumn id="6" xr3:uid="{0B84054A-C1E4-4382-87AB-8CB6C1CDF8BD}" uniqueName="6" name="VARIANT" queryTableFieldId="6"/>
    <tableColumn id="7" xr3:uid="{85C44E7E-7864-4971-A667-1BD4FFC083B6}" uniqueName="7" name="SPECS" queryTableFieldId="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B27D5BB-AFA6-4F16-B4AA-76519F75FF23}" name="_TBL_INVENTORY_PC" displayName="_TBL_INVENTORY_PC" ref="A1:G4" tableType="queryTable" totalsRowShown="0">
  <autoFilter ref="A1:G4" xr:uid="{1C96B4A1-E8DB-4741-AF2B-3B3CF5FB574C}"/>
  <tableColumns count="7">
    <tableColumn id="1" xr3:uid="{E6DCD094-C3A9-42D0-935D-CBF4A39882F6}" uniqueName="1" name="ID" queryTableFieldId="1"/>
    <tableColumn id="2" xr3:uid="{542ABB97-5FEA-468B-922E-2AF860627B5E}" uniqueName="2" name="NAME" queryTableFieldId="2"/>
    <tableColumn id="3" xr3:uid="{9A81E814-AB23-4EF6-8A1F-2847F460A886}" uniqueName="3" name="TYPE" queryTableFieldId="3"/>
    <tableColumn id="4" xr3:uid="{9AF16DA4-825A-46E1-86DD-D44229D84006}" uniqueName="4" name="BRAND" queryTableFieldId="4"/>
    <tableColumn id="5" xr3:uid="{E8EB8C4D-C0F7-4724-BC76-D2374AE57210}" uniqueName="5" name="CODE" queryTableFieldId="5"/>
    <tableColumn id="6" xr3:uid="{F0360589-A28B-4F58-9EB0-A414E3F963A5}" uniqueName="6" name="VARIANT" queryTableFieldId="6"/>
    <tableColumn id="7" xr3:uid="{11F50D3F-832D-489A-ACDD-84FDE6C0DD9A}" uniqueName="7" name="SPECS" queryTableFieldId="7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B207D0A-9424-402F-BB3F-458432196C56}" name="PC_INVENTORY" displayName="PC_INVENTORY" ref="B2:I12" totalsRowCount="1" headerRowDxfId="88" dataDxfId="87">
  <autoFilter ref="B2:I11" xr:uid="{CCD5F1A0-C195-4E63-936A-43706ADC2989}"/>
  <tableColumns count="8">
    <tableColumn id="1" xr3:uid="{5CDACDCD-B7D4-42C8-B4FF-47907B56A404}" name="DATE" totalsRowFunction="custom" dataDxfId="86" totalsRowDxfId="7">
      <totalsRowFormula>_xlfn.CONCAT("COUNT: ", SUBTOTAL(103,PC_INVENTORY[DATE]))</totalsRowFormula>
    </tableColumn>
    <tableColumn id="2" xr3:uid="{08580266-0DDD-4E86-9243-2AF1790ECE07}" name="INVENTORY ITEM" totalsRowLabel="TOTAL: " dataDxfId="85" totalsRowDxfId="6"/>
    <tableColumn id="4" xr3:uid="{7976317F-3C79-4C9A-AFE8-6ADE89DE934F}" name="IN" totalsRowFunction="sum" dataDxfId="84" totalsRowDxfId="5"/>
    <tableColumn id="5" xr3:uid="{CB8D2757-17B5-469D-953A-BEDD5875E951}" name="OUT" totalsRowFunction="sum" dataDxfId="83" totalsRowDxfId="4"/>
    <tableColumn id="7" xr3:uid="{BC557211-9C16-47D6-91D1-61EDD9A83964}" name="TOTAL" totalsRowFunction="sum" dataDxfId="82" totalsRowDxfId="3">
      <calculatedColumnFormula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calculatedColumnFormula>
    </tableColumn>
    <tableColumn id="8" xr3:uid="{4C3A2717-F384-4642-BCAC-B5866A114693}" name="BACKJOB" totalsRowFunction="sum" dataDxfId="81" totalsRowDxfId="2"/>
    <tableColumn id="10" xr3:uid="{C7D3AE44-6094-4DCE-B4E5-08594544FB4D}" name="REMARKS" dataDxfId="80" totalsRowDxfId="1"/>
    <tableColumn id="12" xr3:uid="{086DEEC2-01C5-475F-879A-B8A691B2E288}" name="BOX ID" dataDxfId="79" totalsRowDxfId="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641D9699-6A8D-41D7-BA45-3564F6CE9E3F}" name="TEMPLATE_TOUCHSCREEN" displayName="TEMPLATE_TOUCHSCREEN" ref="B15:J27" totalsRowCount="1">
  <autoFilter ref="B15:J26" xr:uid="{641D9699-6A8D-41D7-BA45-3564F6CE9E3F}"/>
  <tableColumns count="9">
    <tableColumn id="1" xr3:uid="{F785A112-E5B1-4220-8197-AC2FD33C0F68}" name="NAME" totalsRowLabel="TOTAL : " dataDxfId="78" totalsRowDxfId="77"/>
    <tableColumn id="2" xr3:uid="{676606A0-7990-4C08-BB3D-F65A0581C705}" name="UNCHECKED" totalsRowFunction="custom" totalsRowDxfId="76">
      <totalsRowFormula>SUBTOTAL(109, TEMPLATE_TOUCHSCREEN[UNCHECKED])</totalsRowFormula>
    </tableColumn>
    <tableColumn id="3" xr3:uid="{7640C5A0-97C1-403A-B35B-3A7E0D0E8EFB}" name="CHECKED" totalsRowFunction="custom" totalsRowDxfId="75">
      <totalsRowFormula>SUBTOTAL(109, TEMPLATE_TOUCHSCREEN[CHECKED])</totalsRowFormula>
    </tableColumn>
    <tableColumn id="8" xr3:uid="{C6E7B794-E407-4445-90B2-CF8B0D4CB47B}" name="ON PROCESS" totalsRowFunction="custom" totalsRowDxfId="74">
      <totalsRowFormula>SUBTOTAL(109, TEMPLATE_TOUCHSCREEN[ON PROCESS])</totalsRowFormula>
    </tableColumn>
    <tableColumn id="4" xr3:uid="{D9E4E3E7-74A6-4EC6-BE23-96237B958C35}" name="CHROME OS" totalsRowFunction="custom" totalsRowDxfId="73">
      <totalsRowFormula>SUBTOTAL(109, TEMPLATE_TOUCHSCREEN[CHROME OS])</totalsRowFormula>
    </tableColumn>
    <tableColumn id="5" xr3:uid="{C8F5FEF4-4501-440C-BFC3-80FDF100B145}" name="WINDOWS" totalsRowFunction="custom" totalsRowDxfId="72">
      <totalsRowFormula>SUBTOTAL(109, TEMPLATE_TOUCHSCREEN[WINDOWS])</totalsRowFormula>
    </tableColumn>
    <tableColumn id="6" xr3:uid="{B1690278-5FFF-49D3-A64E-52AAA807A6F0}" name="TOTAL : " totalsRowFunction="custom" dataDxfId="71" totalsRowDxfId="70">
      <calculatedColumnFormula>SUM(TEMPLATE_TOUCHSCREEN[[#This Row],[UNCHECKED]],TEMPLATE_TOUCHSCREEN[[#This Row],[CHECKED]],TEMPLATE_TOUCHSCREEN[[#This Row],[ON PROCESS]],TEMPLATE_TOUCHSCREEN[[#This Row],[CHROME OS]],TEMPLATE_TOUCHSCREEN[[#This Row],[WINDOWS]])</calculatedColumnFormula>
      <totalsRowFormula>SUBTOTAL(109, TEMPLATE_TOUCHSCREEN[TOTAL : ])</totalsRowFormula>
    </tableColumn>
    <tableColumn id="7" xr3:uid="{DCD760DD-F9EA-47C8-BA76-BF135D59A9DC}" name="BACKJOB" totalsRowFunction="custom" totalsRowDxfId="69">
      <totalsRowFormula>SUBTOTAL(109, TEMPLATE_TOUCHSCREEN[BACKJOB])</totalsRowFormula>
    </tableColumn>
    <tableColumn id="9" xr3:uid="{48911CB4-28B4-41E1-97CD-C5272AF691DB}" name="TOTAL INVENTORY : " totalsRowFunction="custom" dataDxfId="68" totalsRowDxfId="67">
      <calculatedColumnFormula>IFERROR(TEMPLATE_TOUCHSCREEN[[#This Row],[TOTAL : ]] + TEMPLATE_TOUCHSCREEN[[#This Row],[BACKJOB]], "")</calculatedColumnFormula>
      <totalsRowFormula>SUBTOTAL(109, TEMPLATE_TOUCHSCREEN[TOTAL INVENTORY : ])</totalsRow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CC45A81-8318-46A1-9C4F-E4A39C227BB7}" name="TEMPLATE_14_INCH" displayName="TEMPLATE_14_INCH" ref="B30:J44" totalsRowCount="1">
  <autoFilter ref="B30:J43" xr:uid="{0CC45A81-8318-46A1-9C4F-E4A39C227BB7}"/>
  <tableColumns count="9">
    <tableColumn id="1" xr3:uid="{7DB9A99D-A48F-4897-82CD-03F08CA30CD0}" name="NAME" totalsRowLabel="TOTAL : " dataDxfId="66" totalsRowDxfId="65"/>
    <tableColumn id="2" xr3:uid="{FFC772EF-57C6-4F5A-99C7-66277A580722}" name="UNCHECKED" totalsRowFunction="custom" totalsRowDxfId="64">
      <totalsRowFormula>SUBTOTAL(109, TEMPLATE_14_INCH[UNCHECKED])</totalsRowFormula>
    </tableColumn>
    <tableColumn id="3" xr3:uid="{374E1D3D-EF48-4634-AC36-E3B7A570A185}" name="CHECKED" totalsRowFunction="custom" totalsRowDxfId="63">
      <totalsRowFormula>SUBTOTAL(109, TEMPLATE_14_INCH[CHECKED])</totalsRowFormula>
    </tableColumn>
    <tableColumn id="8" xr3:uid="{2E40B7B5-E2BF-4F46-8610-E0080F5DACBD}" name="ON PROCESS" totalsRowFunction="custom" totalsRowDxfId="62">
      <totalsRowFormula>SUBTOTAL(109, TEMPLATE_14_INCH[ON PROCESS])</totalsRowFormula>
    </tableColumn>
    <tableColumn id="4" xr3:uid="{ACDEF88D-D1C3-4B1F-894C-202E99EBF8E9}" name="CHROME OS" totalsRowFunction="custom" totalsRowDxfId="61">
      <totalsRowFormula>SUBTOTAL(109, TEMPLATE_14_INCH[CHROME OS])</totalsRowFormula>
    </tableColumn>
    <tableColumn id="5" xr3:uid="{2ECBE8BA-63BC-45F1-B80B-3654DDF8E047}" name="WINDOWS" totalsRowFunction="custom" totalsRowDxfId="60">
      <totalsRowFormula>SUBTOTAL(109, TEMPLATE_14_INCH[WINDOWS])</totalsRowFormula>
    </tableColumn>
    <tableColumn id="6" xr3:uid="{EAD79535-A3C7-43FB-9CCB-C7443B43FD85}" name="TOTAL : " totalsRowFunction="custom" dataDxfId="59" totalsRowDxfId="58">
      <calculatedColumnFormula>SUM(TEMPLATE_14_INCH[[#This Row],[UNCHECKED]],TEMPLATE_14_INCH[[#This Row],[CHECKED]],TEMPLATE_14_INCH[[#This Row],[ON PROCESS]],TEMPLATE_14_INCH[[#This Row],[CHROME OS]],TEMPLATE_14_INCH[[#This Row],[WINDOWS]])</calculatedColumnFormula>
      <totalsRowFormula>SUBTOTAL(109, TEMPLATE_14_INCH[TOTAL : ])</totalsRowFormula>
    </tableColumn>
    <tableColumn id="7" xr3:uid="{5C985ABF-9C2C-4BC7-B9AD-D0E0DDD3703F}" name="BACKJOB" totalsRowFunction="custom" totalsRowDxfId="57">
      <totalsRowFormula>SUBTOTAL(109, TEMPLATE_14_INCH[BACKJOB])</totalsRowFormula>
    </tableColumn>
    <tableColumn id="9" xr3:uid="{D31E8141-E9EB-4AE4-9A2E-5B59A74AF13E}" name="TOTAL INVENTORY : " totalsRowFunction="custom" dataDxfId="56" totalsRowDxfId="55">
      <calculatedColumnFormula>IFERROR(TEMPLATE_14_INCH[[#This Row],[TOTAL : ]] + TEMPLATE_14_INCH[[#This Row],[BACKJOB]], "")</calculatedColumnFormula>
      <totalsRowFormula>SUBTOTAL(109, TEMPLATE_14_INCH[TOTAL INVENTORY : ])</totalsRow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A0942573-3D2A-4612-9F97-D46E99284621}" name="TEMPLATE_REGULAR" displayName="TEMPLATE_REGULAR" ref="B2:J12" totalsRowCount="1" headerRowDxfId="54">
  <autoFilter ref="B2:J11" xr:uid="{A0942573-3D2A-4612-9F97-D46E99284621}"/>
  <tableColumns count="9">
    <tableColumn id="1" xr3:uid="{1C67AC96-2C7A-4556-AFAD-259A3248D46F}" name="NAME" totalsRowLabel="TOTAL : " dataDxfId="53" totalsRowDxfId="52"/>
    <tableColumn id="2" xr3:uid="{DABB5C53-2CDF-41B3-9D0D-DB9341665E4D}" name="UNCHECKED" totalsRowFunction="custom" dataDxfId="51" totalsRowDxfId="50">
      <totalsRowFormula>SUM(TEMPLATE_REGULAR[UNCHECKED])</totalsRowFormula>
    </tableColumn>
    <tableColumn id="3" xr3:uid="{D4CB0E69-46DD-4A99-9CE4-2A42D692C4D7}" name="CHECKED" totalsRowFunction="custom" dataDxfId="49" totalsRowDxfId="48">
      <totalsRowFormula>SUM(TEMPLATE_REGULAR[CHECKED])</totalsRowFormula>
    </tableColumn>
    <tableColumn id="4" xr3:uid="{82D116FE-5845-4C69-9D87-C369D84B4BC0}" name="ON PROCESS" totalsRowFunction="custom" dataDxfId="47" totalsRowDxfId="46">
      <totalsRowFormula>SUM(TEMPLATE_REGULAR[ON PROCESS])</totalsRowFormula>
    </tableColumn>
    <tableColumn id="5" xr3:uid="{814FF9B6-6A0F-436B-8EEA-3028CDA5891C}" name="CHROME OS" totalsRowFunction="custom" dataDxfId="45" totalsRowDxfId="44">
      <totalsRowFormula>SUM(TEMPLATE_REGULAR[CHROME OS])</totalsRowFormula>
    </tableColumn>
    <tableColumn id="6" xr3:uid="{6CCD520B-C9ED-4C70-BBE0-636C8372FD39}" name="WINDOWS" totalsRowFunction="custom" dataDxfId="43" totalsRowDxfId="42">
      <totalsRowFormula>SUM(TEMPLATE_REGULAR[WINDOWS])</totalsRowFormula>
    </tableColumn>
    <tableColumn id="7" xr3:uid="{B0445342-6B9D-4F87-A291-1CC3BEB5A493}" name="TOTAL" totalsRowFunction="custom" dataDxfId="41" totalsRowDxfId="40">
      <calculatedColumnFormula>SUM(TEMPLATE_REGULAR[[#This Row],[UNCHECKED]],TEMPLATE_REGULAR[[#This Row],[CHECKED]],TEMPLATE_REGULAR[[#This Row],[ON PROCESS]],TEMPLATE_REGULAR[[#This Row],[CHROME OS]],TEMPLATE_REGULAR[[#This Row],[WINDOWS]])</calculatedColumnFormula>
      <totalsRowFormula>SUM(TEMPLATE_REGULAR[TOTAL])</totalsRowFormula>
    </tableColumn>
    <tableColumn id="8" xr3:uid="{79F8CD8C-54B9-4E0E-9B32-301331ED6D79}" name="BACKJOB" totalsRowFunction="custom" dataDxfId="39" totalsRowDxfId="38">
      <totalsRowFormula>SUM(TEMPLATE_REGULAR[BACKJOB])</totalsRowFormula>
    </tableColumn>
    <tableColumn id="9" xr3:uid="{C9D37CF1-C98E-4D9E-9A35-229E5D0E639B}" name="TOTAL INVENTORY:" totalsRowFunction="custom" dataDxfId="37" totalsRowDxfId="36">
      <calculatedColumnFormula>IFERROR(TEMPLATE_REGULAR[[#This Row],[TOTAL]] + TEMPLATE_REGULAR[[#This Row],[BACKJOB]], "")</calculatedColumnFormula>
      <totalsRowFormula>SUM(TEMPLATE_REGULAR[TOTAL INVENTORY:])</totalsRow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A1181C6-1BEE-4398-8630-87D639F805AB}" name="TEMPLATE_14_INCH5" displayName="TEMPLATE_14_INCH5" ref="B47:J61" totalsRowCount="1">
  <autoFilter ref="B47:J60" xr:uid="{7A1181C6-1BEE-4398-8630-87D639F805AB}"/>
  <tableColumns count="9">
    <tableColumn id="1" xr3:uid="{F76D0FD4-4DBE-4D3C-B581-E521F22D0688}" name="NAME" totalsRowLabel="TOTAL : " dataDxfId="35" totalsRowDxfId="34"/>
    <tableColumn id="2" xr3:uid="{22990DB1-5844-4D1B-ADAC-BE4EAC70F548}" name="UNCHECKED" totalsRowFunction="custom" totalsRowDxfId="33">
      <totalsRowFormula>SUBTOTAL(109, TEMPLATE_14_INCH5[UNCHECKED])</totalsRowFormula>
    </tableColumn>
    <tableColumn id="3" xr3:uid="{CCA6FBA7-11AB-4D60-B714-E34A83FC8A88}" name="CHECKED" totalsRowFunction="custom" totalsRowDxfId="32">
      <totalsRowFormula>SUBTOTAL(109, TEMPLATE_14_INCH5[CHECKED])</totalsRowFormula>
    </tableColumn>
    <tableColumn id="8" xr3:uid="{401ABD6E-5904-41AE-8A65-A8BC1F8D9DC2}" name="ON PROCESS" totalsRowFunction="custom" totalsRowDxfId="31">
      <totalsRowFormula>SUBTOTAL(109, TEMPLATE_14_INCH5[ON PROCESS])</totalsRowFormula>
    </tableColumn>
    <tableColumn id="4" xr3:uid="{25473A3F-2B28-43BA-8BB2-D9270FF80141}" name="CHROME OS" totalsRowFunction="custom" totalsRowDxfId="30">
      <totalsRowFormula>SUBTOTAL(109, TEMPLATE_14_INCH5[CHROME OS])</totalsRowFormula>
    </tableColumn>
    <tableColumn id="5" xr3:uid="{94219E22-D6E6-4273-9273-F4F0CFFAB534}" name="WINDOWS" totalsRowFunction="custom" totalsRowDxfId="29">
      <totalsRowFormula>SUBTOTAL(109, TEMPLATE_14_INCH5[WINDOWS])</totalsRowFormula>
    </tableColumn>
    <tableColumn id="6" xr3:uid="{ED8178B9-21BC-4714-886A-7E38FF0CDD54}" name="TOTAL : " totalsRowFunction="custom" dataDxfId="28" totalsRowDxfId="27">
      <calculatedColumnFormula>SUM(TEMPLATE_14_INCH5[[#This Row],[UNCHECKED]],TEMPLATE_14_INCH5[[#This Row],[CHECKED]],TEMPLATE_14_INCH5[[#This Row],[ON PROCESS]],TEMPLATE_14_INCH5[[#This Row],[CHROME OS]],TEMPLATE_14_INCH5[[#This Row],[WINDOWS]])</calculatedColumnFormula>
      <totalsRowFormula>SUBTOTAL(109, TEMPLATE_14_INCH5[TOTAL : ])</totalsRowFormula>
    </tableColumn>
    <tableColumn id="7" xr3:uid="{C6A21B48-2A3A-42FB-80E1-62E043A968A5}" name="BACKJOB" totalsRowFunction="custom" totalsRowDxfId="26">
      <totalsRowFormula>SUBTOTAL(109, TEMPLATE_14_INCH5[BACKJOB])</totalsRowFormula>
    </tableColumn>
    <tableColumn id="9" xr3:uid="{09521353-8272-4576-B6A4-8EAC15ECA5B4}" name="TOTAL INVENTORY : " totalsRowFunction="custom" dataDxfId="25" totalsRowDxfId="24">
      <calculatedColumnFormula>IFERROR(TEMPLATE_14_INCH5[[#This Row],[TOTAL : ]] + TEMPLATE_14_INCH5[[#This Row],[BACKJOB]], "")</calculatedColumnFormula>
      <totalsRowFormula>SUBTOTAL(109, TEMPLATE_14_INCH5[TOTAL INVENTORY : ])</totalsRow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2:J51"/>
  <sheetViews>
    <sheetView workbookViewId="0">
      <selection activeCell="A2" sqref="A2:G51"/>
    </sheetView>
  </sheetViews>
  <sheetFormatPr defaultRowHeight="15" x14ac:dyDescent="0.25"/>
  <cols>
    <col min="1" max="1" width="5.140625" bestFit="1" customWidth="1"/>
    <col min="2" max="2" width="27.5703125" bestFit="1" customWidth="1"/>
    <col min="3" max="3" width="7.5703125" bestFit="1" customWidth="1"/>
    <col min="4" max="4" width="9.5703125" bestFit="1" customWidth="1"/>
    <col min="5" max="5" width="8.140625" bestFit="1" customWidth="1"/>
    <col min="6" max="6" width="14" bestFit="1" customWidth="1"/>
    <col min="7" max="7" width="8.5703125" bestFit="1" customWidth="1"/>
    <col min="10" max="10" width="49.28515625" customWidth="1"/>
  </cols>
  <sheetData>
    <row r="2" spans="1:10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26</v>
      </c>
      <c r="G2" t="s">
        <v>5</v>
      </c>
      <c r="J2" t="str" cm="1">
        <f t="array" ref="J2:J11">_xlfn._xlws.FILTER(_TBL_INVENTORY_LAPTOP[NAME], _TBL_INVENTORY_LAPTOP[VARIANT] = "14'")</f>
        <v>DELL 14' 4 / 16</v>
      </c>
    </row>
    <row r="3" spans="1:10" x14ac:dyDescent="0.25">
      <c r="A3">
        <v>1</v>
      </c>
      <c r="B3" t="s">
        <v>54</v>
      </c>
      <c r="C3" t="s">
        <v>6</v>
      </c>
      <c r="D3" t="s">
        <v>7</v>
      </c>
      <c r="F3" t="s">
        <v>27</v>
      </c>
      <c r="G3" t="s">
        <v>35</v>
      </c>
      <c r="J3" t="str">
        <v>HP 14' 2 / 16</v>
      </c>
    </row>
    <row r="4" spans="1:10" x14ac:dyDescent="0.25">
      <c r="A4">
        <v>2</v>
      </c>
      <c r="B4" t="s">
        <v>55</v>
      </c>
      <c r="C4" t="s">
        <v>6</v>
      </c>
      <c r="D4" t="s">
        <v>7</v>
      </c>
      <c r="F4" t="s">
        <v>27</v>
      </c>
      <c r="G4" t="s">
        <v>28</v>
      </c>
      <c r="J4" t="str">
        <v>HP 14' 4 / 16</v>
      </c>
    </row>
    <row r="5" spans="1:10" x14ac:dyDescent="0.25">
      <c r="A5">
        <v>3</v>
      </c>
      <c r="B5" t="s">
        <v>56</v>
      </c>
      <c r="C5" t="s">
        <v>6</v>
      </c>
      <c r="D5" t="s">
        <v>7</v>
      </c>
      <c r="F5" t="s">
        <v>27</v>
      </c>
      <c r="G5" t="s">
        <v>29</v>
      </c>
      <c r="J5" t="str">
        <v>HP 14' 4 / 32</v>
      </c>
    </row>
    <row r="6" spans="1:10" x14ac:dyDescent="0.25">
      <c r="A6">
        <v>4</v>
      </c>
      <c r="B6" t="s">
        <v>30</v>
      </c>
      <c r="C6" t="s">
        <v>6</v>
      </c>
      <c r="D6" t="s">
        <v>8</v>
      </c>
      <c r="F6" t="s">
        <v>27</v>
      </c>
      <c r="G6" t="s">
        <v>28</v>
      </c>
      <c r="J6" t="str">
        <v>HP 14' 4 / 64</v>
      </c>
    </row>
    <row r="7" spans="1:10" x14ac:dyDescent="0.25">
      <c r="A7">
        <v>5</v>
      </c>
      <c r="B7" t="s">
        <v>57</v>
      </c>
      <c r="C7" t="s">
        <v>6</v>
      </c>
      <c r="D7" t="s">
        <v>8</v>
      </c>
      <c r="F7" t="s">
        <v>27</v>
      </c>
      <c r="G7" t="s">
        <v>29</v>
      </c>
      <c r="J7" t="str">
        <v>HP 14' 8 / 32</v>
      </c>
    </row>
    <row r="8" spans="1:10" x14ac:dyDescent="0.25">
      <c r="A8">
        <v>6</v>
      </c>
      <c r="B8" t="s">
        <v>58</v>
      </c>
      <c r="C8" t="s">
        <v>6</v>
      </c>
      <c r="D8" t="s">
        <v>48</v>
      </c>
      <c r="F8" t="s">
        <v>27</v>
      </c>
      <c r="G8" t="s">
        <v>28</v>
      </c>
      <c r="J8" t="str">
        <v>ACER 14' 2 / 16</v>
      </c>
    </row>
    <row r="9" spans="1:10" x14ac:dyDescent="0.25">
      <c r="A9">
        <v>7</v>
      </c>
      <c r="B9" t="s">
        <v>59</v>
      </c>
      <c r="C9" t="s">
        <v>6</v>
      </c>
      <c r="D9" t="s">
        <v>14</v>
      </c>
      <c r="F9" t="s">
        <v>27</v>
      </c>
      <c r="G9" t="s">
        <v>28</v>
      </c>
      <c r="J9" t="str">
        <v>ACER 14' 4 / 16</v>
      </c>
    </row>
    <row r="10" spans="1:10" x14ac:dyDescent="0.25">
      <c r="A10">
        <v>8</v>
      </c>
      <c r="B10" t="s">
        <v>60</v>
      </c>
      <c r="C10" t="s">
        <v>6</v>
      </c>
      <c r="D10" t="s">
        <v>14</v>
      </c>
      <c r="F10" t="s">
        <v>27</v>
      </c>
      <c r="G10" t="s">
        <v>29</v>
      </c>
      <c r="J10" t="str">
        <v>ASUS 14' 2 / 16</v>
      </c>
    </row>
    <row r="11" spans="1:10" x14ac:dyDescent="0.25">
      <c r="A11">
        <v>9</v>
      </c>
      <c r="B11" t="s">
        <v>31</v>
      </c>
      <c r="C11" t="s">
        <v>6</v>
      </c>
      <c r="D11" t="s">
        <v>8</v>
      </c>
      <c r="F11" t="s">
        <v>32</v>
      </c>
      <c r="G11" t="s">
        <v>28</v>
      </c>
      <c r="J11" t="str">
        <v>LENOVO 14' 4 / 16</v>
      </c>
    </row>
    <row r="12" spans="1:10" x14ac:dyDescent="0.25">
      <c r="A12">
        <v>10</v>
      </c>
      <c r="B12" t="s">
        <v>61</v>
      </c>
      <c r="C12" t="s">
        <v>6</v>
      </c>
      <c r="D12" t="s">
        <v>8</v>
      </c>
      <c r="F12" t="s">
        <v>32</v>
      </c>
      <c r="G12" t="s">
        <v>29</v>
      </c>
    </row>
    <row r="13" spans="1:10" x14ac:dyDescent="0.25">
      <c r="A13">
        <v>11</v>
      </c>
      <c r="B13" t="s">
        <v>62</v>
      </c>
      <c r="C13" t="s">
        <v>6</v>
      </c>
      <c r="D13" t="s">
        <v>7</v>
      </c>
      <c r="F13" t="s">
        <v>32</v>
      </c>
      <c r="G13" t="s">
        <v>28</v>
      </c>
    </row>
    <row r="14" spans="1:10" x14ac:dyDescent="0.25">
      <c r="A14">
        <v>12</v>
      </c>
      <c r="B14" t="s">
        <v>63</v>
      </c>
      <c r="C14" t="s">
        <v>6</v>
      </c>
      <c r="D14" t="s">
        <v>7</v>
      </c>
      <c r="F14" t="s">
        <v>32</v>
      </c>
      <c r="G14" t="s">
        <v>29</v>
      </c>
    </row>
    <row r="15" spans="1:10" x14ac:dyDescent="0.25">
      <c r="A15">
        <v>13</v>
      </c>
      <c r="B15" t="s">
        <v>64</v>
      </c>
      <c r="C15" t="s">
        <v>6</v>
      </c>
      <c r="D15" t="s">
        <v>12</v>
      </c>
      <c r="F15" t="s">
        <v>32</v>
      </c>
      <c r="G15" t="s">
        <v>29</v>
      </c>
    </row>
    <row r="16" spans="1:10" x14ac:dyDescent="0.25">
      <c r="A16">
        <v>14</v>
      </c>
      <c r="B16" t="s">
        <v>65</v>
      </c>
      <c r="C16" t="s">
        <v>6</v>
      </c>
      <c r="D16" t="s">
        <v>12</v>
      </c>
      <c r="F16" t="s">
        <v>32</v>
      </c>
      <c r="G16" t="s">
        <v>28</v>
      </c>
    </row>
    <row r="17" spans="1:7" x14ac:dyDescent="0.25">
      <c r="A17">
        <v>15</v>
      </c>
      <c r="B17" t="s">
        <v>66</v>
      </c>
      <c r="C17" t="s">
        <v>6</v>
      </c>
      <c r="D17" t="s">
        <v>14</v>
      </c>
      <c r="F17" t="s">
        <v>32</v>
      </c>
      <c r="G17" t="s">
        <v>28</v>
      </c>
    </row>
    <row r="18" spans="1:7" x14ac:dyDescent="0.25">
      <c r="A18">
        <v>16</v>
      </c>
      <c r="B18" t="s">
        <v>67</v>
      </c>
      <c r="C18" t="s">
        <v>6</v>
      </c>
      <c r="D18" t="s">
        <v>48</v>
      </c>
      <c r="F18" t="s">
        <v>32</v>
      </c>
      <c r="G18" t="s">
        <v>29</v>
      </c>
    </row>
    <row r="19" spans="1:7" x14ac:dyDescent="0.25">
      <c r="A19">
        <v>17</v>
      </c>
      <c r="B19" t="s">
        <v>68</v>
      </c>
      <c r="C19" t="s">
        <v>6</v>
      </c>
      <c r="D19" t="s">
        <v>7</v>
      </c>
      <c r="F19" t="s">
        <v>34</v>
      </c>
      <c r="G19" t="s">
        <v>28</v>
      </c>
    </row>
    <row r="20" spans="1:7" x14ac:dyDescent="0.25">
      <c r="A20">
        <v>18</v>
      </c>
      <c r="B20" t="s">
        <v>69</v>
      </c>
      <c r="C20" t="s">
        <v>6</v>
      </c>
      <c r="D20" t="s">
        <v>8</v>
      </c>
      <c r="F20" t="s">
        <v>34</v>
      </c>
      <c r="G20" t="s">
        <v>35</v>
      </c>
    </row>
    <row r="21" spans="1:7" x14ac:dyDescent="0.25">
      <c r="A21">
        <v>19</v>
      </c>
      <c r="B21" t="s">
        <v>33</v>
      </c>
      <c r="C21" t="s">
        <v>6</v>
      </c>
      <c r="D21" t="s">
        <v>8</v>
      </c>
      <c r="F21" t="s">
        <v>34</v>
      </c>
      <c r="G21" t="s">
        <v>28</v>
      </c>
    </row>
    <row r="22" spans="1:7" x14ac:dyDescent="0.25">
      <c r="A22">
        <v>20</v>
      </c>
      <c r="B22" t="s">
        <v>70</v>
      </c>
      <c r="C22" t="s">
        <v>6</v>
      </c>
      <c r="D22" t="s">
        <v>8</v>
      </c>
      <c r="F22" t="s">
        <v>34</v>
      </c>
      <c r="G22" t="s">
        <v>29</v>
      </c>
    </row>
    <row r="23" spans="1:7" x14ac:dyDescent="0.25">
      <c r="A23">
        <v>21</v>
      </c>
      <c r="B23" t="s">
        <v>71</v>
      </c>
      <c r="C23" t="s">
        <v>6</v>
      </c>
      <c r="D23" t="s">
        <v>8</v>
      </c>
      <c r="F23" t="s">
        <v>34</v>
      </c>
      <c r="G23" t="s">
        <v>72</v>
      </c>
    </row>
    <row r="24" spans="1:7" x14ac:dyDescent="0.25">
      <c r="A24">
        <v>22</v>
      </c>
      <c r="B24" t="s">
        <v>73</v>
      </c>
      <c r="C24" t="s">
        <v>6</v>
      </c>
      <c r="D24" t="s">
        <v>8</v>
      </c>
      <c r="F24" t="s">
        <v>34</v>
      </c>
      <c r="G24" t="s">
        <v>74</v>
      </c>
    </row>
    <row r="25" spans="1:7" x14ac:dyDescent="0.25">
      <c r="A25">
        <v>23</v>
      </c>
      <c r="B25" t="s">
        <v>75</v>
      </c>
      <c r="C25" t="s">
        <v>6</v>
      </c>
      <c r="D25" t="s">
        <v>12</v>
      </c>
      <c r="F25" t="s">
        <v>34</v>
      </c>
      <c r="G25" t="s">
        <v>35</v>
      </c>
    </row>
    <row r="26" spans="1:7" x14ac:dyDescent="0.25">
      <c r="A26">
        <v>24</v>
      </c>
      <c r="B26" t="s">
        <v>76</v>
      </c>
      <c r="C26" t="s">
        <v>6</v>
      </c>
      <c r="D26" t="s">
        <v>12</v>
      </c>
      <c r="F26" t="s">
        <v>34</v>
      </c>
      <c r="G26" t="s">
        <v>28</v>
      </c>
    </row>
    <row r="27" spans="1:7" x14ac:dyDescent="0.25">
      <c r="A27">
        <v>25</v>
      </c>
      <c r="B27" t="s">
        <v>77</v>
      </c>
      <c r="C27" t="s">
        <v>6</v>
      </c>
      <c r="D27" t="s">
        <v>13</v>
      </c>
      <c r="F27" t="s">
        <v>34</v>
      </c>
      <c r="G27" t="s">
        <v>35</v>
      </c>
    </row>
    <row r="28" spans="1:7" x14ac:dyDescent="0.25">
      <c r="A28">
        <v>26</v>
      </c>
      <c r="B28" t="s">
        <v>78</v>
      </c>
      <c r="C28" t="s">
        <v>6</v>
      </c>
      <c r="D28" t="s">
        <v>14</v>
      </c>
      <c r="F28" t="s">
        <v>34</v>
      </c>
      <c r="G28" t="s">
        <v>28</v>
      </c>
    </row>
    <row r="29" spans="1:7" x14ac:dyDescent="0.25">
      <c r="A29">
        <v>27</v>
      </c>
      <c r="B29" t="s">
        <v>79</v>
      </c>
      <c r="C29" t="s">
        <v>6</v>
      </c>
      <c r="D29" t="s">
        <v>7</v>
      </c>
      <c r="F29" t="s">
        <v>37</v>
      </c>
      <c r="G29" t="s">
        <v>28</v>
      </c>
    </row>
    <row r="30" spans="1:7" x14ac:dyDescent="0.25">
      <c r="A30">
        <v>28</v>
      </c>
      <c r="B30" t="s">
        <v>80</v>
      </c>
      <c r="C30" t="s">
        <v>6</v>
      </c>
      <c r="D30" t="s">
        <v>7</v>
      </c>
      <c r="F30" t="s">
        <v>37</v>
      </c>
      <c r="G30" t="s">
        <v>29</v>
      </c>
    </row>
    <row r="31" spans="1:7" x14ac:dyDescent="0.25">
      <c r="A31">
        <v>29</v>
      </c>
      <c r="B31" t="s">
        <v>81</v>
      </c>
      <c r="C31" t="s">
        <v>6</v>
      </c>
      <c r="D31" t="s">
        <v>7</v>
      </c>
      <c r="F31" t="s">
        <v>37</v>
      </c>
      <c r="G31" t="s">
        <v>36</v>
      </c>
    </row>
    <row r="32" spans="1:7" x14ac:dyDescent="0.25">
      <c r="A32">
        <v>30</v>
      </c>
      <c r="B32" t="s">
        <v>82</v>
      </c>
      <c r="C32" t="s">
        <v>6</v>
      </c>
      <c r="D32" t="s">
        <v>12</v>
      </c>
      <c r="F32" t="s">
        <v>37</v>
      </c>
      <c r="G32" t="s">
        <v>28</v>
      </c>
    </row>
    <row r="33" spans="1:7" x14ac:dyDescent="0.25">
      <c r="A33">
        <v>31</v>
      </c>
      <c r="B33" t="s">
        <v>83</v>
      </c>
      <c r="C33" t="s">
        <v>6</v>
      </c>
      <c r="D33" t="s">
        <v>12</v>
      </c>
      <c r="F33" t="s">
        <v>37</v>
      </c>
      <c r="G33" t="s">
        <v>29</v>
      </c>
    </row>
    <row r="34" spans="1:7" x14ac:dyDescent="0.25">
      <c r="A34">
        <v>32</v>
      </c>
      <c r="B34" t="s">
        <v>84</v>
      </c>
      <c r="C34" t="s">
        <v>6</v>
      </c>
      <c r="D34" t="s">
        <v>14</v>
      </c>
      <c r="F34" t="s">
        <v>37</v>
      </c>
      <c r="G34" t="s">
        <v>28</v>
      </c>
    </row>
    <row r="35" spans="1:7" x14ac:dyDescent="0.25">
      <c r="A35">
        <v>33</v>
      </c>
      <c r="B35" t="s">
        <v>85</v>
      </c>
      <c r="C35" t="s">
        <v>6</v>
      </c>
      <c r="D35" t="s">
        <v>14</v>
      </c>
      <c r="F35" t="s">
        <v>37</v>
      </c>
      <c r="G35" t="s">
        <v>29</v>
      </c>
    </row>
    <row r="36" spans="1:7" x14ac:dyDescent="0.25">
      <c r="A36">
        <v>34</v>
      </c>
      <c r="B36" t="s">
        <v>86</v>
      </c>
      <c r="C36" t="s">
        <v>6</v>
      </c>
      <c r="D36" t="s">
        <v>14</v>
      </c>
      <c r="F36" t="s">
        <v>37</v>
      </c>
      <c r="G36" t="s">
        <v>87</v>
      </c>
    </row>
    <row r="37" spans="1:7" x14ac:dyDescent="0.25">
      <c r="A37">
        <v>35</v>
      </c>
      <c r="B37" t="s">
        <v>88</v>
      </c>
      <c r="C37" t="s">
        <v>6</v>
      </c>
      <c r="D37" t="s">
        <v>8</v>
      </c>
      <c r="F37" t="s">
        <v>37</v>
      </c>
      <c r="G37" t="s">
        <v>29</v>
      </c>
    </row>
    <row r="38" spans="1:7" x14ac:dyDescent="0.25">
      <c r="A38">
        <v>36</v>
      </c>
      <c r="B38" t="s">
        <v>89</v>
      </c>
      <c r="C38" t="s">
        <v>6</v>
      </c>
      <c r="D38" t="s">
        <v>8</v>
      </c>
      <c r="F38" t="s">
        <v>37</v>
      </c>
      <c r="G38" t="s">
        <v>87</v>
      </c>
    </row>
    <row r="39" spans="1:7" x14ac:dyDescent="0.25">
      <c r="A39">
        <v>37</v>
      </c>
      <c r="B39" t="s">
        <v>90</v>
      </c>
      <c r="C39" t="s">
        <v>6</v>
      </c>
      <c r="D39" t="s">
        <v>13</v>
      </c>
      <c r="F39" t="s">
        <v>37</v>
      </c>
      <c r="G39" t="s">
        <v>29</v>
      </c>
    </row>
    <row r="40" spans="1:7" x14ac:dyDescent="0.25">
      <c r="A40">
        <v>38</v>
      </c>
      <c r="B40" t="s">
        <v>91</v>
      </c>
      <c r="C40" t="s">
        <v>6</v>
      </c>
      <c r="D40" t="s">
        <v>48</v>
      </c>
      <c r="F40" t="s">
        <v>37</v>
      </c>
      <c r="G40" t="s">
        <v>29</v>
      </c>
    </row>
    <row r="41" spans="1:7" x14ac:dyDescent="0.25">
      <c r="A41">
        <v>39</v>
      </c>
      <c r="B41" t="s">
        <v>92</v>
      </c>
      <c r="C41" t="s">
        <v>6</v>
      </c>
      <c r="D41" t="s">
        <v>49</v>
      </c>
      <c r="F41" t="s">
        <v>38</v>
      </c>
    </row>
    <row r="42" spans="1:7" x14ac:dyDescent="0.25">
      <c r="A42">
        <v>40</v>
      </c>
      <c r="B42" t="s">
        <v>93</v>
      </c>
      <c r="C42" t="s">
        <v>6</v>
      </c>
      <c r="D42" t="s">
        <v>49</v>
      </c>
      <c r="F42" t="s">
        <v>39</v>
      </c>
    </row>
    <row r="43" spans="1:7" x14ac:dyDescent="0.25">
      <c r="A43">
        <v>41</v>
      </c>
      <c r="B43" t="s">
        <v>50</v>
      </c>
      <c r="C43" t="s">
        <v>6</v>
      </c>
      <c r="D43" t="s">
        <v>50</v>
      </c>
    </row>
    <row r="44" spans="1:7" x14ac:dyDescent="0.25">
      <c r="A44">
        <v>42</v>
      </c>
      <c r="B44" t="s">
        <v>94</v>
      </c>
      <c r="C44" t="s">
        <v>6</v>
      </c>
      <c r="D44" t="s">
        <v>7</v>
      </c>
      <c r="F44" t="s">
        <v>38</v>
      </c>
    </row>
    <row r="45" spans="1:7" x14ac:dyDescent="0.25">
      <c r="A45">
        <v>43</v>
      </c>
      <c r="B45" t="s">
        <v>95</v>
      </c>
      <c r="C45" t="s">
        <v>6</v>
      </c>
      <c r="D45" t="s">
        <v>7</v>
      </c>
      <c r="F45" t="s">
        <v>39</v>
      </c>
    </row>
    <row r="46" spans="1:7" x14ac:dyDescent="0.25">
      <c r="A46">
        <v>44</v>
      </c>
      <c r="B46" t="s">
        <v>96</v>
      </c>
      <c r="C46" t="s">
        <v>6</v>
      </c>
      <c r="D46" t="s">
        <v>7</v>
      </c>
      <c r="F46" t="s">
        <v>97</v>
      </c>
    </row>
    <row r="47" spans="1:7" x14ac:dyDescent="0.25">
      <c r="A47">
        <v>45</v>
      </c>
      <c r="B47" t="s">
        <v>51</v>
      </c>
      <c r="C47" t="s">
        <v>6</v>
      </c>
      <c r="D47" t="s">
        <v>51</v>
      </c>
    </row>
    <row r="48" spans="1:7" x14ac:dyDescent="0.25">
      <c r="A48">
        <v>46</v>
      </c>
      <c r="B48" t="s">
        <v>52</v>
      </c>
      <c r="C48" t="s">
        <v>6</v>
      </c>
      <c r="D48" t="s">
        <v>52</v>
      </c>
    </row>
    <row r="49" spans="1:6" x14ac:dyDescent="0.25">
      <c r="A49">
        <v>47</v>
      </c>
      <c r="B49" t="s">
        <v>98</v>
      </c>
      <c r="C49" t="s">
        <v>6</v>
      </c>
      <c r="D49" t="s">
        <v>14</v>
      </c>
      <c r="F49" t="s">
        <v>38</v>
      </c>
    </row>
    <row r="50" spans="1:6" x14ac:dyDescent="0.25">
      <c r="A50">
        <v>48</v>
      </c>
      <c r="B50" t="s">
        <v>98</v>
      </c>
      <c r="C50" t="s">
        <v>6</v>
      </c>
      <c r="D50" t="s">
        <v>14</v>
      </c>
      <c r="F50" t="s">
        <v>39</v>
      </c>
    </row>
    <row r="51" spans="1:6" x14ac:dyDescent="0.25">
      <c r="A51">
        <v>49</v>
      </c>
      <c r="B51" t="s">
        <v>99</v>
      </c>
      <c r="C51" t="s">
        <v>6</v>
      </c>
      <c r="D51" t="s">
        <v>53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3"/>
  <sheetViews>
    <sheetView workbookViewId="0">
      <selection activeCell="G3" sqref="G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2" t="s">
        <v>17</v>
      </c>
      <c r="E2" s="2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45767</v>
      </c>
      <c r="C3" s="12" t="s">
        <v>55</v>
      </c>
      <c r="D3" s="13">
        <v>20</v>
      </c>
      <c r="E3" s="14"/>
      <c r="F3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20</v>
      </c>
      <c r="G3" s="20">
        <v>1</v>
      </c>
      <c r="H3" s="26"/>
      <c r="I3" s="21"/>
    </row>
    <row r="4" spans="2:9" x14ac:dyDescent="0.25">
      <c r="B4" s="3">
        <v>45767</v>
      </c>
      <c r="C4" s="15" t="s">
        <v>56</v>
      </c>
      <c r="D4" s="5">
        <v>20</v>
      </c>
      <c r="E4" s="16">
        <v>10</v>
      </c>
      <c r="F4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10</v>
      </c>
      <c r="G4" s="22">
        <v>1</v>
      </c>
      <c r="H4" s="2"/>
      <c r="I4" s="23"/>
    </row>
    <row r="5" spans="2:9" x14ac:dyDescent="0.25">
      <c r="B5" s="3">
        <v>45770</v>
      </c>
      <c r="C5" s="15" t="s">
        <v>58</v>
      </c>
      <c r="D5" s="5">
        <v>7</v>
      </c>
      <c r="E5" s="16">
        <v>7</v>
      </c>
      <c r="F5" s="5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>0</v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IF(LAPTOP_INVENTORY[[#This Row],[INVENTORY ITEM]] = "", "",
   SUMIFS(LAPTOP_INVENTORY[IN], LAPTOP_INVENTORY[INVENTORY ITEM], LAPTOP_INVENTORY[[#This Row],[INVENTORY ITEM]], LAPTOP_INVENTORY[DATE], "&lt;=" &amp; LAPTOP_INVENTORY[[#This Row],[DATE]]) -
   SUMIFS(LAPTOP_INVENTORY[OUT], LAPTOP_INVENTORY[INVENTORY ITEM], LAPTOP_INVENTORY[[#This Row],[INVENTORY ITEM]], LAPTOP_INVENTORY[DATE], "&lt;=" &amp; LAPTOP_INVENTORY[[#This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SUBTOTAL(103,LAPTOP_INVENTORY[DATE]))</f>
        <v>COUNT: 3</v>
      </c>
      <c r="C12" s="7" t="s">
        <v>22</v>
      </c>
      <c r="D12" s="6">
        <f>SUBTOTAL(109,LAPTOP_INVENTORY[IN])</f>
        <v>47</v>
      </c>
      <c r="E12" s="6">
        <f>SUBTOTAL(109,LAPTOP_INVENTORY[OUT])</f>
        <v>17</v>
      </c>
      <c r="F12" s="6">
        <f>SUBTOTAL(109,LAPTOP_INVENTORY[TOTAL])</f>
        <v>30</v>
      </c>
      <c r="G12" s="6">
        <f>SUBTOTAL(109,LAPTOP_INVENTORY[BACKJOB])</f>
        <v>2</v>
      </c>
      <c r="H12" s="2"/>
      <c r="I12" s="4"/>
    </row>
    <row r="13" spans="2:9" x14ac:dyDescent="0.25">
      <c r="C13" s="8" t="s">
        <v>23</v>
      </c>
      <c r="D13" s="9">
        <f>SUM(LAPTOP_INVENTORY[IN])</f>
        <v>47</v>
      </c>
      <c r="E13" s="9">
        <f>SUM(LAPTOP_INVENTORY[OUT])</f>
        <v>17</v>
      </c>
      <c r="F13" s="9">
        <f>SUM(LAPTOP_INVENTORY[TOTAL])</f>
        <v>30</v>
      </c>
      <c r="G13" s="9">
        <f>SUM(LAPTOP_INVENTORY[BACKJOB])</f>
        <v>2</v>
      </c>
    </row>
  </sheetData>
  <mergeCells count="1">
    <mergeCell ref="C1:E1"/>
  </mergeCells>
  <dataValidations count="1">
    <dataValidation type="list" showInputMessage="1" sqref="C3:C11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14B30B-EEBF-4B50-86F2-F83D96CF266C}">
  <dimension ref="B1:I13"/>
  <sheetViews>
    <sheetView workbookViewId="0">
      <selection activeCell="G3" sqref="G3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114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1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106</v>
      </c>
      <c r="D3" s="13">
        <v>55</v>
      </c>
      <c r="E3" s="14"/>
      <c r="F3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55</v>
      </c>
      <c r="G3" s="20">
        <v>2</v>
      </c>
      <c r="H3" s="26"/>
      <c r="I3" s="21"/>
    </row>
    <row r="4" spans="2:9" x14ac:dyDescent="0.25">
      <c r="B4" s="3">
        <v>45770</v>
      </c>
      <c r="C4" s="15" t="s">
        <v>108</v>
      </c>
      <c r="D4" s="5">
        <v>5</v>
      </c>
      <c r="E4" s="16">
        <v>5</v>
      </c>
      <c r="F4" s="5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>0</v>
      </c>
      <c r="G4" s="22">
        <v>5</v>
      </c>
      <c r="H4" s="2"/>
      <c r="I4" s="23"/>
    </row>
    <row r="5" spans="2:9" x14ac:dyDescent="0.25">
      <c r="B5" s="3"/>
      <c r="C5" s="15"/>
      <c r="D5" s="5"/>
      <c r="E5" s="16"/>
      <c r="F5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0" s="22"/>
      <c r="H10" s="2"/>
      <c r="I10" s="23"/>
    </row>
    <row r="11" spans="2:9" ht="15.75" thickBot="1" x14ac:dyDescent="0.3">
      <c r="C11" s="17"/>
      <c r="D11" s="18"/>
      <c r="E11" s="19"/>
      <c r="F11" s="5" t="str">
        <f>IF(PRINTER_INVENTORY[[#This Row],[INVENTORY ITEM]] = "", "",
   SUMIFS(PRINTER_INVENTORY[IN], PRINTER_INVENTORY[INVENTORY ITEM], PRINTER_INVENTORY[[#This Row],[INVENTORY ITEM]], PRINTER_INVENTORY[DATE], "&lt;=" &amp; PRINTER_INVENTORY[[#This Row],[DATE]]) -
   SUMIFS(PRINTER_INVENTORY[OUT], PRINTER_INVENTORY[INVENTORY ITEM], PRINTER_INVENTORY[[#This Row],[INVENTORY ITEM]], PRINTER_INVENTORY[DATE], "&lt;=" &amp; PRINTER_INVENTORY[[#This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SUBTOTAL(103,PRINTER_INVENTORY[DATE]))</f>
        <v>COUNT: 2</v>
      </c>
      <c r="C12" s="7" t="s">
        <v>22</v>
      </c>
      <c r="D12" s="6">
        <f>SUBTOTAL(109,PRINTER_INVENTORY[IN])</f>
        <v>60</v>
      </c>
      <c r="E12" s="6">
        <f>SUBTOTAL(109,PRINTER_INVENTORY[OUT])</f>
        <v>5</v>
      </c>
      <c r="F12" s="6">
        <f>SUBTOTAL(109,PRINTER_INVENTORY[TOTAL])</f>
        <v>55</v>
      </c>
      <c r="G12" s="6">
        <f>SUBTOTAL(109,PRINTER_INVENTORY[BACKJOB])</f>
        <v>7</v>
      </c>
      <c r="H12" s="2"/>
      <c r="I12" s="4"/>
    </row>
    <row r="13" spans="2:9" x14ac:dyDescent="0.25">
      <c r="C13" s="8" t="s">
        <v>23</v>
      </c>
      <c r="D13" s="9">
        <f>SUM(PRINTER_INVENTORY[IN])</f>
        <v>60</v>
      </c>
      <c r="E13" s="9">
        <f>SUM(PRINTER_INVENTORY[OUT])</f>
        <v>5</v>
      </c>
      <c r="F13" s="9">
        <f>SUM(PRINTER_INVENTORY[TOTAL])</f>
        <v>55</v>
      </c>
      <c r="G13" s="9">
        <f>SUM(PRINTER_INVENTORY[BACKJOB])</f>
        <v>7</v>
      </c>
    </row>
  </sheetData>
  <mergeCells count="1">
    <mergeCell ref="C1:E1"/>
  </mergeCells>
  <dataValidations count="1">
    <dataValidation type="list" showInputMessage="1" sqref="C3:C11" xr:uid="{42B3C7F4-B9AE-43B6-98E6-F832E12A2D94}">
      <formula1>NAMES_INVENTORY_PRINTERS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63259-E7E0-4B61-9898-A905AC898F21}">
  <sheetPr codeName="Sheet10"/>
  <dimension ref="A1:G7"/>
  <sheetViews>
    <sheetView workbookViewId="0">
      <selection activeCell="F2" sqref="F2"/>
    </sheetView>
  </sheetViews>
  <sheetFormatPr defaultRowHeight="15" x14ac:dyDescent="0.25"/>
  <cols>
    <col min="1" max="1" width="5.140625" bestFit="1" customWidth="1"/>
    <col min="2" max="2" width="14.5703125" bestFit="1" customWidth="1"/>
    <col min="3" max="3" width="8" bestFit="1" customWidth="1"/>
    <col min="4" max="4" width="9.5703125" bestFit="1" customWidth="1"/>
    <col min="5" max="5" width="14.57031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98</v>
      </c>
      <c r="B2" t="s">
        <v>106</v>
      </c>
      <c r="C2" t="s">
        <v>107</v>
      </c>
      <c r="E2" t="s">
        <v>106</v>
      </c>
    </row>
    <row r="3" spans="1:7" x14ac:dyDescent="0.25">
      <c r="A3">
        <v>99</v>
      </c>
      <c r="B3" t="s">
        <v>108</v>
      </c>
      <c r="C3" t="s">
        <v>107</v>
      </c>
      <c r="E3" t="s">
        <v>108</v>
      </c>
    </row>
    <row r="4" spans="1:7" x14ac:dyDescent="0.25">
      <c r="A4">
        <v>100</v>
      </c>
      <c r="B4" t="s">
        <v>109</v>
      </c>
      <c r="C4" t="s">
        <v>107</v>
      </c>
      <c r="E4" t="s">
        <v>109</v>
      </c>
    </row>
    <row r="5" spans="1:7" x14ac:dyDescent="0.25">
      <c r="A5">
        <v>101</v>
      </c>
      <c r="B5" t="s">
        <v>110</v>
      </c>
      <c r="C5" t="s">
        <v>107</v>
      </c>
      <c r="E5" t="s">
        <v>110</v>
      </c>
    </row>
    <row r="6" spans="1:7" x14ac:dyDescent="0.25">
      <c r="A6">
        <v>102</v>
      </c>
      <c r="B6" t="s">
        <v>111</v>
      </c>
      <c r="C6" t="s">
        <v>107</v>
      </c>
      <c r="E6" t="s">
        <v>111</v>
      </c>
    </row>
    <row r="7" spans="1:7" x14ac:dyDescent="0.25">
      <c r="A7">
        <v>103</v>
      </c>
      <c r="B7" t="s">
        <v>112</v>
      </c>
      <c r="C7" t="s">
        <v>107</v>
      </c>
      <c r="E7" t="s">
        <v>112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C8343-FAC5-437C-AC9E-D33ADDF791CD}">
  <sheetPr codeName="Sheet11"/>
  <dimension ref="A1:G4"/>
  <sheetViews>
    <sheetView workbookViewId="0">
      <selection activeCell="H37" sqref="H37"/>
    </sheetView>
  </sheetViews>
  <sheetFormatPr defaultRowHeight="15" x14ac:dyDescent="0.25"/>
  <cols>
    <col min="1" max="1" width="5.140625" bestFit="1" customWidth="1"/>
    <col min="2" max="2" width="20.7109375" bestFit="1" customWidth="1"/>
    <col min="3" max="3" width="8.140625" bestFit="1" customWidth="1"/>
    <col min="4" max="4" width="9.5703125" bestFit="1" customWidth="1"/>
    <col min="5" max="5" width="8.140625" bestFit="1" customWidth="1"/>
    <col min="6" max="6" width="11.28515625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26</v>
      </c>
      <c r="G1" t="s">
        <v>5</v>
      </c>
    </row>
    <row r="2" spans="1:7" x14ac:dyDescent="0.25">
      <c r="A2">
        <v>95</v>
      </c>
      <c r="B2" t="s">
        <v>100</v>
      </c>
      <c r="C2" t="s">
        <v>15</v>
      </c>
      <c r="E2" t="s">
        <v>101</v>
      </c>
      <c r="F2" t="s">
        <v>39</v>
      </c>
      <c r="G2" t="s">
        <v>102</v>
      </c>
    </row>
    <row r="3" spans="1:7" x14ac:dyDescent="0.25">
      <c r="A3">
        <v>96</v>
      </c>
      <c r="B3" t="s">
        <v>103</v>
      </c>
      <c r="C3" t="s">
        <v>15</v>
      </c>
      <c r="E3" t="s">
        <v>104</v>
      </c>
      <c r="F3" t="s">
        <v>40</v>
      </c>
    </row>
    <row r="4" spans="1:7" x14ac:dyDescent="0.25">
      <c r="A4">
        <v>97</v>
      </c>
      <c r="B4" t="s">
        <v>105</v>
      </c>
      <c r="C4" t="s">
        <v>15</v>
      </c>
      <c r="E4" t="s">
        <v>105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FBACC-E9BF-415E-9E50-EE7EC3141AE0}">
  <sheetPr codeName="Sheet12"/>
  <dimension ref="B1:I13"/>
  <sheetViews>
    <sheetView tabSelected="1" workbookViewId="0">
      <selection activeCell="G4" sqref="G4"/>
    </sheetView>
  </sheetViews>
  <sheetFormatPr defaultRowHeight="15" x14ac:dyDescent="0.25"/>
  <cols>
    <col min="2" max="2" width="18.42578125" customWidth="1"/>
    <col min="3" max="3" width="42.7109375" customWidth="1"/>
    <col min="4" max="4" width="15.5703125" customWidth="1"/>
    <col min="5" max="5" width="15.140625" customWidth="1"/>
    <col min="6" max="6" width="19.710937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9" t="s">
        <v>21</v>
      </c>
      <c r="D1" s="29"/>
      <c r="E1" s="29"/>
    </row>
    <row r="2" spans="2:9" ht="15.75" thickBot="1" x14ac:dyDescent="0.3">
      <c r="B2" s="1" t="s">
        <v>9</v>
      </c>
      <c r="C2" s="1" t="s">
        <v>10</v>
      </c>
      <c r="D2" s="1" t="s">
        <v>17</v>
      </c>
      <c r="E2" s="1" t="s">
        <v>18</v>
      </c>
      <c r="F2" s="2" t="s">
        <v>16</v>
      </c>
      <c r="G2" s="1" t="s">
        <v>11</v>
      </c>
      <c r="H2" s="1" t="s">
        <v>19</v>
      </c>
      <c r="I2" s="1" t="s">
        <v>20</v>
      </c>
    </row>
    <row r="3" spans="2:9" x14ac:dyDescent="0.25">
      <c r="B3" s="3">
        <v>45769</v>
      </c>
      <c r="C3" s="12" t="s">
        <v>100</v>
      </c>
      <c r="D3" s="13">
        <v>20</v>
      </c>
      <c r="E3" s="14"/>
      <c r="F3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20</v>
      </c>
      <c r="G3" s="20">
        <v>1</v>
      </c>
      <c r="H3" s="26"/>
      <c r="I3" s="21"/>
    </row>
    <row r="4" spans="2:9" x14ac:dyDescent="0.25">
      <c r="B4" s="3">
        <v>45770</v>
      </c>
      <c r="C4" s="15" t="s">
        <v>100</v>
      </c>
      <c r="D4" s="5"/>
      <c r="E4" s="16">
        <v>5</v>
      </c>
      <c r="F4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15</v>
      </c>
      <c r="G4" s="22">
        <v>1</v>
      </c>
      <c r="H4" s="2"/>
      <c r="I4" s="23"/>
    </row>
    <row r="5" spans="2:9" x14ac:dyDescent="0.25">
      <c r="B5" s="3">
        <v>45770</v>
      </c>
      <c r="C5" s="15" t="s">
        <v>103</v>
      </c>
      <c r="D5" s="5">
        <v>100</v>
      </c>
      <c r="E5" s="16">
        <v>20</v>
      </c>
      <c r="F5" s="5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>80</v>
      </c>
      <c r="G5" s="22"/>
      <c r="H5" s="2"/>
      <c r="I5" s="23"/>
    </row>
    <row r="6" spans="2:9" x14ac:dyDescent="0.25">
      <c r="B6" s="3"/>
      <c r="C6" s="15"/>
      <c r="D6" s="5"/>
      <c r="E6" s="16"/>
      <c r="F6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6" s="22"/>
      <c r="H6" s="2"/>
      <c r="I6" s="23"/>
    </row>
    <row r="7" spans="2:9" x14ac:dyDescent="0.25">
      <c r="B7" s="3"/>
      <c r="C7" s="15"/>
      <c r="D7" s="5"/>
      <c r="E7" s="16"/>
      <c r="F7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7" s="22"/>
      <c r="H7" s="2"/>
      <c r="I7" s="23"/>
    </row>
    <row r="8" spans="2:9" x14ac:dyDescent="0.25">
      <c r="B8" s="3"/>
      <c r="C8" s="15"/>
      <c r="D8" s="5"/>
      <c r="E8" s="16"/>
      <c r="F8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8" s="22"/>
      <c r="H8" s="2"/>
      <c r="I8" s="23"/>
    </row>
    <row r="9" spans="2:9" x14ac:dyDescent="0.25">
      <c r="B9" s="3"/>
      <c r="C9" s="15"/>
      <c r="D9" s="5"/>
      <c r="E9" s="16"/>
      <c r="F9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9" s="22"/>
      <c r="H9" s="2"/>
      <c r="I9" s="23"/>
    </row>
    <row r="10" spans="2:9" x14ac:dyDescent="0.25">
      <c r="B10" s="3"/>
      <c r="C10" s="15"/>
      <c r="D10" s="5"/>
      <c r="E10" s="16"/>
      <c r="F10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0" s="22"/>
      <c r="H10" s="2"/>
      <c r="I10" s="23"/>
    </row>
    <row r="11" spans="2:9" ht="15.75" thickBot="1" x14ac:dyDescent="0.3">
      <c r="C11" s="28"/>
      <c r="D11" s="18"/>
      <c r="E11" s="19"/>
      <c r="F11" s="5" t="str">
        <f>IF(PC_INVENTORY[[#This Row],[INVENTORY ITEM]] = "", "",
   SUMIFS(PC_INVENTORY[IN], PC_INVENTORY[INVENTORY ITEM], PC_INVENTORY[[#This Row],[INVENTORY ITEM]], PC_INVENTORY[DATE], "&lt;=" &amp; PC_INVENTORY[[#This Row],[DATE]]) -
   SUMIFS(PC_INVENTORY[OUT], PC_INVENTORY[INVENTORY ITEM], PC_INVENTORY[[#This Row],[INVENTORY ITEM]], PC_INVENTORY[DATE], "&lt;=" &amp; PC_INVENTORY[[#This Row],[DATE]])
)</f>
        <v/>
      </c>
      <c r="G11" s="24"/>
      <c r="H11" s="27"/>
      <c r="I11" s="25"/>
    </row>
    <row r="12" spans="2:9" x14ac:dyDescent="0.25">
      <c r="B12" s="1" t="str">
        <f>_xlfn.CONCAT("COUNT: ", SUBTOTAL(103,PC_INVENTORY[DATE]))</f>
        <v>COUNT: 3</v>
      </c>
      <c r="C12" s="7" t="s">
        <v>22</v>
      </c>
      <c r="D12" s="6">
        <f>SUBTOTAL(109,PC_INVENTORY[IN])</f>
        <v>120</v>
      </c>
      <c r="E12" s="6">
        <f>SUBTOTAL(109,PC_INVENTORY[OUT])</f>
        <v>25</v>
      </c>
      <c r="F12" s="6">
        <f>SUBTOTAL(109,PC_INVENTORY[TOTAL])</f>
        <v>115</v>
      </c>
      <c r="G12" s="6">
        <f>SUBTOTAL(109,PC_INVENTORY[BACKJOB])</f>
        <v>2</v>
      </c>
      <c r="H12" s="2"/>
      <c r="I12" s="4"/>
    </row>
    <row r="13" spans="2:9" x14ac:dyDescent="0.25">
      <c r="C13" s="8" t="s">
        <v>23</v>
      </c>
      <c r="D13" s="9">
        <f>SUM(PC_INVENTORY[IN])</f>
        <v>120</v>
      </c>
      <c r="E13" s="9">
        <f>SUM(PC_INVENTORY[OUT])</f>
        <v>25</v>
      </c>
      <c r="F13" s="9">
        <f>SUM(PC_INVENTORY[TOTAL])</f>
        <v>115</v>
      </c>
      <c r="G13" s="9">
        <f>SUM(PC_INVENTORY[BACKJOB])</f>
        <v>2</v>
      </c>
    </row>
  </sheetData>
  <mergeCells count="1">
    <mergeCell ref="C1:E1"/>
  </mergeCells>
  <dataValidations count="1">
    <dataValidation type="list" showInputMessage="1" sqref="C3:C11" xr:uid="{2F130188-43E5-4BA6-A3D7-1757990F9E32}">
      <formula1>NAMES_INVENTORY_PC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A3EEB-9755-49AC-A813-65FC2D525E6B}">
  <sheetPr codeName="Sheet8"/>
  <dimension ref="B1:J61"/>
  <sheetViews>
    <sheetView zoomScale="87" workbookViewId="0">
      <selection activeCell="C72" sqref="C72"/>
    </sheetView>
  </sheetViews>
  <sheetFormatPr defaultRowHeight="15" x14ac:dyDescent="0.25"/>
  <cols>
    <col min="1" max="1" width="8.85546875" customWidth="1"/>
    <col min="2" max="2" width="29.28515625" style="11" customWidth="1"/>
    <col min="3" max="3" width="14.140625" bestFit="1" customWidth="1"/>
    <col min="4" max="4" width="14.28515625" customWidth="1"/>
    <col min="5" max="5" width="14.42578125" bestFit="1" customWidth="1"/>
    <col min="6" max="6" width="14" bestFit="1" customWidth="1"/>
    <col min="7" max="7" width="13" bestFit="1" customWidth="1"/>
    <col min="8" max="8" width="10.28515625" style="11" bestFit="1" customWidth="1"/>
    <col min="9" max="9" width="18.7109375" customWidth="1"/>
    <col min="10" max="10" width="21.42578125" style="11" bestFit="1" customWidth="1"/>
  </cols>
  <sheetData>
    <row r="1" spans="2:10" x14ac:dyDescent="0.25">
      <c r="C1" s="30" t="s">
        <v>27</v>
      </c>
      <c r="D1" s="30"/>
      <c r="E1" s="30"/>
    </row>
    <row r="2" spans="2:10" ht="14.25" customHeight="1" x14ac:dyDescent="0.25">
      <c r="B2" s="11" t="s">
        <v>1</v>
      </c>
      <c r="C2" s="11" t="s">
        <v>24</v>
      </c>
      <c r="D2" s="11" t="s">
        <v>41</v>
      </c>
      <c r="E2" s="11" t="s">
        <v>44</v>
      </c>
      <c r="F2" s="11" t="s">
        <v>25</v>
      </c>
      <c r="G2" s="11" t="s">
        <v>42</v>
      </c>
      <c r="H2" s="11" t="s">
        <v>16</v>
      </c>
      <c r="I2" s="11" t="s">
        <v>11</v>
      </c>
      <c r="J2" s="11" t="s">
        <v>47</v>
      </c>
    </row>
    <row r="3" spans="2:10" ht="14.25" customHeight="1" x14ac:dyDescent="0.25">
      <c r="B3" s="11" t="s">
        <v>54</v>
      </c>
      <c r="C3" s="10"/>
      <c r="D3" s="10"/>
      <c r="E3" s="10"/>
      <c r="F3" s="10"/>
      <c r="G3" s="10"/>
      <c r="H3" s="9">
        <f>SUM(TEMPLATE_REGULAR[[#This Row],[UNCHECKED]],TEMPLATE_REGULAR[[#This Row],[CHECKED]],TEMPLATE_REGULAR[[#This Row],[ON PROCESS]],TEMPLATE_REGULAR[[#This Row],[CHROME OS]],TEMPLATE_REGULAR[[#This Row],[WINDOWS]])</f>
        <v>0</v>
      </c>
      <c r="I3" s="10"/>
      <c r="J3" s="9">
        <f>IFERROR(TEMPLATE_REGULAR[[#This Row],[TOTAL]] + TEMPLATE_REGULAR[[#This Row],[BACKJOB]], "")</f>
        <v>0</v>
      </c>
    </row>
    <row r="4" spans="2:10" ht="14.25" customHeight="1" x14ac:dyDescent="0.25">
      <c r="B4" s="11" t="s">
        <v>55</v>
      </c>
      <c r="C4" s="10"/>
      <c r="D4" s="10"/>
      <c r="E4" s="10"/>
      <c r="F4" s="10"/>
      <c r="G4" s="10"/>
      <c r="H4" s="9">
        <f>SUM(TEMPLATE_REGULAR[[#This Row],[UNCHECKED]],TEMPLATE_REGULAR[[#This Row],[CHECKED]],TEMPLATE_REGULAR[[#This Row],[ON PROCESS]],TEMPLATE_REGULAR[[#This Row],[CHROME OS]],TEMPLATE_REGULAR[[#This Row],[WINDOWS]])</f>
        <v>0</v>
      </c>
      <c r="I4" s="10"/>
      <c r="J4" s="9">
        <f>IFERROR(TEMPLATE_REGULAR[[#This Row],[TOTAL]] + TEMPLATE_REGULAR[[#This Row],[BACKJOB]], "")</f>
        <v>0</v>
      </c>
    </row>
    <row r="5" spans="2:10" x14ac:dyDescent="0.25">
      <c r="B5" s="11" t="s">
        <v>56</v>
      </c>
      <c r="C5" s="10"/>
      <c r="D5" s="10"/>
      <c r="E5" s="10"/>
      <c r="F5" s="10"/>
      <c r="G5" s="10"/>
      <c r="H5" s="9">
        <f>SUM(TEMPLATE_REGULAR[[#This Row],[UNCHECKED]],TEMPLATE_REGULAR[[#This Row],[CHECKED]],TEMPLATE_REGULAR[[#This Row],[ON PROCESS]],TEMPLATE_REGULAR[[#This Row],[CHROME OS]],TEMPLATE_REGULAR[[#This Row],[WINDOWS]])</f>
        <v>0</v>
      </c>
      <c r="I5" s="10"/>
      <c r="J5" s="9">
        <f>IFERROR(TEMPLATE_REGULAR[[#This Row],[TOTAL]] + TEMPLATE_REGULAR[[#This Row],[BACKJOB]], "")</f>
        <v>0</v>
      </c>
    </row>
    <row r="6" spans="2:10" x14ac:dyDescent="0.25">
      <c r="B6" s="11" t="s">
        <v>30</v>
      </c>
      <c r="C6" s="10"/>
      <c r="D6" s="10"/>
      <c r="E6" s="10"/>
      <c r="F6" s="10"/>
      <c r="G6" s="10"/>
      <c r="H6" s="9">
        <f>SUM(TEMPLATE_REGULAR[[#This Row],[UNCHECKED]],TEMPLATE_REGULAR[[#This Row],[CHECKED]],TEMPLATE_REGULAR[[#This Row],[ON PROCESS]],TEMPLATE_REGULAR[[#This Row],[CHROME OS]],TEMPLATE_REGULAR[[#This Row],[WINDOWS]])</f>
        <v>0</v>
      </c>
      <c r="I6" s="10"/>
      <c r="J6" s="9">
        <f>IFERROR(TEMPLATE_REGULAR[[#This Row],[TOTAL]] + TEMPLATE_REGULAR[[#This Row],[BACKJOB]], "")</f>
        <v>0</v>
      </c>
    </row>
    <row r="7" spans="2:10" x14ac:dyDescent="0.25">
      <c r="B7" s="11" t="s">
        <v>57</v>
      </c>
      <c r="C7" s="10"/>
      <c r="D7" s="10"/>
      <c r="E7" s="10"/>
      <c r="F7" s="10"/>
      <c r="G7" s="10"/>
      <c r="H7" s="9">
        <f>SUM(TEMPLATE_REGULAR[[#This Row],[UNCHECKED]],TEMPLATE_REGULAR[[#This Row],[CHECKED]],TEMPLATE_REGULAR[[#This Row],[ON PROCESS]],TEMPLATE_REGULAR[[#This Row],[CHROME OS]],TEMPLATE_REGULAR[[#This Row],[WINDOWS]])</f>
        <v>0</v>
      </c>
      <c r="I7" s="10"/>
      <c r="J7" s="9">
        <f>IFERROR(TEMPLATE_REGULAR[[#This Row],[TOTAL]] + TEMPLATE_REGULAR[[#This Row],[BACKJOB]], "")</f>
        <v>0</v>
      </c>
    </row>
    <row r="8" spans="2:10" x14ac:dyDescent="0.25">
      <c r="B8" s="11" t="s">
        <v>58</v>
      </c>
      <c r="C8" s="10"/>
      <c r="D8" s="10"/>
      <c r="E8" s="10"/>
      <c r="F8" s="10"/>
      <c r="G8" s="10"/>
      <c r="H8" s="9">
        <f>SUM(TEMPLATE_REGULAR[[#This Row],[UNCHECKED]],TEMPLATE_REGULAR[[#This Row],[CHECKED]],TEMPLATE_REGULAR[[#This Row],[ON PROCESS]],TEMPLATE_REGULAR[[#This Row],[CHROME OS]],TEMPLATE_REGULAR[[#This Row],[WINDOWS]])</f>
        <v>0</v>
      </c>
      <c r="I8" s="10"/>
      <c r="J8" s="9">
        <f>IFERROR(TEMPLATE_REGULAR[[#This Row],[TOTAL]] + TEMPLATE_REGULAR[[#This Row],[BACKJOB]], "")</f>
        <v>0</v>
      </c>
    </row>
    <row r="9" spans="2:10" x14ac:dyDescent="0.25">
      <c r="B9" s="11" t="s">
        <v>59</v>
      </c>
      <c r="C9" s="10"/>
      <c r="D9" s="10"/>
      <c r="E9" s="10"/>
      <c r="F9" s="10"/>
      <c r="G9" s="10"/>
      <c r="H9" s="9">
        <f>SUM(TEMPLATE_REGULAR[[#This Row],[UNCHECKED]],TEMPLATE_REGULAR[[#This Row],[CHECKED]],TEMPLATE_REGULAR[[#This Row],[ON PROCESS]],TEMPLATE_REGULAR[[#This Row],[CHROME OS]],TEMPLATE_REGULAR[[#This Row],[WINDOWS]])</f>
        <v>0</v>
      </c>
      <c r="I9" s="10"/>
      <c r="J9" s="9">
        <f>IFERROR(TEMPLATE_REGULAR[[#This Row],[TOTAL]] + TEMPLATE_REGULAR[[#This Row],[BACKJOB]], "")</f>
        <v>0</v>
      </c>
    </row>
    <row r="10" spans="2:10" x14ac:dyDescent="0.25">
      <c r="B10" s="11" t="s">
        <v>60</v>
      </c>
      <c r="C10" s="10"/>
      <c r="D10" s="10"/>
      <c r="E10" s="10"/>
      <c r="F10" s="10"/>
      <c r="G10" s="10"/>
      <c r="H10" s="9">
        <f>SUM(TEMPLATE_REGULAR[[#This Row],[UNCHECKED]],TEMPLATE_REGULAR[[#This Row],[CHECKED]],TEMPLATE_REGULAR[[#This Row],[ON PROCESS]],TEMPLATE_REGULAR[[#This Row],[CHROME OS]],TEMPLATE_REGULAR[[#This Row],[WINDOWS]])</f>
        <v>0</v>
      </c>
      <c r="I10" s="10"/>
      <c r="J10" s="9">
        <f>IFERROR(TEMPLATE_REGULAR[[#This Row],[TOTAL]] + TEMPLATE_REGULAR[[#This Row],[BACKJOB]], "")</f>
        <v>0</v>
      </c>
    </row>
    <row r="11" spans="2:10" x14ac:dyDescent="0.25">
      <c r="C11" s="10"/>
      <c r="D11" s="10"/>
      <c r="E11" s="10"/>
      <c r="F11" s="10"/>
      <c r="G11" s="10"/>
      <c r="H11" s="9">
        <f>SUM(TEMPLATE_REGULAR[[#This Row],[UNCHECKED]],TEMPLATE_REGULAR[[#This Row],[CHECKED]],TEMPLATE_REGULAR[[#This Row],[ON PROCESS]],TEMPLATE_REGULAR[[#This Row],[CHROME OS]],TEMPLATE_REGULAR[[#This Row],[WINDOWS]])</f>
        <v>0</v>
      </c>
      <c r="I11" s="10"/>
      <c r="J11" s="9">
        <f>IFERROR(TEMPLATE_REGULAR[[#This Row],[TOTAL]] + TEMPLATE_REGULAR[[#This Row],[BACKJOB]], "")</f>
        <v>0</v>
      </c>
    </row>
    <row r="12" spans="2:10" x14ac:dyDescent="0.25">
      <c r="B12" s="11" t="s">
        <v>43</v>
      </c>
      <c r="C12" s="9">
        <f>SUM(TEMPLATE_REGULAR[UNCHECKED])</f>
        <v>0</v>
      </c>
      <c r="D12" s="9">
        <f>SUM(TEMPLATE_REGULAR[CHECKED])</f>
        <v>0</v>
      </c>
      <c r="E12" s="9">
        <f>SUM(TEMPLATE_REGULAR[ON PROCESS])</f>
        <v>0</v>
      </c>
      <c r="F12" s="9">
        <f>SUM(TEMPLATE_REGULAR[CHROME OS])</f>
        <v>0</v>
      </c>
      <c r="G12" s="9">
        <f>SUM(TEMPLATE_REGULAR[WINDOWS])</f>
        <v>0</v>
      </c>
      <c r="H12" s="9">
        <f>SUM(TEMPLATE_REGULAR[TOTAL])</f>
        <v>0</v>
      </c>
      <c r="I12" s="9">
        <f>SUM(TEMPLATE_REGULAR[BACKJOB])</f>
        <v>0</v>
      </c>
      <c r="J12" s="9">
        <f>SUM(TEMPLATE_REGULAR[TOTAL INVENTORY:])</f>
        <v>0</v>
      </c>
    </row>
    <row r="14" spans="2:10" x14ac:dyDescent="0.25">
      <c r="C14" s="30" t="s">
        <v>32</v>
      </c>
      <c r="D14" s="30"/>
      <c r="E14" s="30"/>
    </row>
    <row r="15" spans="2:10" x14ac:dyDescent="0.25">
      <c r="B15" s="11" t="s">
        <v>1</v>
      </c>
      <c r="C15" t="s">
        <v>24</v>
      </c>
      <c r="D15" t="s">
        <v>41</v>
      </c>
      <c r="E15" t="s">
        <v>44</v>
      </c>
      <c r="F15" t="s">
        <v>25</v>
      </c>
      <c r="G15" t="s">
        <v>42</v>
      </c>
      <c r="H15" s="11" t="s">
        <v>43</v>
      </c>
      <c r="I15" t="s">
        <v>11</v>
      </c>
      <c r="J15" s="11" t="s">
        <v>45</v>
      </c>
    </row>
    <row r="16" spans="2:10" x14ac:dyDescent="0.25">
      <c r="B16" s="11" t="s">
        <v>31</v>
      </c>
      <c r="H1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6" s="11">
        <f>IFERROR(TEMPLATE_TOUCHSCREEN[[#This Row],[TOTAL : ]] + TEMPLATE_TOUCHSCREEN[[#This Row],[BACKJOB]], "")</f>
        <v>0</v>
      </c>
    </row>
    <row r="17" spans="2:10" x14ac:dyDescent="0.25">
      <c r="B17" s="11" t="s">
        <v>61</v>
      </c>
      <c r="H17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7" s="11">
        <f>IFERROR(TEMPLATE_TOUCHSCREEN[[#This Row],[TOTAL : ]] + TEMPLATE_TOUCHSCREEN[[#This Row],[BACKJOB]], "")</f>
        <v>0</v>
      </c>
    </row>
    <row r="18" spans="2:10" x14ac:dyDescent="0.25">
      <c r="B18" s="11" t="s">
        <v>62</v>
      </c>
      <c r="H18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8" s="11">
        <f>IFERROR(TEMPLATE_TOUCHSCREEN[[#This Row],[TOTAL : ]] + TEMPLATE_TOUCHSCREEN[[#This Row],[BACKJOB]], "")</f>
        <v>0</v>
      </c>
    </row>
    <row r="19" spans="2:10" x14ac:dyDescent="0.25">
      <c r="B19" s="11" t="s">
        <v>63</v>
      </c>
      <c r="H19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19" s="11">
        <f>IFERROR(TEMPLATE_TOUCHSCREEN[[#This Row],[TOTAL : ]] + TEMPLATE_TOUCHSCREEN[[#This Row],[BACKJOB]], "")</f>
        <v>0</v>
      </c>
    </row>
    <row r="20" spans="2:10" x14ac:dyDescent="0.25">
      <c r="B20" s="11" t="s">
        <v>64</v>
      </c>
      <c r="H20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0" s="11">
        <f>IFERROR(TEMPLATE_TOUCHSCREEN[[#This Row],[TOTAL : ]] + TEMPLATE_TOUCHSCREEN[[#This Row],[BACKJOB]], "")</f>
        <v>0</v>
      </c>
    </row>
    <row r="21" spans="2:10" x14ac:dyDescent="0.25">
      <c r="B21" s="11" t="s">
        <v>65</v>
      </c>
      <c r="H21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1" s="11">
        <f>IFERROR(TEMPLATE_TOUCHSCREEN[[#This Row],[TOTAL : ]] + TEMPLATE_TOUCHSCREEN[[#This Row],[BACKJOB]], "")</f>
        <v>0</v>
      </c>
    </row>
    <row r="22" spans="2:10" x14ac:dyDescent="0.25">
      <c r="B22" s="11" t="s">
        <v>66</v>
      </c>
      <c r="H22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2" s="11">
        <f>IFERROR(TEMPLATE_TOUCHSCREEN[[#This Row],[TOTAL : ]] + TEMPLATE_TOUCHSCREEN[[#This Row],[BACKJOB]], "")</f>
        <v>0</v>
      </c>
    </row>
    <row r="23" spans="2:10" x14ac:dyDescent="0.25">
      <c r="B23" s="11" t="s">
        <v>67</v>
      </c>
      <c r="H23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3" s="11">
        <f>IFERROR(TEMPLATE_TOUCHSCREEN[[#This Row],[TOTAL : ]] + TEMPLATE_TOUCHSCREEN[[#This Row],[BACKJOB]], "")</f>
        <v>0</v>
      </c>
    </row>
    <row r="24" spans="2:10" x14ac:dyDescent="0.25">
      <c r="H24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4" s="11">
        <f>IFERROR(TEMPLATE_TOUCHSCREEN[[#This Row],[TOTAL : ]] + TEMPLATE_TOUCHSCREEN[[#This Row],[BACKJOB]], "")</f>
        <v>0</v>
      </c>
    </row>
    <row r="25" spans="2:10" x14ac:dyDescent="0.25">
      <c r="H25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5" s="11">
        <f>IFERROR(TEMPLATE_TOUCHSCREEN[[#This Row],[TOTAL : ]] + TEMPLATE_TOUCHSCREEN[[#This Row],[BACKJOB]], "")</f>
        <v>0</v>
      </c>
    </row>
    <row r="26" spans="2:10" x14ac:dyDescent="0.25">
      <c r="H26" s="11">
        <f>SUM(TEMPLATE_TOUCHSCREEN[[#This Row],[UNCHECKED]],TEMPLATE_TOUCHSCREEN[[#This Row],[CHECKED]],TEMPLATE_TOUCHSCREEN[[#This Row],[ON PROCESS]],TEMPLATE_TOUCHSCREEN[[#This Row],[CHROME OS]],TEMPLATE_TOUCHSCREEN[[#This Row],[WINDOWS]])</f>
        <v>0</v>
      </c>
      <c r="J26" s="11">
        <f>IFERROR(TEMPLATE_TOUCHSCREEN[[#This Row],[TOTAL : ]] + TEMPLATE_TOUCHSCREEN[[#This Row],[BACKJOB]], "")</f>
        <v>0</v>
      </c>
    </row>
    <row r="27" spans="2:10" x14ac:dyDescent="0.25">
      <c r="B27" s="11" t="s">
        <v>43</v>
      </c>
      <c r="C27" s="10">
        <f>SUBTOTAL(109, TEMPLATE_TOUCHSCREEN[UNCHECKED])</f>
        <v>0</v>
      </c>
      <c r="D27" s="10">
        <f>SUBTOTAL(109, TEMPLATE_TOUCHSCREEN[CHECKED])</f>
        <v>0</v>
      </c>
      <c r="E27" s="10">
        <f>SUBTOTAL(109, TEMPLATE_TOUCHSCREEN[ON PROCESS])</f>
        <v>0</v>
      </c>
      <c r="F27" s="10">
        <f>SUBTOTAL(109, TEMPLATE_TOUCHSCREEN[CHROME OS])</f>
        <v>0</v>
      </c>
      <c r="G27" s="10">
        <f>SUBTOTAL(109, TEMPLATE_TOUCHSCREEN[WINDOWS])</f>
        <v>0</v>
      </c>
      <c r="H27" s="9">
        <f>SUBTOTAL(109, TEMPLATE_TOUCHSCREEN[TOTAL : ])</f>
        <v>0</v>
      </c>
      <c r="I27" s="10">
        <f>SUBTOTAL(109, TEMPLATE_TOUCHSCREEN[BACKJOB])</f>
        <v>0</v>
      </c>
      <c r="J27" s="9">
        <f>SUBTOTAL(109, TEMPLATE_TOUCHSCREEN[TOTAL INVENTORY : ])</f>
        <v>0</v>
      </c>
    </row>
    <row r="28" spans="2:10" x14ac:dyDescent="0.25">
      <c r="C28" s="10"/>
      <c r="D28" s="10"/>
      <c r="E28" s="10"/>
      <c r="F28" s="10"/>
      <c r="G28" s="10"/>
      <c r="H28" s="9"/>
      <c r="I28" s="10"/>
      <c r="J28" s="9"/>
    </row>
    <row r="29" spans="2:10" x14ac:dyDescent="0.25">
      <c r="C29" s="30" t="s">
        <v>46</v>
      </c>
      <c r="D29" s="30"/>
      <c r="E29" s="30"/>
    </row>
    <row r="30" spans="2:10" x14ac:dyDescent="0.25">
      <c r="B30" s="11" t="s">
        <v>1</v>
      </c>
      <c r="C30" t="s">
        <v>24</v>
      </c>
      <c r="D30" t="s">
        <v>41</v>
      </c>
      <c r="E30" t="s">
        <v>44</v>
      </c>
      <c r="F30" t="s">
        <v>25</v>
      </c>
      <c r="G30" t="s">
        <v>42</v>
      </c>
      <c r="H30" s="11" t="s">
        <v>43</v>
      </c>
      <c r="I30" t="s">
        <v>11</v>
      </c>
      <c r="J30" s="11" t="s">
        <v>45</v>
      </c>
    </row>
    <row r="31" spans="2:10" x14ac:dyDescent="0.25">
      <c r="B31" s="11" t="s">
        <v>68</v>
      </c>
      <c r="H31" s="11">
        <f>SUM(TEMPLATE_14_INCH[[#This Row],[UNCHECKED]],TEMPLATE_14_INCH[[#This Row],[CHECKED]],TEMPLATE_14_INCH[[#This Row],[ON PROCESS]],TEMPLATE_14_INCH[[#This Row],[CHROME OS]],TEMPLATE_14_INCH[[#This Row],[WINDOWS]])</f>
        <v>0</v>
      </c>
      <c r="J31" s="11">
        <f>IFERROR(TEMPLATE_14_INCH[[#This Row],[TOTAL : ]] + TEMPLATE_14_INCH[[#This Row],[BACKJOB]], "")</f>
        <v>0</v>
      </c>
    </row>
    <row r="32" spans="2:10" x14ac:dyDescent="0.25">
      <c r="B32" s="11" t="s">
        <v>69</v>
      </c>
      <c r="H32" s="11">
        <f>SUM(TEMPLATE_14_INCH[[#This Row],[UNCHECKED]],TEMPLATE_14_INCH[[#This Row],[CHECKED]],TEMPLATE_14_INCH[[#This Row],[ON PROCESS]],TEMPLATE_14_INCH[[#This Row],[CHROME OS]],TEMPLATE_14_INCH[[#This Row],[WINDOWS]])</f>
        <v>0</v>
      </c>
      <c r="J32" s="11">
        <f>IFERROR(TEMPLATE_14_INCH[[#This Row],[TOTAL : ]] + TEMPLATE_14_INCH[[#This Row],[BACKJOB]], "")</f>
        <v>0</v>
      </c>
    </row>
    <row r="33" spans="2:10" x14ac:dyDescent="0.25">
      <c r="B33" s="11" t="s">
        <v>33</v>
      </c>
      <c r="H33" s="11">
        <f>SUM(TEMPLATE_14_INCH[[#This Row],[UNCHECKED]],TEMPLATE_14_INCH[[#This Row],[CHECKED]],TEMPLATE_14_INCH[[#This Row],[ON PROCESS]],TEMPLATE_14_INCH[[#This Row],[CHROME OS]],TEMPLATE_14_INCH[[#This Row],[WINDOWS]])</f>
        <v>0</v>
      </c>
      <c r="J33" s="11">
        <f>IFERROR(TEMPLATE_14_INCH[[#This Row],[TOTAL : ]] + TEMPLATE_14_INCH[[#This Row],[BACKJOB]], "")</f>
        <v>0</v>
      </c>
    </row>
    <row r="34" spans="2:10" x14ac:dyDescent="0.25">
      <c r="B34" s="11" t="s">
        <v>70</v>
      </c>
      <c r="H34" s="11">
        <f>SUM(TEMPLATE_14_INCH[[#This Row],[UNCHECKED]],TEMPLATE_14_INCH[[#This Row],[CHECKED]],TEMPLATE_14_INCH[[#This Row],[ON PROCESS]],TEMPLATE_14_INCH[[#This Row],[CHROME OS]],TEMPLATE_14_INCH[[#This Row],[WINDOWS]])</f>
        <v>0</v>
      </c>
      <c r="J34" s="11">
        <f>IFERROR(TEMPLATE_14_INCH[[#This Row],[TOTAL : ]] + TEMPLATE_14_INCH[[#This Row],[BACKJOB]], "")</f>
        <v>0</v>
      </c>
    </row>
    <row r="35" spans="2:10" x14ac:dyDescent="0.25">
      <c r="B35" s="11" t="s">
        <v>71</v>
      </c>
      <c r="H35" s="11">
        <f>SUM(TEMPLATE_14_INCH[[#This Row],[UNCHECKED]],TEMPLATE_14_INCH[[#This Row],[CHECKED]],TEMPLATE_14_INCH[[#This Row],[ON PROCESS]],TEMPLATE_14_INCH[[#This Row],[CHROME OS]],TEMPLATE_14_INCH[[#This Row],[WINDOWS]])</f>
        <v>0</v>
      </c>
      <c r="J35" s="11">
        <f>IFERROR(TEMPLATE_14_INCH[[#This Row],[TOTAL : ]] + TEMPLATE_14_INCH[[#This Row],[BACKJOB]], "")</f>
        <v>0</v>
      </c>
    </row>
    <row r="36" spans="2:10" x14ac:dyDescent="0.25">
      <c r="B36" s="11" t="s">
        <v>73</v>
      </c>
      <c r="H36" s="11">
        <f>SUM(TEMPLATE_14_INCH[[#This Row],[UNCHECKED]],TEMPLATE_14_INCH[[#This Row],[CHECKED]],TEMPLATE_14_INCH[[#This Row],[ON PROCESS]],TEMPLATE_14_INCH[[#This Row],[CHROME OS]],TEMPLATE_14_INCH[[#This Row],[WINDOWS]])</f>
        <v>0</v>
      </c>
      <c r="J36" s="11">
        <f>IFERROR(TEMPLATE_14_INCH[[#This Row],[TOTAL : ]] + TEMPLATE_14_INCH[[#This Row],[BACKJOB]], "")</f>
        <v>0</v>
      </c>
    </row>
    <row r="37" spans="2:10" x14ac:dyDescent="0.25">
      <c r="B37" s="11" t="s">
        <v>75</v>
      </c>
      <c r="H37" s="11">
        <f>SUM(TEMPLATE_14_INCH[[#This Row],[UNCHECKED]],TEMPLATE_14_INCH[[#This Row],[CHECKED]],TEMPLATE_14_INCH[[#This Row],[ON PROCESS]],TEMPLATE_14_INCH[[#This Row],[CHROME OS]],TEMPLATE_14_INCH[[#This Row],[WINDOWS]])</f>
        <v>0</v>
      </c>
      <c r="J37" s="11">
        <f>IFERROR(TEMPLATE_14_INCH[[#This Row],[TOTAL : ]] + TEMPLATE_14_INCH[[#This Row],[BACKJOB]], "")</f>
        <v>0</v>
      </c>
    </row>
    <row r="38" spans="2:10" x14ac:dyDescent="0.25">
      <c r="B38" s="11" t="s">
        <v>76</v>
      </c>
      <c r="H38" s="11">
        <f>SUM(TEMPLATE_14_INCH[[#This Row],[UNCHECKED]],TEMPLATE_14_INCH[[#This Row],[CHECKED]],TEMPLATE_14_INCH[[#This Row],[ON PROCESS]],TEMPLATE_14_INCH[[#This Row],[CHROME OS]],TEMPLATE_14_INCH[[#This Row],[WINDOWS]])</f>
        <v>0</v>
      </c>
      <c r="J38" s="11">
        <f>IFERROR(TEMPLATE_14_INCH[[#This Row],[TOTAL : ]] + TEMPLATE_14_INCH[[#This Row],[BACKJOB]], "")</f>
        <v>0</v>
      </c>
    </row>
    <row r="39" spans="2:10" ht="15.75" customHeight="1" x14ac:dyDescent="0.25">
      <c r="B39" s="11" t="s">
        <v>77</v>
      </c>
      <c r="H39" s="11">
        <f>SUM(TEMPLATE_14_INCH[[#This Row],[UNCHECKED]],TEMPLATE_14_INCH[[#This Row],[CHECKED]],TEMPLATE_14_INCH[[#This Row],[ON PROCESS]],TEMPLATE_14_INCH[[#This Row],[CHROME OS]],TEMPLATE_14_INCH[[#This Row],[WINDOWS]])</f>
        <v>0</v>
      </c>
      <c r="J39" s="11">
        <f>IFERROR(TEMPLATE_14_INCH[[#This Row],[TOTAL : ]] + TEMPLATE_14_INCH[[#This Row],[BACKJOB]], "")</f>
        <v>0</v>
      </c>
    </row>
    <row r="40" spans="2:10" x14ac:dyDescent="0.25">
      <c r="B40" s="11" t="s">
        <v>78</v>
      </c>
      <c r="H40" s="11">
        <f>SUM(TEMPLATE_14_INCH[[#This Row],[UNCHECKED]],TEMPLATE_14_INCH[[#This Row],[CHECKED]],TEMPLATE_14_INCH[[#This Row],[ON PROCESS]],TEMPLATE_14_INCH[[#This Row],[CHROME OS]],TEMPLATE_14_INCH[[#This Row],[WINDOWS]])</f>
        <v>0</v>
      </c>
      <c r="J40" s="11">
        <f>IFERROR(TEMPLATE_14_INCH[[#This Row],[TOTAL : ]] + TEMPLATE_14_INCH[[#This Row],[BACKJOB]], "")</f>
        <v>0</v>
      </c>
    </row>
    <row r="41" spans="2:10" x14ac:dyDescent="0.25">
      <c r="H41" s="11">
        <f>SUM(TEMPLATE_14_INCH[[#This Row],[UNCHECKED]],TEMPLATE_14_INCH[[#This Row],[CHECKED]],TEMPLATE_14_INCH[[#This Row],[ON PROCESS]],TEMPLATE_14_INCH[[#This Row],[CHROME OS]],TEMPLATE_14_INCH[[#This Row],[WINDOWS]])</f>
        <v>0</v>
      </c>
      <c r="J41" s="11">
        <f>IFERROR(TEMPLATE_14_INCH[[#This Row],[TOTAL : ]] + TEMPLATE_14_INCH[[#This Row],[BACKJOB]], "")</f>
        <v>0</v>
      </c>
    </row>
    <row r="42" spans="2:10" x14ac:dyDescent="0.25">
      <c r="H42" s="11">
        <f>SUM(TEMPLATE_14_INCH[[#This Row],[UNCHECKED]],TEMPLATE_14_INCH[[#This Row],[CHECKED]],TEMPLATE_14_INCH[[#This Row],[ON PROCESS]],TEMPLATE_14_INCH[[#This Row],[CHROME OS]],TEMPLATE_14_INCH[[#This Row],[WINDOWS]])</f>
        <v>0</v>
      </c>
      <c r="J42" s="11">
        <f>IFERROR(TEMPLATE_14_INCH[[#This Row],[TOTAL : ]] + TEMPLATE_14_INCH[[#This Row],[BACKJOB]], "")</f>
        <v>0</v>
      </c>
    </row>
    <row r="43" spans="2:10" x14ac:dyDescent="0.25">
      <c r="H43" s="11">
        <f>SUM(TEMPLATE_14_INCH[[#This Row],[UNCHECKED]],TEMPLATE_14_INCH[[#This Row],[CHECKED]],TEMPLATE_14_INCH[[#This Row],[ON PROCESS]],TEMPLATE_14_INCH[[#This Row],[CHROME OS]],TEMPLATE_14_INCH[[#This Row],[WINDOWS]])</f>
        <v>0</v>
      </c>
      <c r="J43" s="11">
        <f>IFERROR(TEMPLATE_14_INCH[[#This Row],[TOTAL : ]] + TEMPLATE_14_INCH[[#This Row],[BACKJOB]], "")</f>
        <v>0</v>
      </c>
    </row>
    <row r="44" spans="2:10" x14ac:dyDescent="0.25">
      <c r="B44" s="11" t="s">
        <v>43</v>
      </c>
      <c r="C44" s="10">
        <f>SUBTOTAL(109, TEMPLATE_14_INCH[UNCHECKED])</f>
        <v>0</v>
      </c>
      <c r="D44" s="10">
        <f>SUBTOTAL(109, TEMPLATE_14_INCH[CHECKED])</f>
        <v>0</v>
      </c>
      <c r="E44" s="10">
        <f>SUBTOTAL(109, TEMPLATE_14_INCH[ON PROCESS])</f>
        <v>0</v>
      </c>
      <c r="F44" s="10">
        <f>SUBTOTAL(109, TEMPLATE_14_INCH[CHROME OS])</f>
        <v>0</v>
      </c>
      <c r="G44" s="10">
        <f>SUBTOTAL(109, TEMPLATE_14_INCH[WINDOWS])</f>
        <v>0</v>
      </c>
      <c r="H44" s="9">
        <f>SUBTOTAL(109, TEMPLATE_14_INCH[TOTAL : ])</f>
        <v>0</v>
      </c>
      <c r="I44" s="10">
        <f>SUBTOTAL(109, TEMPLATE_14_INCH[BACKJOB])</f>
        <v>0</v>
      </c>
      <c r="J44" s="9">
        <f>SUBTOTAL(109, TEMPLATE_14_INCH[TOTAL INVENTORY : ])</f>
        <v>0</v>
      </c>
    </row>
    <row r="46" spans="2:10" x14ac:dyDescent="0.25">
      <c r="C46" s="30" t="s">
        <v>113</v>
      </c>
      <c r="D46" s="30"/>
      <c r="E46" s="30"/>
    </row>
    <row r="47" spans="2:10" x14ac:dyDescent="0.25">
      <c r="B47" s="11" t="s">
        <v>1</v>
      </c>
      <c r="C47" t="s">
        <v>24</v>
      </c>
      <c r="D47" t="s">
        <v>41</v>
      </c>
      <c r="E47" t="s">
        <v>44</v>
      </c>
      <c r="F47" t="s">
        <v>25</v>
      </c>
      <c r="G47" t="s">
        <v>42</v>
      </c>
      <c r="H47" s="11" t="s">
        <v>43</v>
      </c>
      <c r="I47" t="s">
        <v>11</v>
      </c>
      <c r="J47" s="11" t="s">
        <v>45</v>
      </c>
    </row>
    <row r="48" spans="2:10" x14ac:dyDescent="0.25">
      <c r="B48" s="11" t="s">
        <v>79</v>
      </c>
      <c r="H4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8" s="11">
        <f>IFERROR(TEMPLATE_14_INCH5[[#This Row],[TOTAL : ]] + TEMPLATE_14_INCH5[[#This Row],[BACKJOB]], "")</f>
        <v>0</v>
      </c>
    </row>
    <row r="49" spans="2:10" x14ac:dyDescent="0.25">
      <c r="B49" s="11" t="s">
        <v>80</v>
      </c>
      <c r="H4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49" s="11">
        <f>IFERROR(TEMPLATE_14_INCH5[[#This Row],[TOTAL : ]] + TEMPLATE_14_INCH5[[#This Row],[BACKJOB]], "")</f>
        <v>0</v>
      </c>
    </row>
    <row r="50" spans="2:10" x14ac:dyDescent="0.25">
      <c r="B50" s="11" t="s">
        <v>81</v>
      </c>
      <c r="H5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0" s="11">
        <f>IFERROR(TEMPLATE_14_INCH5[[#This Row],[TOTAL : ]] + TEMPLATE_14_INCH5[[#This Row],[BACKJOB]], "")</f>
        <v>0</v>
      </c>
    </row>
    <row r="51" spans="2:10" x14ac:dyDescent="0.25">
      <c r="B51" s="11" t="s">
        <v>82</v>
      </c>
      <c r="H51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1" s="11">
        <f>IFERROR(TEMPLATE_14_INCH5[[#This Row],[TOTAL : ]] + TEMPLATE_14_INCH5[[#This Row],[BACKJOB]], "")</f>
        <v>0</v>
      </c>
    </row>
    <row r="52" spans="2:10" x14ac:dyDescent="0.25">
      <c r="B52" s="11" t="s">
        <v>83</v>
      </c>
      <c r="H52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2" s="11">
        <f>IFERROR(TEMPLATE_14_INCH5[[#This Row],[TOTAL : ]] + TEMPLATE_14_INCH5[[#This Row],[BACKJOB]], "")</f>
        <v>0</v>
      </c>
    </row>
    <row r="53" spans="2:10" x14ac:dyDescent="0.25">
      <c r="B53" s="11" t="s">
        <v>84</v>
      </c>
      <c r="H53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3" s="11">
        <f>IFERROR(TEMPLATE_14_INCH5[[#This Row],[TOTAL : ]] + TEMPLATE_14_INCH5[[#This Row],[BACKJOB]], "")</f>
        <v>0</v>
      </c>
    </row>
    <row r="54" spans="2:10" x14ac:dyDescent="0.25">
      <c r="B54" s="11" t="s">
        <v>85</v>
      </c>
      <c r="H54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4" s="11">
        <f>IFERROR(TEMPLATE_14_INCH5[[#This Row],[TOTAL : ]] + TEMPLATE_14_INCH5[[#This Row],[BACKJOB]], "")</f>
        <v>0</v>
      </c>
    </row>
    <row r="55" spans="2:10" x14ac:dyDescent="0.25">
      <c r="B55" s="11" t="s">
        <v>86</v>
      </c>
      <c r="H55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5" s="11">
        <f>IFERROR(TEMPLATE_14_INCH5[[#This Row],[TOTAL : ]] + TEMPLATE_14_INCH5[[#This Row],[BACKJOB]], "")</f>
        <v>0</v>
      </c>
    </row>
    <row r="56" spans="2:10" x14ac:dyDescent="0.25">
      <c r="B56" s="11" t="s">
        <v>88</v>
      </c>
      <c r="H56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6" s="11">
        <f>IFERROR(TEMPLATE_14_INCH5[[#This Row],[TOTAL : ]] + TEMPLATE_14_INCH5[[#This Row],[BACKJOB]], "")</f>
        <v>0</v>
      </c>
    </row>
    <row r="57" spans="2:10" x14ac:dyDescent="0.25">
      <c r="B57" s="11" t="s">
        <v>89</v>
      </c>
      <c r="H57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7" s="11">
        <f>IFERROR(TEMPLATE_14_INCH5[[#This Row],[TOTAL : ]] + TEMPLATE_14_INCH5[[#This Row],[BACKJOB]], "")</f>
        <v>0</v>
      </c>
    </row>
    <row r="58" spans="2:10" x14ac:dyDescent="0.25">
      <c r="B58" s="11" t="s">
        <v>90</v>
      </c>
      <c r="H58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8" s="11">
        <f>IFERROR(TEMPLATE_14_INCH5[[#This Row],[TOTAL : ]] + TEMPLATE_14_INCH5[[#This Row],[BACKJOB]], "")</f>
        <v>0</v>
      </c>
    </row>
    <row r="59" spans="2:10" x14ac:dyDescent="0.25">
      <c r="B59" s="11" t="s">
        <v>91</v>
      </c>
      <c r="H59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59" s="11">
        <f>IFERROR(TEMPLATE_14_INCH5[[#This Row],[TOTAL : ]] + TEMPLATE_14_INCH5[[#This Row],[BACKJOB]], "")</f>
        <v>0</v>
      </c>
    </row>
    <row r="60" spans="2:10" x14ac:dyDescent="0.25">
      <c r="H60" s="11">
        <f>SUM(TEMPLATE_14_INCH5[[#This Row],[UNCHECKED]],TEMPLATE_14_INCH5[[#This Row],[CHECKED]],TEMPLATE_14_INCH5[[#This Row],[ON PROCESS]],TEMPLATE_14_INCH5[[#This Row],[CHROME OS]],TEMPLATE_14_INCH5[[#This Row],[WINDOWS]])</f>
        <v>0</v>
      </c>
      <c r="J60" s="11">
        <f>IFERROR(TEMPLATE_14_INCH5[[#This Row],[TOTAL : ]] + TEMPLATE_14_INCH5[[#This Row],[BACKJOB]], "")</f>
        <v>0</v>
      </c>
    </row>
    <row r="61" spans="2:10" x14ac:dyDescent="0.25">
      <c r="B61" s="11" t="s">
        <v>43</v>
      </c>
      <c r="C61" s="10">
        <f>SUBTOTAL(109, TEMPLATE_14_INCH5[UNCHECKED])</f>
        <v>0</v>
      </c>
      <c r="D61" s="10">
        <f>SUBTOTAL(109, TEMPLATE_14_INCH5[CHECKED])</f>
        <v>0</v>
      </c>
      <c r="E61" s="10">
        <f>SUBTOTAL(109, TEMPLATE_14_INCH5[ON PROCESS])</f>
        <v>0</v>
      </c>
      <c r="F61" s="10">
        <f>SUBTOTAL(109, TEMPLATE_14_INCH5[CHROME OS])</f>
        <v>0</v>
      </c>
      <c r="G61" s="10">
        <f>SUBTOTAL(109, TEMPLATE_14_INCH5[WINDOWS])</f>
        <v>0</v>
      </c>
      <c r="H61" s="9">
        <f>SUBTOTAL(109, TEMPLATE_14_INCH5[TOTAL : ])</f>
        <v>0</v>
      </c>
      <c r="I61" s="10">
        <f>SUBTOTAL(109, TEMPLATE_14_INCH5[BACKJOB])</f>
        <v>0</v>
      </c>
      <c r="J61" s="9">
        <f>SUBTOTAL(109, TEMPLATE_14_INCH5[TOTAL INVENTORY : ])</f>
        <v>0</v>
      </c>
    </row>
  </sheetData>
  <mergeCells count="4">
    <mergeCell ref="C1:E1"/>
    <mergeCell ref="C14:E14"/>
    <mergeCell ref="C29:E29"/>
    <mergeCell ref="C46:E46"/>
  </mergeCells>
  <phoneticPr fontId="3" type="noConversion"/>
  <pageMargins left="0.7" right="0.7" top="0.75" bottom="0.75" header="0.3" footer="0.3"/>
  <pageSetup orientation="portrait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_TBL_INVENTORY_LAPTOP</vt:lpstr>
      <vt:lpstr>LAPTOP</vt:lpstr>
      <vt:lpstr>PRINTER</vt:lpstr>
      <vt:lpstr>_TBL_INVENTORY_PRINTER</vt:lpstr>
      <vt:lpstr>_TBL_INVENTORY_PC</vt:lpstr>
      <vt:lpstr>PC</vt:lpstr>
      <vt:lpstr>TEMPLATE</vt:lpstr>
      <vt:lpstr>NAMES_INVENTORY_PC</vt:lpstr>
      <vt:lpstr>NAMES_INVENTORY_PRINTERS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Lewis Daveriel Masallo</cp:lastModifiedBy>
  <dcterms:created xsi:type="dcterms:W3CDTF">2015-06-05T18:17:20Z</dcterms:created>
  <dcterms:modified xsi:type="dcterms:W3CDTF">2025-04-23T11:19:00Z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ca1e728d-1ae6-44e5-a949-856146aa03ff</vt:lpwstr>
  </property>
</Properties>
</file>