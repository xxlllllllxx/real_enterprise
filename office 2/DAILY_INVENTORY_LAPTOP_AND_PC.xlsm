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D1A04948-D2CB-4409-941F-C652FCC49502}" xr6:coauthVersionLast="36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_TBL_INVENTORY_LAPTOP" sheetId="4" state="hidden" r:id="rId1"/>
    <sheet name="LAPTOP" sheetId="2" r:id="rId2"/>
    <sheet name="_TBL_LAPTOP_MOVEMENTS" sheetId="18" state="hidden" r:id="rId3"/>
    <sheet name="LAPTOP PRODUCTION" sheetId="17" r:id="rId4"/>
    <sheet name="PRINTER" sheetId="16" r:id="rId5"/>
    <sheet name="_TBL_INVENTORY_PRINTER" sheetId="15" state="hidden" r:id="rId6"/>
    <sheet name="_TBL_INVENTORY_PC" sheetId="14" state="hidden" r:id="rId7"/>
    <sheet name="PC" sheetId="12" r:id="rId8"/>
    <sheet name="TEMPLATE" sheetId="11" state="hidden" r:id="rId9"/>
  </sheets>
  <functionGroups builtInGroupCount="19"/>
  <definedNames>
    <definedName name="ExternalData_1" localSheetId="0" hidden="1">'_TBL_INVENTORY_LAPTOP'!$A$2:$G$54</definedName>
    <definedName name="ExternalData_1" localSheetId="6" hidden="1">'_TBL_INVENTORY_PC'!$A$1:$G$4</definedName>
    <definedName name="ExternalData_1" localSheetId="2" hidden="1">'_TBL_LAPTOP_MOVEMENTS'!$A$1:$B$4</definedName>
    <definedName name="ExternalData_2" localSheetId="5" hidden="1">'_TBL_INVENTORY_PRINTER'!$A$1:$G$8</definedName>
    <definedName name="NAMES_INVENTORY">OFFSET(_TBL_INVENTORY_LAPTOP[NAME], 0, 0, COUNTA(_TBL_INVENTORY_LAPTOP[NAME]), 1)</definedName>
    <definedName name="NAMES_INVENTORY_PC">_TBL_INVENTORY_PC[NAME]</definedName>
    <definedName name="NAMES_INVENTORY_PRINTERS">_TBL_INVENTORY_PRINTER[NAME]</definedName>
    <definedName name="NAMES_LAPTOP_MOVEMENTS">_TBL_LAPTOP_MOVEMENTS[NAME]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7" l="1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E54" i="2" l="1"/>
  <c r="E53" i="2"/>
  <c r="E52" i="2"/>
  <c r="E51" i="2"/>
  <c r="E50" i="2"/>
  <c r="E49" i="2"/>
  <c r="E48" i="2"/>
  <c r="E47" i="2"/>
  <c r="E46" i="2"/>
  <c r="E45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F6" i="12" l="1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4" i="12"/>
  <c r="F5" i="12"/>
  <c r="F3" i="12"/>
  <c r="F3" i="16"/>
  <c r="F4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H113" i="17"/>
  <c r="E5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56" i="2"/>
  <c r="E76" i="2"/>
  <c r="E77" i="2"/>
  <c r="E78" i="2"/>
  <c r="E79" i="2"/>
  <c r="E80" i="2"/>
  <c r="E81" i="2"/>
  <c r="E82" i="2"/>
  <c r="E83" i="2"/>
  <c r="E84" i="2"/>
  <c r="E85" i="2"/>
  <c r="E3" i="2"/>
  <c r="F28" i="16"/>
  <c r="F5" i="16"/>
  <c r="F6" i="16"/>
  <c r="F7" i="16"/>
  <c r="H55" i="17"/>
  <c r="G55" i="17" s="1"/>
  <c r="H56" i="17"/>
  <c r="G56" i="17" s="1"/>
  <c r="H57" i="17"/>
  <c r="G57" i="17" s="1"/>
  <c r="H58" i="17"/>
  <c r="G58" i="17" s="1"/>
  <c r="H59" i="17"/>
  <c r="G59" i="17" s="1"/>
  <c r="H60" i="17"/>
  <c r="G60" i="17" s="1"/>
  <c r="H61" i="17"/>
  <c r="G61" i="17" s="1"/>
  <c r="H62" i="17"/>
  <c r="G62" i="17" s="1"/>
  <c r="H63" i="17"/>
  <c r="G63" i="17" s="1"/>
  <c r="H64" i="17"/>
  <c r="G64" i="17" s="1"/>
  <c r="H65" i="17"/>
  <c r="G65" i="17" s="1"/>
  <c r="H66" i="17"/>
  <c r="G66" i="17" s="1"/>
  <c r="H67" i="17"/>
  <c r="G67" i="17" s="1"/>
  <c r="H68" i="17"/>
  <c r="G68" i="17" s="1"/>
  <c r="H69" i="17"/>
  <c r="G69" i="17" s="1"/>
  <c r="H70" i="17"/>
  <c r="G70" i="17" s="1"/>
  <c r="H71" i="17"/>
  <c r="G71" i="17" s="1"/>
  <c r="H72" i="17"/>
  <c r="G72" i="17" s="1"/>
  <c r="H73" i="17"/>
  <c r="G73" i="17" s="1"/>
  <c r="H74" i="17"/>
  <c r="G74" i="17" s="1"/>
  <c r="H75" i="17"/>
  <c r="G75" i="17" s="1"/>
  <c r="H76" i="17"/>
  <c r="G76" i="17" s="1"/>
  <c r="H77" i="17"/>
  <c r="G77" i="17" s="1"/>
  <c r="H78" i="17"/>
  <c r="G78" i="17" s="1"/>
  <c r="H79" i="17"/>
  <c r="G79" i="17" s="1"/>
  <c r="H80" i="17"/>
  <c r="G80" i="17" s="1"/>
  <c r="H81" i="17"/>
  <c r="G81" i="17" s="1"/>
  <c r="H82" i="17"/>
  <c r="G82" i="17" s="1"/>
  <c r="H83" i="17"/>
  <c r="G83" i="17" s="1"/>
  <c r="H84" i="17"/>
  <c r="G84" i="17" s="1"/>
  <c r="H85" i="17"/>
  <c r="G85" i="17" s="1"/>
  <c r="H86" i="17"/>
  <c r="G86" i="17" s="1"/>
  <c r="H87" i="17"/>
  <c r="G87" i="17" s="1"/>
  <c r="H88" i="17"/>
  <c r="G88" i="17" s="1"/>
  <c r="H89" i="17"/>
  <c r="G89" i="17" s="1"/>
  <c r="H90" i="17"/>
  <c r="G90" i="17" s="1"/>
  <c r="H91" i="17"/>
  <c r="G91" i="17" s="1"/>
  <c r="H92" i="17"/>
  <c r="G92" i="17" s="1"/>
  <c r="H93" i="17"/>
  <c r="G93" i="17" s="1"/>
  <c r="H94" i="17"/>
  <c r="G94" i="17" s="1"/>
  <c r="H95" i="17"/>
  <c r="G95" i="17" s="1"/>
  <c r="H96" i="17"/>
  <c r="G96" i="17" s="1"/>
  <c r="H97" i="17"/>
  <c r="G97" i="17" s="1"/>
  <c r="H98" i="17"/>
  <c r="G98" i="17" s="1"/>
  <c r="H99" i="17"/>
  <c r="G99" i="17" s="1"/>
  <c r="H100" i="17"/>
  <c r="G100" i="17" s="1"/>
  <c r="H101" i="17"/>
  <c r="G101" i="17" s="1"/>
  <c r="H102" i="17"/>
  <c r="G102" i="17" s="1"/>
  <c r="H103" i="17"/>
  <c r="G103" i="17" s="1"/>
  <c r="H104" i="17"/>
  <c r="G104" i="17" s="1"/>
  <c r="H105" i="17"/>
  <c r="G105" i="17" s="1"/>
  <c r="H106" i="17"/>
  <c r="G106" i="17" s="1"/>
  <c r="H107" i="17"/>
  <c r="G107" i="17" s="1"/>
  <c r="H108" i="17"/>
  <c r="G108" i="17" s="1"/>
  <c r="H109" i="17"/>
  <c r="G109" i="17" s="1"/>
  <c r="H110" i="17"/>
  <c r="G110" i="17" s="1"/>
  <c r="H111" i="17"/>
  <c r="G111" i="17" s="1"/>
  <c r="H112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4" i="17"/>
  <c r="G4" i="17" s="1"/>
  <c r="H5" i="17"/>
  <c r="G5" i="17" s="1"/>
  <c r="H6" i="17"/>
  <c r="G6" i="17" s="1"/>
  <c r="H7" i="17"/>
  <c r="G7" i="17" s="1"/>
  <c r="H8" i="17"/>
  <c r="G8" i="17" s="1"/>
  <c r="H9" i="17"/>
  <c r="G9" i="17" s="1"/>
  <c r="H10" i="17"/>
  <c r="G10" i="17" s="1"/>
  <c r="H11" i="17"/>
  <c r="G11" i="17" s="1"/>
  <c r="H12" i="17"/>
  <c r="G12" i="17" s="1"/>
  <c r="H13" i="17"/>
  <c r="G13" i="17" s="1"/>
  <c r="H14" i="17"/>
  <c r="G14" i="17" s="1"/>
  <c r="H15" i="17"/>
  <c r="G15" i="17" s="1"/>
  <c r="H16" i="17"/>
  <c r="G16" i="17" s="1"/>
  <c r="H17" i="17"/>
  <c r="G17" i="17" s="1"/>
  <c r="H18" i="17"/>
  <c r="G18" i="17" s="1"/>
  <c r="H19" i="17"/>
  <c r="G19" i="17" s="1"/>
  <c r="H20" i="17"/>
  <c r="G20" i="17" s="1"/>
  <c r="H21" i="17"/>
  <c r="G21" i="17" s="1"/>
  <c r="H22" i="17"/>
  <c r="G22" i="17" s="1"/>
  <c r="H23" i="17"/>
  <c r="G23" i="17" s="1"/>
  <c r="H24" i="17"/>
  <c r="G24" i="17" s="1"/>
  <c r="H25" i="17"/>
  <c r="G25" i="17" s="1"/>
  <c r="H26" i="17"/>
  <c r="G26" i="17" s="1"/>
  <c r="H27" i="17"/>
  <c r="G27" i="17" s="1"/>
  <c r="H28" i="17"/>
  <c r="G28" i="17" s="1"/>
  <c r="H29" i="17"/>
  <c r="G29" i="17" s="1"/>
  <c r="H30" i="17"/>
  <c r="G30" i="17" s="1"/>
  <c r="H31" i="17"/>
  <c r="G31" i="17" s="1"/>
  <c r="H32" i="17"/>
  <c r="G32" i="17" s="1"/>
  <c r="H33" i="17"/>
  <c r="G33" i="17" s="1"/>
  <c r="H34" i="17"/>
  <c r="G34" i="17" s="1"/>
  <c r="H35" i="17"/>
  <c r="G35" i="17" s="1"/>
  <c r="H36" i="17"/>
  <c r="G36" i="17" s="1"/>
  <c r="H37" i="17"/>
  <c r="G37" i="17" s="1"/>
  <c r="H38" i="17"/>
  <c r="G38" i="17" s="1"/>
  <c r="H39" i="17"/>
  <c r="G39" i="17" s="1"/>
  <c r="H40" i="17"/>
  <c r="G40" i="17" s="1"/>
  <c r="H41" i="17"/>
  <c r="G41" i="17" s="1"/>
  <c r="H42" i="17"/>
  <c r="G42" i="17" s="1"/>
  <c r="H43" i="17"/>
  <c r="G43" i="17" s="1"/>
  <c r="H44" i="17"/>
  <c r="G44" i="17" s="1"/>
  <c r="H45" i="17"/>
  <c r="G45" i="17" s="1"/>
  <c r="H46" i="17"/>
  <c r="G46" i="17" s="1"/>
  <c r="H47" i="17"/>
  <c r="G47" i="17" s="1"/>
  <c r="H48" i="17"/>
  <c r="G48" i="17" s="1"/>
  <c r="H49" i="17"/>
  <c r="G49" i="17" s="1"/>
  <c r="H50" i="17"/>
  <c r="G50" i="17" s="1"/>
  <c r="H51" i="17"/>
  <c r="G51" i="17" s="1"/>
  <c r="H52" i="17"/>
  <c r="G52" i="17" s="1"/>
  <c r="H53" i="17"/>
  <c r="G53" i="17" s="1"/>
  <c r="H54" i="17"/>
  <c r="G54" i="17" s="1"/>
  <c r="H165" i="17"/>
  <c r="H166" i="17"/>
  <c r="H167" i="17"/>
  <c r="H168" i="17"/>
  <c r="H169" i="17"/>
  <c r="H170" i="17"/>
  <c r="H171" i="17"/>
  <c r="E87" i="2" l="1"/>
  <c r="H175" i="17"/>
  <c r="H176" i="17"/>
  <c r="H177" i="17"/>
  <c r="H178" i="17"/>
  <c r="H179" i="17"/>
  <c r="H180" i="17"/>
  <c r="H181" i="17"/>
  <c r="H182" i="17"/>
  <c r="H183" i="17"/>
  <c r="F185" i="17" l="1"/>
  <c r="D185" i="17"/>
  <c r="E184" i="17"/>
  <c r="D184" i="17"/>
  <c r="B184" i="17"/>
  <c r="E185" i="17" l="1"/>
  <c r="H184" i="17"/>
  <c r="F8" i="16" l="1"/>
  <c r="F27" i="16"/>
  <c r="F29" i="16"/>
  <c r="F31" i="12"/>
  <c r="I61" i="11"/>
  <c r="G61" i="11"/>
  <c r="F61" i="11"/>
  <c r="E61" i="11"/>
  <c r="D61" i="11"/>
  <c r="C61" i="11"/>
  <c r="H60" i="11"/>
  <c r="J60" i="11" s="1"/>
  <c r="H59" i="11"/>
  <c r="J59" i="11" s="1"/>
  <c r="J58" i="11"/>
  <c r="H58" i="11"/>
  <c r="H57" i="11"/>
  <c r="J57" i="11" s="1"/>
  <c r="H56" i="11"/>
  <c r="J56" i="11" s="1"/>
  <c r="H55" i="11"/>
  <c r="J55" i="11" s="1"/>
  <c r="J54" i="11"/>
  <c r="H54" i="11"/>
  <c r="H53" i="11"/>
  <c r="J53" i="11" s="1"/>
  <c r="H52" i="11"/>
  <c r="J52" i="11" s="1"/>
  <c r="H51" i="11"/>
  <c r="J51" i="11" s="1"/>
  <c r="J50" i="11"/>
  <c r="H50" i="11"/>
  <c r="H49" i="11"/>
  <c r="J49" i="11" s="1"/>
  <c r="H48" i="11"/>
  <c r="J48" i="11" s="1"/>
  <c r="J61" i="11" s="1"/>
  <c r="H35" i="11"/>
  <c r="H36" i="11"/>
  <c r="H37" i="11"/>
  <c r="J37" i="11" s="1"/>
  <c r="H38" i="11"/>
  <c r="J38" i="11" s="1"/>
  <c r="J35" i="11"/>
  <c r="J36" i="11"/>
  <c r="H32" i="11"/>
  <c r="H33" i="11"/>
  <c r="J33" i="11" s="1"/>
  <c r="H34" i="11"/>
  <c r="J34" i="11" s="1"/>
  <c r="H39" i="11"/>
  <c r="J39" i="11" s="1"/>
  <c r="J32" i="11"/>
  <c r="H40" i="11"/>
  <c r="J40" i="11" s="1"/>
  <c r="H41" i="11"/>
  <c r="J41" i="11" s="1"/>
  <c r="H42" i="11"/>
  <c r="J42" i="11" s="1"/>
  <c r="H8" i="11"/>
  <c r="J8" i="11" s="1"/>
  <c r="H9" i="11"/>
  <c r="J9" i="11" s="1"/>
  <c r="H17" i="11"/>
  <c r="J17" i="11" s="1"/>
  <c r="H18" i="11"/>
  <c r="J18" i="11" s="1"/>
  <c r="H19" i="11"/>
  <c r="J19" i="11" s="1"/>
  <c r="H20" i="11"/>
  <c r="J20" i="11" s="1"/>
  <c r="H21" i="11"/>
  <c r="J21" i="11" s="1"/>
  <c r="H16" i="11"/>
  <c r="J16" i="11" s="1"/>
  <c r="H22" i="11"/>
  <c r="J22" i="11" s="1"/>
  <c r="H23" i="11"/>
  <c r="J23" i="11" s="1"/>
  <c r="H24" i="11"/>
  <c r="J24" i="11" s="1"/>
  <c r="G31" i="16"/>
  <c r="E31" i="16"/>
  <c r="D31" i="16"/>
  <c r="G30" i="16"/>
  <c r="E30" i="16"/>
  <c r="D30" i="16"/>
  <c r="B30" i="16"/>
  <c r="G33" i="12"/>
  <c r="E33" i="12"/>
  <c r="D33" i="12"/>
  <c r="G32" i="12"/>
  <c r="E32" i="12"/>
  <c r="D32" i="12"/>
  <c r="B32" i="12"/>
  <c r="F30" i="16" l="1"/>
  <c r="F31" i="16"/>
  <c r="H61" i="11"/>
  <c r="F32" i="12"/>
  <c r="F33" i="12"/>
  <c r="H43" i="11"/>
  <c r="J43" i="11" s="1"/>
  <c r="H26" i="11"/>
  <c r="J26" i="11" s="1"/>
  <c r="H31" i="11"/>
  <c r="J31" i="11" s="1"/>
  <c r="H25" i="11"/>
  <c r="J25" i="11" s="1"/>
  <c r="H3" i="11"/>
  <c r="H4" i="11"/>
  <c r="J4" i="11" s="1"/>
  <c r="H5" i="11"/>
  <c r="J5" i="11" s="1"/>
  <c r="H6" i="11"/>
  <c r="J6" i="11" s="1"/>
  <c r="H7" i="11"/>
  <c r="J7" i="11" s="1"/>
  <c r="H10" i="11"/>
  <c r="H11" i="11"/>
  <c r="J11" i="11" s="1"/>
  <c r="J10" i="11"/>
  <c r="E12" i="11"/>
  <c r="F12" i="11"/>
  <c r="G12" i="11"/>
  <c r="I12" i="11"/>
  <c r="C12" i="11"/>
  <c r="D12" i="11"/>
  <c r="I44" i="11"/>
  <c r="G44" i="11"/>
  <c r="F44" i="11"/>
  <c r="E44" i="11"/>
  <c r="D44" i="11"/>
  <c r="C44" i="11"/>
  <c r="I27" i="11"/>
  <c r="G27" i="11"/>
  <c r="F27" i="11"/>
  <c r="E27" i="11"/>
  <c r="D27" i="11"/>
  <c r="C27" i="11"/>
  <c r="H12" i="11" l="1"/>
  <c r="J3" i="11"/>
  <c r="J12" i="11" s="1"/>
  <c r="H44" i="11"/>
  <c r="H27" i="11"/>
  <c r="J44" i="11"/>
  <c r="J27" i="11"/>
  <c r="D86" i="2" l="1"/>
  <c r="D87" i="2"/>
  <c r="B86" i="2"/>
  <c r="E86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LAPTOP" description="Connection to the '_TBL_INVENTORY_LAPTOP' query in the workbook." type="5" refreshedVersion="6" background="1" saveData="1">
    <dbPr connection="Provider=Microsoft.Mashup.OleDb.1;Data Source=$Workbook$;Location=_TBL_INVENTORY_LAPTOP;Extended Properties=&quot;&quot;" command="SELECT * FROM [_TBL_INVENTORY_LAPTOP]"/>
  </connection>
  <connection id="2" xr16:uid="{0A37B048-E40E-4C96-A5D6-CB6F97B83A05}" keepAlive="1" name="Query - _TBL_INVENTORY_PC" description="Connection to the '_TBL_INVENTORY_PC' query in the workbook." type="5" refreshedVersion="6" background="1" saveData="1">
    <dbPr connection="Provider=Microsoft.Mashup.OleDb.1;Data Source=$Workbook$;Location=_TBL_INVENTORY_PC;Extended Properties=&quot;&quot;" command="SELECT * FROM [_TBL_INVENTORY_PC]"/>
  </connection>
  <connection id="3" xr16:uid="{85159E3D-AC24-4314-9534-32A96BD7C7F1}" keepAlive="1" name="Query - _TBL_INVENTORY_PRINTER" description="Connection to the '_TBL_INVENTORY_PRINTER' query in the workbook." type="5" refreshedVersion="6" background="1" saveData="1">
    <dbPr connection="Provider=Microsoft.Mashup.OleDb.1;Data Source=$Workbook$;Location=_TBL_INVENTORY_PRINTER;Extended Properties=&quot;&quot;" command="SELECT * FROM [_TBL_INVENTORY_PRINTER]"/>
  </connection>
  <connection id="4" xr16:uid="{527E1081-ADC7-45FF-BE5B-48F25ED6865B}" keepAlive="1" name="Query - _TBL_LAPTOP_MOVEMENTS" description="Connection to the '_TBL_LAPTOP_MOVEMENTS' query in the workbook." type="5" refreshedVersion="6" background="1" saveData="1">
    <dbPr connection="Provider=Microsoft.Mashup.OleDb.1;Data Source=$Workbook$;Location=_TBL_LAPTOP_MOVEMENTS;Extended Properties=&quot;&quot;" command="SELECT * FROM [_TBL_LAPTOP_MOVEMENTS]"/>
  </connection>
</connections>
</file>

<file path=xl/sharedStrings.xml><?xml version="1.0" encoding="utf-8"?>
<sst xmlns="http://schemas.openxmlformats.org/spreadsheetml/2006/main" count="700" uniqueCount="120">
  <si>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</si>
  <si>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</si>
  <si>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</si>
  <si>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</si>
  <si>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</si>
  <si>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</si>
  <si>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</si>
  <si>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</si>
  <si>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</si>
  <si>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</si>
  <si>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</si>
  <si>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</si>
  <si>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</si>
  <si>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</si>
  <si>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</si>
  <si>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</si>
  <si>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TOTAL</t>
  </si>
  <si>
    <t>IN</t>
  </si>
  <si>
    <t>OUT</t>
  </si>
  <si>
    <t>REMARKS</t>
  </si>
  <si>
    <t>BOX ID</t>
  </si>
  <si>
    <t>LAPTOP INVENTORY</t>
  </si>
  <si>
    <t xml:space="preserve">TOTAL: </t>
  </si>
  <si>
    <t>ABSOLUTE TOTAL:</t>
  </si>
  <si>
    <t>UNCHECKED</t>
  </si>
  <si>
    <t>CHROME OS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</si>
  <si>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</si>
  <si>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</si>
  <si>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</si>
  <si>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</si>
  <si>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</si>
  <si>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</si>
  <si>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</si>
  <si>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</si>
  <si>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</si>
  <si>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</si>
  <si>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</si>
  <si>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TOUCH &amp; FLIP</t>
  </si>
  <si>
    <t>Intel i3</t>
  </si>
  <si>
    <t>Intel i5</t>
  </si>
  <si>
    <t>Ryzen 3</t>
  </si>
  <si>
    <t>CHECKED</t>
  </si>
  <si>
    <t>WINDOWS</t>
  </si>
  <si>
    <t xml:space="preserve">TOTAL : </t>
  </si>
  <si>
    <t>ON PROCESS</t>
  </si>
  <si>
    <t xml:space="preserve">TOTAL INVENTORY : </t>
  </si>
  <si>
    <t>14 INCH</t>
  </si>
  <si>
    <t>TOTAL INVENTORY:</t>
  </si>
  <si>
    <t>CTL</t>
  </si>
  <si>
    <t>Macbook</t>
  </si>
  <si>
    <t>Fujitsu</t>
  </si>
  <si>
    <t>Avgo</t>
  </si>
  <si>
    <t>Toshiba</t>
  </si>
  <si>
    <t>Nec</t>
  </si>
  <si>
    <t>DELL REGULAR 2 / 16</t>
  </si>
  <si>
    <t>DELL REGULAR 4 / 16</t>
  </si>
  <si>
    <t>DELL REGULAR 4 / 32</t>
  </si>
  <si>
    <t>HP REGULAR 4 / 32</t>
  </si>
  <si>
    <t>CTL REGULAR 4 / 16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</si>
  <si>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</si>
  <si>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</si>
  <si>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</si>
  <si>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</si>
  <si>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</si>
  <si>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</si>
  <si>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</si>
  <si>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</si>
  <si>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</si>
  <si>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</si>
  <si>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</si>
  <si>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</si>
  <si>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</si>
  <si>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</si>
  <si>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</si>
  <si>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</si>
  <si>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</si>
  <si>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</si>
  <si>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</si>
  <si>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</si>
  <si>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</si>
  <si>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</si>
  <si>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</si>
  <si>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</si>
  <si>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</si>
  <si>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</si>
  <si>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</si>
  <si>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</si>
  <si>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</si>
  <si>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</si>
  <si>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</si>
  <si>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</si>
  <si>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</si>
  <si>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</si>
  <si>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</si>
  <si>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DELL Intel i3</t>
  </si>
  <si>
    <t>DELL Intel i5</t>
  </si>
  <si>
    <t>DELL Intel i7</t>
  </si>
  <si>
    <t>Intel i7</t>
  </si>
  <si>
    <t>Sytem Intel i5 4th Gen</t>
  </si>
  <si>
    <t>Sytem</t>
  </si>
  <si>
    <t>4th Gen</t>
  </si>
  <si>
    <t>System Ryzen 3</t>
  </si>
  <si>
    <t>System</t>
  </si>
  <si>
    <t>Monitor</t>
  </si>
  <si>
    <t>TS 207</t>
  </si>
  <si>
    <t>Printers</t>
  </si>
  <si>
    <t>MG 2570 S</t>
  </si>
  <si>
    <t>MG 3070 S</t>
  </si>
  <si>
    <t>G 2021</t>
  </si>
  <si>
    <t>L 121</t>
  </si>
  <si>
    <t>Brother 3420 W</t>
  </si>
  <si>
    <t>TOUCH AND FLIP</t>
  </si>
  <si>
    <t>PRINTER INVENTORY</t>
  </si>
  <si>
    <t>LENOVO Intel i3</t>
  </si>
  <si>
    <t>LENOVO Intel i5</t>
  </si>
  <si>
    <t>LAPTOP PRODUCTION</t>
  </si>
  <si>
    <t>ASUS REGULAR 4 / 16</t>
  </si>
  <si>
    <t>ASUS REGULAR 4 / 32</t>
  </si>
  <si>
    <t>ACER REGULAR 4 / 16</t>
  </si>
  <si>
    <t>G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</si>
</sst>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31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676275</xdr:colOff>
      <xdr:row>64</xdr:row>
      <xdr:rowOff>104775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241FDD-7C74-4544-A27D-6B4E19AB15AB}"/>
            </a:ext>
          </a:extLst>
        </xdr:cNvPr>
        <xdr:cNvSpPr txBox="1"/>
      </xdr:nvSpPr>
      <xdr:spPr>
        <a:xfrm>
          <a:off x="12277725" y="2019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368ED2D6-43FC-4D95-BC8B-FE82C5C63C37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03E3D4-EE98-46C7-A9E7-68FC97BC7DE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B1A05EF-38DB-4507-B7FB-29F288B62B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LAPTOP" displayName="_TBL_INVENTORY_LAPTOP" ref="A2:G54" tableType="queryTable" totalsRowShown="0">
  <autoFilter ref="A2:G54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130"/>
    <tableColumn id="3" xr3:uid="{72D63A58-4BF9-4348-9278-03658337BDE4}" uniqueName="3" name="TYPE" queryTableFieldId="3" dataDxfId="129"/>
    <tableColumn id="4" xr3:uid="{C1D1FE9A-E7D1-49CB-990A-521223F02F2F}" uniqueName="4" name="BRAND" queryTableFieldId="4" dataDxfId="128"/>
    <tableColumn id="5" xr3:uid="{6A522385-7131-4700-B14C-7A2CC7322CB4}" uniqueName="5" name="CODE" queryTableFieldId="5" dataDxfId="127"/>
    <tableColumn id="6" xr3:uid="{357B56B4-AAF6-43D4-AEAD-F93F1453D095}" uniqueName="6" name="VARIANT" queryTableFieldId="6" dataDxfId="126"/>
    <tableColumn id="7" xr3:uid="{A6335F81-8B2A-4D68-A3D4-C528C11BFB62}" uniqueName="7" name="SPECS" queryTableFieldId="7" dataDxfId="1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LAPTOP_INVENTORY" displayName="LAPTOP_INVENTORY" ref="B2:G86" totalsRowCount="1" headerRowDxfId="124" dataDxfId="123">
  <autoFilter ref="B2:G85" xr:uid="{11196D4F-0C08-44E6-8845-054A162CF400}"/>
  <tableColumns count="6">
    <tableColumn id="1" xr3:uid="{7E5944E0-EEF7-48BA-9C65-2A065AAFA2D9}" name="DATE" totalsRowFunction="custom" dataDxfId="122" totalsRowDxfId="121">
      <totalsRowFormula>_xlfn.CONCAT("COUNT: ", SUBTOTAL(103,LAPTOP_INVENTORY[DATE]))</totalsRowFormula>
    </tableColumn>
    <tableColumn id="2" xr3:uid="{6346439F-B17B-42E4-B169-E92F350D30A5}" name="INVENTORY ITEM" totalsRowLabel="TOTAL: " dataDxfId="120" totalsRowDxfId="119"/>
    <tableColumn id="4" xr3:uid="{95CD9087-654C-4E2A-AF3A-261436977333}" name="IN" totalsRowFunction="sum" dataDxfId="118" totalsRowDxfId="117"/>
    <tableColumn id="7" xr3:uid="{A2774850-F5E8-4FA1-8C17-FE6EEC4F8D73}" name="TOTAL" totalsRowFunction="sum" dataDxfId="116" totalsRowDxfId="115">
      <calculatedColumnFormula>IF(LAPTOP_INVENTORY[[#This Row],[INVENTORY ITEM]] = "", "",
   SUMIFS(LAPTOP_INVENTORY[IN], LAPTOP_INVENTORY[INVENTORY ITEM], LAPTOP_INVENTORY[[#This Row],[INVENTORY ITEM]], LAPTOP_INVENTORY[DATE], "&lt;=" &amp; LAPTOP_INVENTORY[[#This Row],[DATE]])
)</calculatedColumnFormula>
    </tableColumn>
    <tableColumn id="10" xr3:uid="{1B6A8F81-4CD3-412F-B3A2-C032710C5771}" name="REMARKS" dataDxfId="114" totalsRowDxfId="113"/>
    <tableColumn id="12" xr3:uid="{161DBC59-E0E9-488B-9D75-AD60C50E18B7}" name="BOX ID" dataDxfId="112" totalsRow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79391D-D2D1-4197-A8B1-59D86E28F2AD}" name="_TBL_LAPTOP_MOVEMENTS" displayName="_TBL_LAPTOP_MOVEMENTS" ref="A1:B4" tableType="queryTable" totalsRowShown="0">
  <autoFilter ref="A1:B4" xr:uid="{012C65D8-7D89-4DC4-AA4D-494A31B01A3F}"/>
  <tableColumns count="2">
    <tableColumn id="1" xr3:uid="{5594FCD9-8CB0-4B74-8975-77F35C2A82B2}" uniqueName="1" name="ID" queryTableFieldId="1"/>
    <tableColumn id="2" xr3:uid="{9C12338E-6D82-4B57-BCDB-C17603074A18}" uniqueName="2" name="NAME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BC21DA-9E88-40A6-B723-8E52DD4F8390}" name="LAPTOP_PRODUCTION" displayName="LAPTOP_PRODUCTION" ref="B2:J184" totalsRowCount="1" headerRowDxfId="110" dataDxfId="109">
  <autoFilter ref="B2:J183" xr:uid="{20F10DC6-E56A-4995-A7EC-4BF3278DBB5F}"/>
  <tableColumns count="9">
    <tableColumn id="1" xr3:uid="{B766D499-67B3-440F-9292-CAC1E2690E82}" name="DATE" totalsRowFunction="custom" dataDxfId="108" totalsRowDxfId="8">
      <totalsRowFormula>_xlfn.CONCAT("COUNT: ", SUBTOTAL(103,LAPTOP_PRODUCTION[DATE]))</totalsRowFormula>
    </tableColumn>
    <tableColumn id="2" xr3:uid="{E95A3DF2-F6F4-4ABD-808C-8F7768BD7B4F}" name="INVENTORY ITEM" totalsRowLabel="TOTAL: " dataDxfId="107" totalsRowDxfId="7"/>
    <tableColumn id="4" xr3:uid="{15CF3EA4-C013-443A-87DD-4F5542BEA429}" name="TYPE" totalsRowFunction="sum" dataDxfId="106" totalsRowDxfId="6"/>
    <tableColumn id="5" xr3:uid="{E6D84A67-5708-494F-8371-335953B3C786}" name="IN" totalsRowFunction="sum" dataDxfId="105" totalsRowDxfId="5"/>
    <tableColumn id="3" xr3:uid="{DB4788BA-E0C3-402F-8D70-5A82A4932996}" name="OUT" dataDxfId="104" totalsRowDxfId="4"/>
    <tableColumn id="6" xr3:uid="{10A59CB3-BD8B-44F9-B039-CDAD08409AE9}" name="ON PROCESS" dataDxfId="103" totalsRowDxfId="3">
      <calculatedColumnFormula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calculatedColumnFormula>
    </tableColumn>
    <tableColumn id="7" xr3:uid="{E3F93F03-68FA-41C4-B1E0-C42AA96F8A12}" name="TOTAL" totalsRowFunction="sum" dataDxfId="102" totalsRowDxfId="2">
      <calculatedColumnFormula>IF(LAPTOP_PRODUCTION[[#This Row],[INVENTORY ITEM]] = "", "",   SUMIFS(LAPTOP_PRODUCTION[IN], LAPTOP_PRODUCTION[INVENTORY ITEM], LAPTOP_PRODUCTION[[#This Row],[INVENTORY ITEM]], LAPTOP_PRODUCTION[DATE], "&lt;=" &amp; LAPTOP_PRODUCTION[[#This Row],[DATE]])
)</calculatedColumnFormula>
    </tableColumn>
    <tableColumn id="10" xr3:uid="{971C50D8-A18D-43FC-8C94-A945728ACF93}" name="REMARKS" dataDxfId="101" totalsRowDxfId="1"/>
    <tableColumn id="12" xr3:uid="{20B7BD1C-FC6C-4423-90A5-F154F98BC5C3}" name="BOX ID" dataDxfId="100" totalsRow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PRINTER_INVENTORY" displayName="PRINTER_INVENTORY" ref="B2:I30" totalsRowCount="1" headerRowDxfId="99" dataDxfId="98">
  <autoFilter ref="B2:I29" xr:uid="{FECDFDCB-CE0D-4B06-940A-5F27DEC0B1EA}"/>
  <tableColumns count="8">
    <tableColumn id="1" xr3:uid="{7878D738-6F3F-43B6-9888-8FA33CEB6D3C}" name="DATE" totalsRowFunction="custom" dataDxfId="97" totalsRowDxfId="96">
      <totalsRowFormula>_xlfn.CONCAT("COUNT: ", SUBTOTAL(103,PRINTER_INVENTORY[DATE]))</totalsRowFormula>
    </tableColumn>
    <tableColumn id="2" xr3:uid="{AE58DF75-011B-45FE-AEB1-2FE90FF38C27}" name="INVENTORY ITEM" totalsRowLabel="TOTAL: " dataDxfId="95" totalsRowDxfId="94"/>
    <tableColumn id="4" xr3:uid="{2D3AD1AC-A23C-4179-90D6-4D30DF3A3486}" name="IN" totalsRowFunction="sum" dataDxfId="93" totalsRowDxfId="92"/>
    <tableColumn id="5" xr3:uid="{62CFB38B-B757-4792-9B84-F23884971FD3}" name="OUT" totalsRowFunction="sum" dataDxfId="91" totalsRowDxfId="90"/>
    <tableColumn id="7" xr3:uid="{E9FA0FF2-F0A4-4FB0-8D19-8025674EC1E2}" name="TOTAL" totalsRowFunction="sum" dataDxfId="89" totalsRowDxfId="88">
      <calculatedColumnFormula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calculatedColumnFormula>
    </tableColumn>
    <tableColumn id="8" xr3:uid="{2EA49318-FAA8-4501-89D7-06924D19DCD2}" name="BACKJOB" totalsRowFunction="sum" dataDxfId="87" totalsRowDxfId="86"/>
    <tableColumn id="10" xr3:uid="{B73131B1-576B-4ED8-9F38-D370C20634EC}" name="REMARKS" dataDxfId="85" totalsRowDxfId="84"/>
    <tableColumn id="12" xr3:uid="{5254B59C-16CD-4988-8B85-93BD8DEAC78E}" name="BOX ID" dataDxfId="83" totalsRowDxfId="8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PRINTER" displayName="_TBL_INVENTORY_PRINTER" ref="A1:G8" tableType="queryTable" totalsRowShown="0">
  <autoFilter ref="A1:G8" xr:uid="{33010FBF-BCFC-42C9-B7D9-CB7393173D03}"/>
  <tableColumns count="7">
    <tableColumn id="1" xr3:uid="{5299D878-FE73-47CF-A561-624DBCBB9775}" uniqueName="1" name="ID" queryTableFieldId="1"/>
    <tableColumn id="2" xr3:uid="{B4535A99-865A-4DFA-A797-12681A09C7EE}" uniqueName="2" name="NAME" queryTableFieldId="2"/>
    <tableColumn id="3" xr3:uid="{09F519D1-5EE6-4BA4-8B22-FD6A1C66A9BC}" uniqueName="3" name="TYPE" queryTableFieldId="3"/>
    <tableColumn id="4" xr3:uid="{2CDD4214-F111-40F5-8ADC-CE2A884DB9AB}" uniqueName="4" name="BRAND" queryTableFieldId="4"/>
    <tableColumn id="5" xr3:uid="{DEA70072-AC9D-4C2B-BBC8-6019E3717104}" uniqueName="5" name="CODE" queryTableFieldId="5"/>
    <tableColumn id="6" xr3:uid="{0B84054A-C1E4-4382-87AB-8CB6C1CDF8BD}" uniqueName="6" name="VARIANT" queryTableFieldId="6"/>
    <tableColumn id="7" xr3:uid="{85C44E7E-7864-4971-A667-1BD4FFC083B6}" uniqueName="7" name="SPECS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27D5BB-AFA6-4F16-B4AA-76519F75FF23}" name="_TBL_INVENTORY_PC" displayName="_TBL_INVENTORY_PC" ref="A1:G4" tableType="queryTable" totalsRowShown="0">
  <autoFilter ref="A1:G4" xr:uid="{1C96B4A1-E8DB-4741-AF2B-3B3CF5FB574C}"/>
  <tableColumns count="7">
    <tableColumn id="1" xr3:uid="{E6DCD094-C3A9-42D0-935D-CBF4A39882F6}" uniqueName="1" name="ID" queryTableFieldId="1"/>
    <tableColumn id="2" xr3:uid="{542ABB97-5FEA-468B-922E-2AF860627B5E}" uniqueName="2" name="NAME" queryTableFieldId="2"/>
    <tableColumn id="3" xr3:uid="{9A81E814-AB23-4EF6-8A1F-2847F460A886}" uniqueName="3" name="TYPE" queryTableFieldId="3"/>
    <tableColumn id="4" xr3:uid="{9AF16DA4-825A-46E1-86DD-D44229D84006}" uniqueName="4" name="BRAND" queryTableFieldId="4"/>
    <tableColumn id="5" xr3:uid="{E8EB8C4D-C0F7-4724-BC76-D2374AE57210}" uniqueName="5" name="CODE" queryTableFieldId="5"/>
    <tableColumn id="6" xr3:uid="{F0360589-A28B-4F58-9EB0-A414E3F963A5}" uniqueName="6" name="VARIANT" queryTableFieldId="6"/>
    <tableColumn id="7" xr3:uid="{11F50D3F-832D-489A-ACDD-84FDE6C0DD9A}" uniqueName="7" name="SPECS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PC_INVENTORY" displayName="PC_INVENTORY" ref="B2:I32" totalsRowCount="1" headerRowDxfId="81" dataDxfId="80">
  <autoFilter ref="B2:I31" xr:uid="{CCD5F1A0-C195-4E63-936A-43706ADC2989}"/>
  <tableColumns count="8">
    <tableColumn id="1" xr3:uid="{5CDACDCD-B7D4-42C8-B4FF-47907B56A404}" name="DATE" totalsRowFunction="custom" dataDxfId="79" totalsRowDxfId="78">
      <totalsRowFormula>_xlfn.CONCAT("COUNT: ", SUBTOTAL(103,PC_INVENTORY[DATE]))</totalsRowFormula>
    </tableColumn>
    <tableColumn id="2" xr3:uid="{08580266-0DDD-4E86-9243-2AF1790ECE07}" name="INVENTORY ITEM" totalsRowLabel="TOTAL: " dataDxfId="77" totalsRowDxfId="76"/>
    <tableColumn id="4" xr3:uid="{7976317F-3C79-4C9A-AFE8-6ADE89DE934F}" name="IN" totalsRowFunction="sum" dataDxfId="75" totalsRowDxfId="74"/>
    <tableColumn id="5" xr3:uid="{CB8D2757-17B5-469D-953A-BEDD5875E951}" name="OUT" totalsRowFunction="sum" dataDxfId="73" totalsRowDxfId="72"/>
    <tableColumn id="7" xr3:uid="{BC557211-9C16-47D6-91D1-61EDD9A83964}" name="TOTAL" totalsRowFunction="sum" dataDxfId="71" totalsRowDxfId="70">
      <calculatedColumnFormula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calculatedColumnFormula>
    </tableColumn>
    <tableColumn id="8" xr3:uid="{4C3A2717-F384-4642-BCAC-B5866A114693}" name="BACKJOB" totalsRowFunction="sum" dataDxfId="69" totalsRowDxfId="68"/>
    <tableColumn id="10" xr3:uid="{C7D3AE44-6094-4DCE-B4E5-08594544FB4D}" name="REMARKS" dataDxfId="67" totalsRowDxfId="66"/>
    <tableColumn id="12" xr3:uid="{086DEEC2-01C5-475F-879A-B8A691B2E288}" name="BOX ID" dataDxfId="65" totalsRowDxfId="6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5:J27" totalsRowCount="1">
  <autoFilter ref="B15:J26" xr:uid="{641D9699-6A8D-41D7-BA45-3564F6CE9E3F}"/>
  <tableColumns count="9">
    <tableColumn id="1" xr3:uid="{F785A112-E5B1-4220-8197-AC2FD33C0F68}" name="NAME" totalsRowLabel="TOTAL : " dataDxfId="63" totalsRowDxfId="62"/>
    <tableColumn id="2" xr3:uid="{676606A0-7990-4C08-BB3D-F65A0581C705}" name="UNCHECKED" totalsRowFunction="custom" totalsRowDxfId="61">
      <totalsRowFormula>SUBTOTAL(109, TEMPLATE_TOUCHSCREEN[UNCHECKED])</totalsRowFormula>
    </tableColumn>
    <tableColumn id="3" xr3:uid="{7640C5A0-97C1-403A-B35B-3A7E0D0E8EFB}" name="CHECKED" totalsRowFunction="custom" totalsRowDxfId="60">
      <totalsRowFormula>SUBTOTAL(109, TEMPLATE_TOUCHSCREEN[CHECKED])</totalsRowFormula>
    </tableColumn>
    <tableColumn id="8" xr3:uid="{C6E7B794-E407-4445-90B2-CF8B0D4CB47B}" name="ON PROCESS" totalsRowFunction="custom" totalsRowDxfId="59">
      <totalsRowFormula>SUBTOTAL(109, TEMPLATE_TOUCHSCREEN[ON PROCESS])</totalsRowFormula>
    </tableColumn>
    <tableColumn id="4" xr3:uid="{D9E4E3E7-74A6-4EC6-BE23-96237B958C35}" name="CHROME OS" totalsRowFunction="custom" totalsRowDxfId="58">
      <totalsRowFormula>SUBTOTAL(109, TEMPLATE_TOUCHSCREEN[CHROME OS])</totalsRowFormula>
    </tableColumn>
    <tableColumn id="5" xr3:uid="{C8F5FEF4-4501-440C-BFC3-80FDF100B145}" name="WINDOWS" totalsRowFunction="custom" totalsRowDxfId="57">
      <totalsRowFormula>SUBTOTAL(109, TEMPLATE_TOUCHSCREEN[WINDOWS])</totalsRowFormula>
    </tableColumn>
    <tableColumn id="6" xr3:uid="{B1690278-5FFF-49D3-A64E-52AAA807A6F0}" name="TOTAL : " totalsRowFunction="custom" dataDxfId="56" totalsRowDxfId="55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54">
      <totalsRowFormula>SUBTOTAL(109, TEMPLATE_TOUCHSCREEN[BACKJOB])</totalsRowFormula>
    </tableColumn>
    <tableColumn id="9" xr3:uid="{48911CB4-28B4-41E1-97CD-C5272AF691DB}" name="TOTAL INVENTORY : " totalsRowFunction="custom" dataDxfId="53" totalsRowDxfId="52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30:J44" totalsRowCount="1">
  <autoFilter ref="B30:J43" xr:uid="{0CC45A81-8318-46A1-9C4F-E4A39C227BB7}"/>
  <tableColumns count="9">
    <tableColumn id="1" xr3:uid="{7DB9A99D-A48F-4897-82CD-03F08CA30CD0}" name="NAME" totalsRowLabel="TOTAL : " dataDxfId="51" totalsRowDxfId="50"/>
    <tableColumn id="2" xr3:uid="{FFC772EF-57C6-4F5A-99C7-66277A580722}" name="UNCHECKED" totalsRowFunction="custom" totalsRowDxfId="49">
      <totalsRowFormula>SUBTOTAL(109, TEMPLATE_14_INCH[UNCHECKED])</totalsRowFormula>
    </tableColumn>
    <tableColumn id="3" xr3:uid="{374E1D3D-EF48-4634-AC36-E3B7A570A185}" name="CHECKED" totalsRowFunction="custom" totalsRowDxfId="48">
      <totalsRowFormula>SUBTOTAL(109, TEMPLATE_14_INCH[CHECKED])</totalsRowFormula>
    </tableColumn>
    <tableColumn id="8" xr3:uid="{2E40B7B5-E2BF-4F46-8610-E0080F5DACBD}" name="ON PROCESS" totalsRowFunction="custom" totalsRowDxfId="47">
      <totalsRowFormula>SUBTOTAL(109, TEMPLATE_14_INCH[ON PROCESS])</totalsRowFormula>
    </tableColumn>
    <tableColumn id="4" xr3:uid="{ACDEF88D-D1C3-4B1F-894C-202E99EBF8E9}" name="CHROME OS" totalsRowFunction="custom" totalsRowDxfId="46">
      <totalsRowFormula>SUBTOTAL(109, TEMPLATE_14_INCH[CHROME OS])</totalsRowFormula>
    </tableColumn>
    <tableColumn id="5" xr3:uid="{2ECBE8BA-63BC-45F1-B80B-3654DDF8E047}" name="WINDOWS" totalsRowFunction="custom" totalsRowDxfId="45">
      <totalsRowFormula>SUBTOTAL(109, TEMPLATE_14_INCH[WINDOWS])</totalsRowFormula>
    </tableColumn>
    <tableColumn id="6" xr3:uid="{EAD79535-A3C7-43FB-9CCB-C7443B43FD85}" name="TOTAL : " totalsRowFunction="custom" dataDxfId="44" totalsRowDxfId="43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42">
      <totalsRowFormula>SUBTOTAL(109, TEMPLATE_14_INCH[BACKJOB])</totalsRowFormula>
    </tableColumn>
    <tableColumn id="9" xr3:uid="{D31E8141-E9EB-4AE4-9A2E-5B59A74AF13E}" name="TOTAL INVENTORY : " totalsRowFunction="custom" dataDxfId="41" totalsRowDxfId="40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2" totalsRowCount="1" headerRowDxfId="39">
  <autoFilter ref="B2:J11" xr:uid="{A0942573-3D2A-4612-9F97-D46E99284621}"/>
  <tableColumns count="9">
    <tableColumn id="1" xr3:uid="{1C67AC96-2C7A-4556-AFAD-259A3248D46F}" name="NAME" totalsRowLabel="TOTAL : " dataDxfId="38" totalsRowDxfId="37"/>
    <tableColumn id="2" xr3:uid="{DABB5C53-2CDF-41B3-9D0D-DB9341665E4D}" name="UNCHECKED" totalsRowFunction="custom" dataDxfId="36" totalsRowDxfId="35">
      <totalsRowFormula>SUM(TEMPLATE_REGULAR[UNCHECKED])</totalsRowFormula>
    </tableColumn>
    <tableColumn id="3" xr3:uid="{D4CB0E69-46DD-4A99-9CE4-2A42D692C4D7}" name="CHECKED" totalsRowFunction="custom" dataDxfId="34" totalsRowDxfId="33">
      <totalsRowFormula>SUM(TEMPLATE_REGULAR[CHECKED])</totalsRowFormula>
    </tableColumn>
    <tableColumn id="4" xr3:uid="{82D116FE-5845-4C69-9D87-C369D84B4BC0}" name="ON PROCESS" totalsRowFunction="custom" dataDxfId="32" totalsRowDxfId="31">
      <totalsRowFormula>SUM(TEMPLATE_REGULAR[ON PROCESS])</totalsRowFormula>
    </tableColumn>
    <tableColumn id="5" xr3:uid="{814FF9B6-6A0F-436B-8EEA-3028CDA5891C}" name="CHROME OS" totalsRowFunction="custom" dataDxfId="30" totalsRowDxfId="29">
      <totalsRowFormula>SUM(TEMPLATE_REGULAR[CHROME OS])</totalsRowFormula>
    </tableColumn>
    <tableColumn id="6" xr3:uid="{6CCD520B-C9ED-4C70-BBE0-636C8372FD39}" name="WINDOWS" totalsRowFunction="custom" dataDxfId="28" totalsRowDxfId="27">
      <totalsRowFormula>SUM(TEMPLATE_REGULAR[WINDOWS])</totalsRowFormula>
    </tableColumn>
    <tableColumn id="7" xr3:uid="{B0445342-6B9D-4F87-A291-1CC3BEB5A493}" name="TOTAL" totalsRowFunction="custom" dataDxfId="26" totalsRowDxfId="25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24" totalsRowDxfId="23">
      <totalsRowFormula>SUM(TEMPLATE_REGULAR[BACKJOB])</totalsRowFormula>
    </tableColumn>
    <tableColumn id="9" xr3:uid="{C9D37CF1-C98E-4D9E-9A35-229E5D0E639B}" name="TOTAL INVENTORY:" totalsRowFunction="custom" dataDxfId="22" totalsRowDxfId="21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1181C6-1BEE-4398-8630-87D639F805AB}" name="TEMPLATE_14_INCH5" displayName="TEMPLATE_14_INCH5" ref="B47:J61" totalsRowCount="1">
  <autoFilter ref="B47:J60" xr:uid="{7A1181C6-1BEE-4398-8630-87D639F805AB}"/>
  <tableColumns count="9">
    <tableColumn id="1" xr3:uid="{F76D0FD4-4DBE-4D3C-B581-E521F22D0688}" name="NAME" totalsRowLabel="TOTAL : " dataDxfId="20" totalsRowDxfId="19"/>
    <tableColumn id="2" xr3:uid="{22990DB1-5844-4D1B-ADAC-BE4EAC70F548}" name="UNCHECKED" totalsRowFunction="custom" totalsRowDxfId="18">
      <totalsRowFormula>SUBTOTAL(109, TEMPLATE_14_INCH5[UNCHECKED])</totalsRowFormula>
    </tableColumn>
    <tableColumn id="3" xr3:uid="{CCA6FBA7-11AB-4D60-B714-E34A83FC8A88}" name="CHECKED" totalsRowFunction="custom" totalsRowDxfId="17">
      <totalsRowFormula>SUBTOTAL(109, TEMPLATE_14_INCH5[CHECKED])</totalsRowFormula>
    </tableColumn>
    <tableColumn id="8" xr3:uid="{401ABD6E-5904-41AE-8A65-A8BC1F8D9DC2}" name="ON PROCESS" totalsRowFunction="custom" totalsRowDxfId="16">
      <totalsRowFormula>SUBTOTAL(109, TEMPLATE_14_INCH5[ON PROCESS])</totalsRowFormula>
    </tableColumn>
    <tableColumn id="4" xr3:uid="{25473A3F-2B28-43BA-8BB2-D9270FF80141}" name="CHROME OS" totalsRowFunction="custom" totalsRowDxfId="15">
      <totalsRowFormula>SUBTOTAL(109, TEMPLATE_14_INCH5[CHROME OS])</totalsRowFormula>
    </tableColumn>
    <tableColumn id="5" xr3:uid="{94219E22-D6E6-4273-9273-F4F0CFFAB534}" name="WINDOWS" totalsRowFunction="custom" totalsRowDxfId="14">
      <totalsRowFormula>SUBTOTAL(109, TEMPLATE_14_INCH5[WINDOWS])</totalsRowFormula>
    </tableColumn>
    <tableColumn id="6" xr3:uid="{ED8178B9-21BC-4714-886A-7E38FF0CDD54}" name="TOTAL : " totalsRowFunction="custom" dataDxfId="13" totalsRowDxfId="12">
      <calculatedColumnFormula>SUM(TEMPLATE_14_INCH5[[#This Row],[UNCHECKED]],TEMPLATE_14_INCH5[[#This Row],[CHECKED]],TEMPLATE_14_INCH5[[#This Row],[ON PROCESS]],TEMPLATE_14_INCH5[[#This Row],[CHROME OS]],TEMPLATE_14_INCH5[[#This Row],[WINDOWS]])</calculatedColumnFormula>
      <totalsRowFormula>SUBTOTAL(109, TEMPLATE_14_INCH5[TOTAL : ])</totalsRowFormula>
    </tableColumn>
    <tableColumn id="7" xr3:uid="{C6A21B48-2A3A-42FB-80E1-62E043A968A5}" name="BACKJOB" totalsRowFunction="custom" totalsRowDxfId="11">
      <totalsRowFormula>SUBTOTAL(109, TEMPLATE_14_INCH5[BACKJOB])</totalsRowFormula>
    </tableColumn>
    <tableColumn id="9" xr3:uid="{09521353-8272-4576-B6A4-8EAC15ECA5B4}" name="TOTAL INVENTORY : " totalsRowFunction="custom" dataDxfId="10" totalsRowDxfId="9">
      <calculatedColumnFormula>IFERROR(TEMPLATE_14_INCH5[[#This Row],[TOTAL : ]] + TEMPLATE_14_INCH5[[#This Row],[BACKJOB]], "")</calculatedColumnFormula>
      <totalsRowFormula>SUBTOTAL(109, TEMPLATE_14_INCH5[TOTAL INVENTORY : 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G54"/>
  <sheetViews>
    <sheetView workbookViewId="0">
      <selection activeCell="I24" sqref="I24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26</v>
      </c>
      <c r="G2" t="s">
        <v>5</v>
      </c>
    </row>
    <row r="3" spans="1:7" x14ac:dyDescent="0.25">
      <c r="A3">
        <v>1</v>
      </c>
      <c r="B3" t="s">
        <v>54</v>
      </c>
      <c r="C3" t="s">
        <v>6</v>
      </c>
      <c r="D3" t="s">
        <v>7</v>
      </c>
      <c r="F3" t="s">
        <v>27</v>
      </c>
      <c r="G3" t="s">
        <v>35</v>
      </c>
    </row>
    <row r="4" spans="1:7" x14ac:dyDescent="0.25">
      <c r="A4">
        <v>2</v>
      </c>
      <c r="B4" t="s">
        <v>55</v>
      </c>
      <c r="C4" t="s">
        <v>6</v>
      </c>
      <c r="D4" t="s">
        <v>7</v>
      </c>
      <c r="F4" t="s">
        <v>27</v>
      </c>
      <c r="G4" t="s">
        <v>28</v>
      </c>
    </row>
    <row r="5" spans="1:7" x14ac:dyDescent="0.25">
      <c r="A5">
        <v>3</v>
      </c>
      <c r="B5" t="s">
        <v>56</v>
      </c>
      <c r="C5" t="s">
        <v>6</v>
      </c>
      <c r="D5" t="s">
        <v>7</v>
      </c>
      <c r="F5" t="s">
        <v>27</v>
      </c>
      <c r="G5" t="s">
        <v>29</v>
      </c>
    </row>
    <row r="6" spans="1:7" x14ac:dyDescent="0.25">
      <c r="A6">
        <v>4</v>
      </c>
      <c r="B6" t="s">
        <v>30</v>
      </c>
      <c r="C6" t="s">
        <v>6</v>
      </c>
      <c r="D6" t="s">
        <v>8</v>
      </c>
      <c r="F6" t="s">
        <v>27</v>
      </c>
      <c r="G6" t="s">
        <v>28</v>
      </c>
    </row>
    <row r="7" spans="1:7" x14ac:dyDescent="0.25">
      <c r="A7">
        <v>5</v>
      </c>
      <c r="B7" t="s">
        <v>57</v>
      </c>
      <c r="C7" t="s">
        <v>6</v>
      </c>
      <c r="D7" t="s">
        <v>8</v>
      </c>
      <c r="F7" t="s">
        <v>27</v>
      </c>
      <c r="G7" t="s">
        <v>29</v>
      </c>
    </row>
    <row r="8" spans="1:7" x14ac:dyDescent="0.25">
      <c r="A8">
        <v>6</v>
      </c>
      <c r="B8" t="s">
        <v>58</v>
      </c>
      <c r="C8" t="s">
        <v>6</v>
      </c>
      <c r="D8" t="s">
        <v>48</v>
      </c>
      <c r="F8" t="s">
        <v>27</v>
      </c>
      <c r="G8" t="s">
        <v>28</v>
      </c>
    </row>
    <row r="9" spans="1:7" x14ac:dyDescent="0.25">
      <c r="A9">
        <v>7</v>
      </c>
      <c r="B9" t="s">
        <v>59</v>
      </c>
      <c r="C9" t="s">
        <v>6</v>
      </c>
      <c r="D9" t="s">
        <v>14</v>
      </c>
      <c r="F9" t="s">
        <v>27</v>
      </c>
      <c r="G9" t="s">
        <v>28</v>
      </c>
    </row>
    <row r="10" spans="1:7" x14ac:dyDescent="0.25">
      <c r="A10">
        <v>8</v>
      </c>
      <c r="B10" t="s">
        <v>60</v>
      </c>
      <c r="C10" t="s">
        <v>6</v>
      </c>
      <c r="D10" t="s">
        <v>14</v>
      </c>
      <c r="F10" t="s">
        <v>27</v>
      </c>
      <c r="G10" t="s">
        <v>29</v>
      </c>
    </row>
    <row r="11" spans="1:7" x14ac:dyDescent="0.25">
      <c r="A11">
        <v>9</v>
      </c>
      <c r="B11" t="s">
        <v>118</v>
      </c>
      <c r="C11" t="s">
        <v>6</v>
      </c>
      <c r="D11" t="s">
        <v>12</v>
      </c>
      <c r="F11" t="s">
        <v>27</v>
      </c>
      <c r="G11" t="s">
        <v>28</v>
      </c>
    </row>
    <row r="12" spans="1:7" x14ac:dyDescent="0.25">
      <c r="A12">
        <v>10</v>
      </c>
      <c r="B12" t="s">
        <v>116</v>
      </c>
      <c r="C12" t="s">
        <v>6</v>
      </c>
      <c r="D12" t="s">
        <v>13</v>
      </c>
      <c r="F12" t="s">
        <v>27</v>
      </c>
      <c r="G12" t="s">
        <v>28</v>
      </c>
    </row>
    <row r="13" spans="1:7" x14ac:dyDescent="0.25">
      <c r="A13">
        <v>11</v>
      </c>
      <c r="B13" t="s">
        <v>117</v>
      </c>
      <c r="C13" t="s">
        <v>6</v>
      </c>
      <c r="D13" t="s">
        <v>13</v>
      </c>
      <c r="F13" t="s">
        <v>27</v>
      </c>
      <c r="G13" t="s">
        <v>29</v>
      </c>
    </row>
    <row r="14" spans="1:7" x14ac:dyDescent="0.25">
      <c r="A14">
        <v>12</v>
      </c>
      <c r="B14" t="s">
        <v>31</v>
      </c>
      <c r="C14" t="s">
        <v>6</v>
      </c>
      <c r="D14" t="s">
        <v>8</v>
      </c>
      <c r="F14" t="s">
        <v>32</v>
      </c>
      <c r="G14" t="s">
        <v>28</v>
      </c>
    </row>
    <row r="15" spans="1:7" x14ac:dyDescent="0.25">
      <c r="A15">
        <v>13</v>
      </c>
      <c r="B15" t="s">
        <v>61</v>
      </c>
      <c r="C15" t="s">
        <v>6</v>
      </c>
      <c r="D15" t="s">
        <v>8</v>
      </c>
      <c r="F15" t="s">
        <v>32</v>
      </c>
      <c r="G15" t="s">
        <v>29</v>
      </c>
    </row>
    <row r="16" spans="1:7" x14ac:dyDescent="0.25">
      <c r="A16">
        <v>14</v>
      </c>
      <c r="B16" t="s">
        <v>62</v>
      </c>
      <c r="C16" t="s">
        <v>6</v>
      </c>
      <c r="D16" t="s">
        <v>7</v>
      </c>
      <c r="F16" t="s">
        <v>32</v>
      </c>
      <c r="G16" t="s">
        <v>28</v>
      </c>
    </row>
    <row r="17" spans="1:7" x14ac:dyDescent="0.25">
      <c r="A17">
        <v>15</v>
      </c>
      <c r="B17" t="s">
        <v>63</v>
      </c>
      <c r="C17" t="s">
        <v>6</v>
      </c>
      <c r="D17" t="s">
        <v>7</v>
      </c>
      <c r="F17" t="s">
        <v>32</v>
      </c>
      <c r="G17" t="s">
        <v>29</v>
      </c>
    </row>
    <row r="18" spans="1:7" x14ac:dyDescent="0.25">
      <c r="A18">
        <v>16</v>
      </c>
      <c r="B18" t="s">
        <v>64</v>
      </c>
      <c r="C18" t="s">
        <v>6</v>
      </c>
      <c r="D18" t="s">
        <v>12</v>
      </c>
      <c r="F18" t="s">
        <v>32</v>
      </c>
      <c r="G18" t="s">
        <v>29</v>
      </c>
    </row>
    <row r="19" spans="1:7" x14ac:dyDescent="0.25">
      <c r="A19">
        <v>17</v>
      </c>
      <c r="B19" t="s">
        <v>65</v>
      </c>
      <c r="C19" t="s">
        <v>6</v>
      </c>
      <c r="D19" t="s">
        <v>12</v>
      </c>
      <c r="F19" t="s">
        <v>32</v>
      </c>
      <c r="G19" t="s">
        <v>28</v>
      </c>
    </row>
    <row r="20" spans="1:7" x14ac:dyDescent="0.25">
      <c r="A20">
        <v>18</v>
      </c>
      <c r="B20" t="s">
        <v>66</v>
      </c>
      <c r="C20" t="s">
        <v>6</v>
      </c>
      <c r="D20" t="s">
        <v>14</v>
      </c>
      <c r="F20" t="s">
        <v>32</v>
      </c>
      <c r="G20" t="s">
        <v>28</v>
      </c>
    </row>
    <row r="21" spans="1:7" x14ac:dyDescent="0.25">
      <c r="A21">
        <v>19</v>
      </c>
      <c r="B21" t="s">
        <v>67</v>
      </c>
      <c r="C21" t="s">
        <v>6</v>
      </c>
      <c r="D21" t="s">
        <v>48</v>
      </c>
      <c r="F21" t="s">
        <v>32</v>
      </c>
      <c r="G21" t="s">
        <v>29</v>
      </c>
    </row>
    <row r="22" spans="1:7" x14ac:dyDescent="0.25">
      <c r="A22">
        <v>20</v>
      </c>
      <c r="B22" t="s">
        <v>68</v>
      </c>
      <c r="C22" t="s">
        <v>6</v>
      </c>
      <c r="D22" t="s">
        <v>7</v>
      </c>
      <c r="F22" t="s">
        <v>34</v>
      </c>
      <c r="G22" t="s">
        <v>28</v>
      </c>
    </row>
    <row r="23" spans="1:7" x14ac:dyDescent="0.25">
      <c r="A23">
        <v>21</v>
      </c>
      <c r="B23" t="s">
        <v>69</v>
      </c>
      <c r="C23" t="s">
        <v>6</v>
      </c>
      <c r="D23" t="s">
        <v>8</v>
      </c>
      <c r="F23" t="s">
        <v>34</v>
      </c>
      <c r="G23" t="s">
        <v>35</v>
      </c>
    </row>
    <row r="24" spans="1:7" x14ac:dyDescent="0.25">
      <c r="A24">
        <v>22</v>
      </c>
      <c r="B24" t="s">
        <v>33</v>
      </c>
      <c r="C24" t="s">
        <v>6</v>
      </c>
      <c r="D24" t="s">
        <v>8</v>
      </c>
      <c r="F24" t="s">
        <v>34</v>
      </c>
      <c r="G24" t="s">
        <v>28</v>
      </c>
    </row>
    <row r="25" spans="1:7" x14ac:dyDescent="0.25">
      <c r="A25">
        <v>23</v>
      </c>
      <c r="B25" t="s">
        <v>70</v>
      </c>
      <c r="C25" t="s">
        <v>6</v>
      </c>
      <c r="D25" t="s">
        <v>8</v>
      </c>
      <c r="F25" t="s">
        <v>34</v>
      </c>
      <c r="G25" t="s">
        <v>29</v>
      </c>
    </row>
    <row r="26" spans="1:7" x14ac:dyDescent="0.25">
      <c r="A26">
        <v>24</v>
      </c>
      <c r="B26" t="s">
        <v>71</v>
      </c>
      <c r="C26" t="s">
        <v>6</v>
      </c>
      <c r="D26" t="s">
        <v>8</v>
      </c>
      <c r="F26" t="s">
        <v>34</v>
      </c>
      <c r="G26" t="s">
        <v>72</v>
      </c>
    </row>
    <row r="27" spans="1:7" x14ac:dyDescent="0.25">
      <c r="A27">
        <v>25</v>
      </c>
      <c r="B27" t="s">
        <v>73</v>
      </c>
      <c r="C27" t="s">
        <v>6</v>
      </c>
      <c r="D27" t="s">
        <v>8</v>
      </c>
      <c r="F27" t="s">
        <v>34</v>
      </c>
      <c r="G27" t="s">
        <v>74</v>
      </c>
    </row>
    <row r="28" spans="1:7" x14ac:dyDescent="0.25">
      <c r="A28">
        <v>26</v>
      </c>
      <c r="B28" t="s">
        <v>75</v>
      </c>
      <c r="C28" t="s">
        <v>6</v>
      </c>
      <c r="D28" t="s">
        <v>12</v>
      </c>
      <c r="F28" t="s">
        <v>34</v>
      </c>
      <c r="G28" t="s">
        <v>35</v>
      </c>
    </row>
    <row r="29" spans="1:7" x14ac:dyDescent="0.25">
      <c r="A29">
        <v>27</v>
      </c>
      <c r="B29" t="s">
        <v>76</v>
      </c>
      <c r="C29" t="s">
        <v>6</v>
      </c>
      <c r="D29" t="s">
        <v>12</v>
      </c>
      <c r="F29" t="s">
        <v>34</v>
      </c>
      <c r="G29" t="s">
        <v>28</v>
      </c>
    </row>
    <row r="30" spans="1:7" x14ac:dyDescent="0.25">
      <c r="A30">
        <v>28</v>
      </c>
      <c r="B30" t="s">
        <v>77</v>
      </c>
      <c r="C30" t="s">
        <v>6</v>
      </c>
      <c r="D30" t="s">
        <v>13</v>
      </c>
      <c r="F30" t="s">
        <v>34</v>
      </c>
      <c r="G30" t="s">
        <v>35</v>
      </c>
    </row>
    <row r="31" spans="1:7" x14ac:dyDescent="0.25">
      <c r="A31">
        <v>29</v>
      </c>
      <c r="B31" t="s">
        <v>78</v>
      </c>
      <c r="C31" t="s">
        <v>6</v>
      </c>
      <c r="D31" t="s">
        <v>14</v>
      </c>
      <c r="F31" t="s">
        <v>34</v>
      </c>
      <c r="G31" t="s">
        <v>28</v>
      </c>
    </row>
    <row r="32" spans="1:7" x14ac:dyDescent="0.25">
      <c r="A32">
        <v>30</v>
      </c>
      <c r="B32" t="s">
        <v>79</v>
      </c>
      <c r="C32" t="s">
        <v>6</v>
      </c>
      <c r="D32" t="s">
        <v>7</v>
      </c>
      <c r="F32" t="s">
        <v>37</v>
      </c>
      <c r="G32" t="s">
        <v>28</v>
      </c>
    </row>
    <row r="33" spans="1:7" x14ac:dyDescent="0.25">
      <c r="A33">
        <v>31</v>
      </c>
      <c r="B33" t="s">
        <v>80</v>
      </c>
      <c r="C33" t="s">
        <v>6</v>
      </c>
      <c r="D33" t="s">
        <v>7</v>
      </c>
      <c r="F33" t="s">
        <v>37</v>
      </c>
      <c r="G33" t="s">
        <v>29</v>
      </c>
    </row>
    <row r="34" spans="1:7" x14ac:dyDescent="0.25">
      <c r="A34">
        <v>32</v>
      </c>
      <c r="B34" t="s">
        <v>81</v>
      </c>
      <c r="C34" t="s">
        <v>6</v>
      </c>
      <c r="D34" t="s">
        <v>7</v>
      </c>
      <c r="F34" t="s">
        <v>37</v>
      </c>
      <c r="G34" t="s">
        <v>36</v>
      </c>
    </row>
    <row r="35" spans="1:7" x14ac:dyDescent="0.25">
      <c r="A35">
        <v>33</v>
      </c>
      <c r="B35" t="s">
        <v>82</v>
      </c>
      <c r="C35" t="s">
        <v>6</v>
      </c>
      <c r="D35" t="s">
        <v>12</v>
      </c>
      <c r="F35" t="s">
        <v>37</v>
      </c>
      <c r="G35" t="s">
        <v>28</v>
      </c>
    </row>
    <row r="36" spans="1:7" x14ac:dyDescent="0.25">
      <c r="A36">
        <v>34</v>
      </c>
      <c r="B36" t="s">
        <v>83</v>
      </c>
      <c r="C36" t="s">
        <v>6</v>
      </c>
      <c r="D36" t="s">
        <v>12</v>
      </c>
      <c r="F36" t="s">
        <v>37</v>
      </c>
      <c r="G36" t="s">
        <v>29</v>
      </c>
    </row>
    <row r="37" spans="1:7" x14ac:dyDescent="0.25">
      <c r="A37">
        <v>35</v>
      </c>
      <c r="B37" t="s">
        <v>84</v>
      </c>
      <c r="C37" t="s">
        <v>6</v>
      </c>
      <c r="D37" t="s">
        <v>14</v>
      </c>
      <c r="F37" t="s">
        <v>37</v>
      </c>
      <c r="G37" t="s">
        <v>28</v>
      </c>
    </row>
    <row r="38" spans="1:7" x14ac:dyDescent="0.25">
      <c r="A38">
        <v>36</v>
      </c>
      <c r="B38" t="s">
        <v>85</v>
      </c>
      <c r="C38" t="s">
        <v>6</v>
      </c>
      <c r="D38" t="s">
        <v>14</v>
      </c>
      <c r="F38" t="s">
        <v>37</v>
      </c>
      <c r="G38" t="s">
        <v>29</v>
      </c>
    </row>
    <row r="39" spans="1:7" x14ac:dyDescent="0.25">
      <c r="A39">
        <v>37</v>
      </c>
      <c r="B39" t="s">
        <v>86</v>
      </c>
      <c r="C39" t="s">
        <v>6</v>
      </c>
      <c r="D39" t="s">
        <v>14</v>
      </c>
      <c r="F39" t="s">
        <v>37</v>
      </c>
      <c r="G39" t="s">
        <v>87</v>
      </c>
    </row>
    <row r="40" spans="1:7" x14ac:dyDescent="0.25">
      <c r="A40">
        <v>38</v>
      </c>
      <c r="B40" t="s">
        <v>88</v>
      </c>
      <c r="C40" t="s">
        <v>6</v>
      </c>
      <c r="D40" t="s">
        <v>8</v>
      </c>
      <c r="F40" t="s">
        <v>37</v>
      </c>
      <c r="G40" t="s">
        <v>29</v>
      </c>
    </row>
    <row r="41" spans="1:7" x14ac:dyDescent="0.25">
      <c r="A41">
        <v>39</v>
      </c>
      <c r="B41" t="s">
        <v>89</v>
      </c>
      <c r="C41" t="s">
        <v>6</v>
      </c>
      <c r="D41" t="s">
        <v>8</v>
      </c>
      <c r="F41" t="s">
        <v>37</v>
      </c>
      <c r="G41" t="s">
        <v>87</v>
      </c>
    </row>
    <row r="42" spans="1:7" x14ac:dyDescent="0.25">
      <c r="A42">
        <v>40</v>
      </c>
      <c r="B42" t="s">
        <v>90</v>
      </c>
      <c r="C42" t="s">
        <v>6</v>
      </c>
      <c r="D42" t="s">
        <v>13</v>
      </c>
      <c r="F42" t="s">
        <v>37</v>
      </c>
      <c r="G42" t="s">
        <v>29</v>
      </c>
    </row>
    <row r="43" spans="1:7" x14ac:dyDescent="0.25">
      <c r="A43">
        <v>41</v>
      </c>
      <c r="B43" t="s">
        <v>91</v>
      </c>
      <c r="C43" t="s">
        <v>6</v>
      </c>
      <c r="D43" t="s">
        <v>48</v>
      </c>
      <c r="F43" t="s">
        <v>37</v>
      </c>
      <c r="G43" t="s">
        <v>29</v>
      </c>
    </row>
    <row r="44" spans="1:7" x14ac:dyDescent="0.25">
      <c r="A44">
        <v>42</v>
      </c>
      <c r="B44" t="s">
        <v>92</v>
      </c>
      <c r="C44" t="s">
        <v>6</v>
      </c>
      <c r="D44" t="s">
        <v>49</v>
      </c>
      <c r="F44" t="s">
        <v>38</v>
      </c>
    </row>
    <row r="45" spans="1:7" x14ac:dyDescent="0.25">
      <c r="A45">
        <v>43</v>
      </c>
      <c r="B45" t="s">
        <v>93</v>
      </c>
      <c r="C45" t="s">
        <v>6</v>
      </c>
      <c r="D45" t="s">
        <v>49</v>
      </c>
      <c r="F45" t="s">
        <v>39</v>
      </c>
    </row>
    <row r="46" spans="1:7" x14ac:dyDescent="0.25">
      <c r="A46">
        <v>44</v>
      </c>
      <c r="B46" t="s">
        <v>50</v>
      </c>
      <c r="C46" t="s">
        <v>6</v>
      </c>
      <c r="D46" t="s">
        <v>50</v>
      </c>
    </row>
    <row r="47" spans="1:7" x14ac:dyDescent="0.25">
      <c r="A47">
        <v>45</v>
      </c>
      <c r="B47" t="s">
        <v>94</v>
      </c>
      <c r="C47" t="s">
        <v>6</v>
      </c>
      <c r="D47" t="s">
        <v>7</v>
      </c>
      <c r="F47" t="s">
        <v>38</v>
      </c>
    </row>
    <row r="48" spans="1:7" x14ac:dyDescent="0.25">
      <c r="A48">
        <v>46</v>
      </c>
      <c r="B48" t="s">
        <v>95</v>
      </c>
      <c r="C48" t="s">
        <v>6</v>
      </c>
      <c r="D48" t="s">
        <v>7</v>
      </c>
      <c r="F48" t="s">
        <v>39</v>
      </c>
    </row>
    <row r="49" spans="1:7" x14ac:dyDescent="0.25">
      <c r="A49">
        <v>47</v>
      </c>
      <c r="B49" t="s">
        <v>96</v>
      </c>
      <c r="C49" t="s">
        <v>6</v>
      </c>
      <c r="D49" t="s">
        <v>7</v>
      </c>
      <c r="F49" t="s">
        <v>97</v>
      </c>
    </row>
    <row r="50" spans="1:7" x14ac:dyDescent="0.25">
      <c r="A50">
        <v>48</v>
      </c>
      <c r="B50" t="s">
        <v>51</v>
      </c>
      <c r="C50" t="s">
        <v>6</v>
      </c>
      <c r="D50" t="s">
        <v>51</v>
      </c>
    </row>
    <row r="51" spans="1:7" x14ac:dyDescent="0.25">
      <c r="A51">
        <v>49</v>
      </c>
      <c r="B51" t="s">
        <v>52</v>
      </c>
      <c r="C51" t="s">
        <v>6</v>
      </c>
      <c r="D51" t="s">
        <v>52</v>
      </c>
    </row>
    <row r="52" spans="1:7" x14ac:dyDescent="0.25">
      <c r="A52">
        <v>50</v>
      </c>
      <c r="B52" s="34" t="s">
        <v>113</v>
      </c>
      <c r="C52" s="34" t="s">
        <v>6</v>
      </c>
      <c r="D52" s="34" t="s">
        <v>14</v>
      </c>
      <c r="E52" s="34"/>
      <c r="F52" s="34" t="s">
        <v>38</v>
      </c>
      <c r="G52" s="34"/>
    </row>
    <row r="53" spans="1:7" x14ac:dyDescent="0.25">
      <c r="A53">
        <v>51</v>
      </c>
      <c r="B53" s="34" t="s">
        <v>114</v>
      </c>
      <c r="C53" s="34" t="s">
        <v>6</v>
      </c>
      <c r="D53" s="34" t="s">
        <v>14</v>
      </c>
      <c r="E53" s="34"/>
      <c r="F53" s="34" t="s">
        <v>39</v>
      </c>
      <c r="G53" s="34"/>
    </row>
    <row r="54" spans="1:7" x14ac:dyDescent="0.25">
      <c r="A54">
        <v>52</v>
      </c>
      <c r="B54" s="34" t="s">
        <v>53</v>
      </c>
      <c r="C54" s="34" t="s">
        <v>6</v>
      </c>
      <c r="D54" s="34" t="s">
        <v>53</v>
      </c>
      <c r="E54" s="34"/>
      <c r="F54" s="34"/>
      <c r="G54" s="3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87"/>
  <sheetViews>
    <sheetView zoomScale="85" zoomScaleNormal="85" workbookViewId="0">
      <selection activeCell="C55" sqref="C5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" customWidth="1"/>
    <col min="6" max="6" width="10.85546875" bestFit="1" customWidth="1"/>
    <col min="7" max="7" width="17.28515625" customWidth="1"/>
    <col min="10" max="10" width="14.140625" customWidth="1"/>
    <col min="11" max="11" width="19.85546875" customWidth="1"/>
    <col min="12" max="12" width="23.140625" customWidth="1"/>
    <col min="13" max="13" width="14" customWidth="1"/>
  </cols>
  <sheetData>
    <row r="1" spans="2:7" x14ac:dyDescent="0.25">
      <c r="C1" s="36" t="s">
        <v>21</v>
      </c>
      <c r="D1" s="36"/>
    </row>
    <row r="2" spans="2:7" ht="15.75" thickBot="1" x14ac:dyDescent="0.3">
      <c r="B2" s="1" t="s">
        <v>9</v>
      </c>
      <c r="C2" s="1" t="s">
        <v>10</v>
      </c>
      <c r="D2" s="2" t="s">
        <v>17</v>
      </c>
      <c r="E2" s="2" t="s">
        <v>16</v>
      </c>
      <c r="F2" s="1" t="s">
        <v>19</v>
      </c>
      <c r="G2" s="1" t="s">
        <v>20</v>
      </c>
    </row>
    <row r="3" spans="2:7" x14ac:dyDescent="0.25">
      <c r="B3" s="3">
        <v>45786</v>
      </c>
      <c r="C3" s="12" t="s">
        <v>54</v>
      </c>
      <c r="D3" s="5">
        <v>8</v>
      </c>
      <c r="E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3" s="20"/>
      <c r="G3" s="21"/>
    </row>
    <row r="4" spans="2:7" x14ac:dyDescent="0.25">
      <c r="B4" s="3">
        <v>45786</v>
      </c>
      <c r="C4" s="15" t="s">
        <v>55</v>
      </c>
      <c r="D4" s="5">
        <v>135</v>
      </c>
      <c r="E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135</v>
      </c>
      <c r="F4" s="22"/>
      <c r="G4" s="23"/>
    </row>
    <row r="5" spans="2:7" x14ac:dyDescent="0.25">
      <c r="B5" s="3">
        <v>45786</v>
      </c>
      <c r="C5" s="15" t="s">
        <v>56</v>
      </c>
      <c r="D5" s="5">
        <v>83</v>
      </c>
      <c r="E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83</v>
      </c>
      <c r="F5" s="22"/>
      <c r="G5" s="23"/>
    </row>
    <row r="6" spans="2:7" x14ac:dyDescent="0.25">
      <c r="B6" s="3">
        <v>45786</v>
      </c>
      <c r="C6" s="15" t="s">
        <v>30</v>
      </c>
      <c r="D6" s="5">
        <v>66</v>
      </c>
      <c r="E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66</v>
      </c>
      <c r="F6" s="22"/>
      <c r="G6" s="23"/>
    </row>
    <row r="7" spans="2:7" x14ac:dyDescent="0.25">
      <c r="B7" s="3">
        <v>45786</v>
      </c>
      <c r="C7" s="15" t="s">
        <v>57</v>
      </c>
      <c r="D7" s="5">
        <v>15</v>
      </c>
      <c r="E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15</v>
      </c>
      <c r="F7" s="22"/>
      <c r="G7" s="23"/>
    </row>
    <row r="8" spans="2:7" x14ac:dyDescent="0.25">
      <c r="B8" s="3">
        <v>45786</v>
      </c>
      <c r="C8" s="15" t="s">
        <v>58</v>
      </c>
      <c r="D8" s="5">
        <v>135</v>
      </c>
      <c r="E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135</v>
      </c>
      <c r="F8" s="22"/>
      <c r="G8" s="23"/>
    </row>
    <row r="9" spans="2:7" x14ac:dyDescent="0.25">
      <c r="B9" s="3">
        <v>45786</v>
      </c>
      <c r="C9" s="15" t="s">
        <v>59</v>
      </c>
      <c r="D9" s="5">
        <v>154</v>
      </c>
      <c r="E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154</v>
      </c>
      <c r="F9" s="22"/>
      <c r="G9" s="23"/>
    </row>
    <row r="10" spans="2:7" x14ac:dyDescent="0.25">
      <c r="B10" s="3">
        <v>45786</v>
      </c>
      <c r="C10" s="15" t="s">
        <v>60</v>
      </c>
      <c r="D10" s="5">
        <v>62</v>
      </c>
      <c r="E1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62</v>
      </c>
      <c r="F10" s="22"/>
      <c r="G10" s="23"/>
    </row>
    <row r="11" spans="2:7" x14ac:dyDescent="0.25">
      <c r="B11" s="3">
        <v>45786</v>
      </c>
      <c r="C11" s="15" t="s">
        <v>118</v>
      </c>
      <c r="D11" s="5">
        <v>7</v>
      </c>
      <c r="E1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7</v>
      </c>
      <c r="F11" s="22"/>
      <c r="G11" s="23"/>
    </row>
    <row r="12" spans="2:7" x14ac:dyDescent="0.25">
      <c r="B12" s="3">
        <v>45786</v>
      </c>
      <c r="C12" s="15" t="s">
        <v>116</v>
      </c>
      <c r="D12" s="5">
        <v>5</v>
      </c>
      <c r="E1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5</v>
      </c>
      <c r="F12" s="22"/>
      <c r="G12" s="23"/>
    </row>
    <row r="13" spans="2:7" x14ac:dyDescent="0.25">
      <c r="B13" s="3">
        <v>45786</v>
      </c>
      <c r="C13" s="15" t="s">
        <v>117</v>
      </c>
      <c r="D13" s="5">
        <v>15</v>
      </c>
      <c r="E1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15</v>
      </c>
      <c r="F13" s="22"/>
      <c r="G13" s="23"/>
    </row>
    <row r="14" spans="2:7" x14ac:dyDescent="0.25">
      <c r="B14" s="3">
        <v>45786</v>
      </c>
      <c r="C14" s="15" t="s">
        <v>31</v>
      </c>
      <c r="D14" s="5">
        <v>37</v>
      </c>
      <c r="E1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37</v>
      </c>
      <c r="F14" s="22"/>
      <c r="G14" s="23"/>
    </row>
    <row r="15" spans="2:7" x14ac:dyDescent="0.25">
      <c r="B15" s="3">
        <v>45786</v>
      </c>
      <c r="C15" s="15" t="s">
        <v>61</v>
      </c>
      <c r="D15" s="5">
        <v>11</v>
      </c>
      <c r="E1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11</v>
      </c>
      <c r="F15" s="22"/>
      <c r="G15" s="23"/>
    </row>
    <row r="16" spans="2:7" x14ac:dyDescent="0.25">
      <c r="B16" s="3">
        <v>45786</v>
      </c>
      <c r="C16" s="15" t="s">
        <v>62</v>
      </c>
      <c r="D16" s="5">
        <v>27</v>
      </c>
      <c r="E1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27</v>
      </c>
      <c r="F16" s="22"/>
      <c r="G16" s="23"/>
    </row>
    <row r="17" spans="2:7" x14ac:dyDescent="0.25">
      <c r="B17" s="3">
        <v>45786</v>
      </c>
      <c r="C17" s="15" t="s">
        <v>63</v>
      </c>
      <c r="D17" s="5">
        <v>7</v>
      </c>
      <c r="E1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7</v>
      </c>
      <c r="F17" s="22"/>
      <c r="G17" s="23"/>
    </row>
    <row r="18" spans="2:7" x14ac:dyDescent="0.25">
      <c r="B18" s="3">
        <v>45786</v>
      </c>
      <c r="C18" s="15" t="s">
        <v>64</v>
      </c>
      <c r="D18" s="5">
        <v>2</v>
      </c>
      <c r="E1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18" s="22"/>
      <c r="G18" s="23"/>
    </row>
    <row r="19" spans="2:7" x14ac:dyDescent="0.25">
      <c r="B19" s="3">
        <v>45786</v>
      </c>
      <c r="C19" s="15" t="s">
        <v>65</v>
      </c>
      <c r="D19" s="5">
        <v>5</v>
      </c>
      <c r="E1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5</v>
      </c>
      <c r="F19" s="22"/>
      <c r="G19" s="23"/>
    </row>
    <row r="20" spans="2:7" x14ac:dyDescent="0.25">
      <c r="B20" s="3">
        <v>45786</v>
      </c>
      <c r="C20" s="15" t="s">
        <v>66</v>
      </c>
      <c r="D20" s="5">
        <v>2</v>
      </c>
      <c r="E2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20" s="22"/>
      <c r="G20" s="23"/>
    </row>
    <row r="21" spans="2:7" x14ac:dyDescent="0.25">
      <c r="B21" s="3">
        <v>45786</v>
      </c>
      <c r="C21" s="15" t="s">
        <v>67</v>
      </c>
      <c r="D21" s="5">
        <v>1</v>
      </c>
      <c r="E2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21" s="22"/>
      <c r="G21" s="23"/>
    </row>
    <row r="22" spans="2:7" x14ac:dyDescent="0.25">
      <c r="B22" s="3">
        <v>45786</v>
      </c>
      <c r="C22" s="15" t="s">
        <v>68</v>
      </c>
      <c r="D22" s="16">
        <v>6</v>
      </c>
      <c r="E2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</v>
      </c>
      <c r="F22" s="22"/>
      <c r="G22" s="23"/>
    </row>
    <row r="23" spans="2:7" x14ac:dyDescent="0.25">
      <c r="B23" s="3">
        <v>45786</v>
      </c>
      <c r="C23" s="15" t="s">
        <v>69</v>
      </c>
      <c r="D23" s="16">
        <v>2</v>
      </c>
      <c r="E2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23" s="22"/>
      <c r="G23" s="23"/>
    </row>
    <row r="24" spans="2:7" x14ac:dyDescent="0.25">
      <c r="B24" s="3">
        <v>45786</v>
      </c>
      <c r="C24" s="15" t="s">
        <v>33</v>
      </c>
      <c r="D24" s="16">
        <v>99</v>
      </c>
      <c r="E2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99</v>
      </c>
      <c r="F24" s="22"/>
      <c r="G24" s="23"/>
    </row>
    <row r="25" spans="2:7" x14ac:dyDescent="0.25">
      <c r="B25" s="3">
        <v>45786</v>
      </c>
      <c r="C25" s="15" t="s">
        <v>70</v>
      </c>
      <c r="D25" s="16">
        <v>9</v>
      </c>
      <c r="E2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9</v>
      </c>
      <c r="F25" s="22"/>
      <c r="G25" s="23"/>
    </row>
    <row r="26" spans="2:7" x14ac:dyDescent="0.25">
      <c r="B26" s="3">
        <v>45786</v>
      </c>
      <c r="C26" s="15" t="s">
        <v>71</v>
      </c>
      <c r="D26" s="16">
        <v>2</v>
      </c>
      <c r="E2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26" s="22"/>
      <c r="G26" s="23"/>
    </row>
    <row r="27" spans="2:7" x14ac:dyDescent="0.25">
      <c r="B27" s="3">
        <v>45786</v>
      </c>
      <c r="C27" s="15" t="s">
        <v>73</v>
      </c>
      <c r="D27" s="16">
        <v>8</v>
      </c>
      <c r="E2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27" s="22"/>
      <c r="G27" s="23"/>
    </row>
    <row r="28" spans="2:7" x14ac:dyDescent="0.25">
      <c r="B28" s="3">
        <v>45786</v>
      </c>
      <c r="C28" s="15" t="s">
        <v>75</v>
      </c>
      <c r="D28" s="16">
        <v>4</v>
      </c>
      <c r="E2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4</v>
      </c>
      <c r="F28" s="22"/>
      <c r="G28" s="23"/>
    </row>
    <row r="29" spans="2:7" x14ac:dyDescent="0.25">
      <c r="B29" s="3">
        <v>45786</v>
      </c>
      <c r="C29" s="15" t="s">
        <v>76</v>
      </c>
      <c r="D29" s="16">
        <v>12</v>
      </c>
      <c r="E2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12</v>
      </c>
      <c r="F29" s="22"/>
      <c r="G29" s="23"/>
    </row>
    <row r="30" spans="2:7" x14ac:dyDescent="0.25">
      <c r="B30" s="3">
        <v>45786</v>
      </c>
      <c r="C30" s="15" t="s">
        <v>77</v>
      </c>
      <c r="D30" s="16">
        <v>5</v>
      </c>
      <c r="E3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5</v>
      </c>
      <c r="F30" s="22"/>
      <c r="G30" s="23"/>
    </row>
    <row r="31" spans="2:7" x14ac:dyDescent="0.25">
      <c r="B31" s="3">
        <v>45786</v>
      </c>
      <c r="C31" s="15" t="s">
        <v>78</v>
      </c>
      <c r="D31" s="16">
        <v>14</v>
      </c>
      <c r="E3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14</v>
      </c>
      <c r="F31" s="22"/>
      <c r="G31" s="23"/>
    </row>
    <row r="32" spans="2:7" x14ac:dyDescent="0.25">
      <c r="B32" s="3">
        <v>45786</v>
      </c>
      <c r="C32" s="15" t="s">
        <v>79</v>
      </c>
      <c r="D32" s="16">
        <v>4</v>
      </c>
      <c r="E3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4</v>
      </c>
      <c r="F32" s="22"/>
      <c r="G32" s="23"/>
    </row>
    <row r="33" spans="2:7" x14ac:dyDescent="0.25">
      <c r="B33" s="3">
        <v>45786</v>
      </c>
      <c r="C33" s="15" t="s">
        <v>80</v>
      </c>
      <c r="D33" s="16">
        <v>3</v>
      </c>
      <c r="E3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3</v>
      </c>
      <c r="F33" s="22"/>
      <c r="G33" s="23"/>
    </row>
    <row r="34" spans="2:7" x14ac:dyDescent="0.25">
      <c r="B34" s="3">
        <v>45786</v>
      </c>
      <c r="C34" s="15" t="s">
        <v>81</v>
      </c>
      <c r="D34" s="16">
        <v>4</v>
      </c>
      <c r="E3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4</v>
      </c>
      <c r="F34" s="22"/>
      <c r="G34" s="23"/>
    </row>
    <row r="35" spans="2:7" x14ac:dyDescent="0.25">
      <c r="B35" s="3">
        <v>45786</v>
      </c>
      <c r="C35" s="15" t="s">
        <v>82</v>
      </c>
      <c r="D35" s="16">
        <v>13</v>
      </c>
      <c r="E3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13</v>
      </c>
      <c r="F35" s="22"/>
      <c r="G35" s="23"/>
    </row>
    <row r="36" spans="2:7" x14ac:dyDescent="0.25">
      <c r="B36" s="3">
        <v>45786</v>
      </c>
      <c r="C36" s="15" t="s">
        <v>83</v>
      </c>
      <c r="D36" s="16">
        <v>0</v>
      </c>
      <c r="E3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36" s="22"/>
      <c r="G36" s="23"/>
    </row>
    <row r="37" spans="2:7" x14ac:dyDescent="0.25">
      <c r="B37" s="3">
        <v>45786</v>
      </c>
      <c r="C37" s="15" t="s">
        <v>84</v>
      </c>
      <c r="D37" s="16">
        <v>12</v>
      </c>
      <c r="E3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12</v>
      </c>
      <c r="F37" s="22"/>
      <c r="G37" s="23"/>
    </row>
    <row r="38" spans="2:7" x14ac:dyDescent="0.25">
      <c r="B38" s="3">
        <v>45786</v>
      </c>
      <c r="C38" s="15" t="s">
        <v>85</v>
      </c>
      <c r="D38" s="16">
        <v>111</v>
      </c>
      <c r="E3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111</v>
      </c>
      <c r="F38" s="22"/>
      <c r="G38" s="23"/>
    </row>
    <row r="39" spans="2:7" x14ac:dyDescent="0.25">
      <c r="B39" s="3">
        <v>45786</v>
      </c>
      <c r="C39" s="15" t="s">
        <v>86</v>
      </c>
      <c r="D39" s="16">
        <v>9</v>
      </c>
      <c r="E3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9</v>
      </c>
      <c r="F39" s="22"/>
      <c r="G39" s="23"/>
    </row>
    <row r="40" spans="2:7" x14ac:dyDescent="0.25">
      <c r="B40" s="3">
        <v>45786</v>
      </c>
      <c r="C40" s="15" t="s">
        <v>88</v>
      </c>
      <c r="D40" s="16">
        <v>3</v>
      </c>
      <c r="E4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3</v>
      </c>
      <c r="F40" s="22"/>
      <c r="G40" s="23"/>
    </row>
    <row r="41" spans="2:7" x14ac:dyDescent="0.25">
      <c r="B41" s="3">
        <v>45786</v>
      </c>
      <c r="C41" s="15" t="s">
        <v>89</v>
      </c>
      <c r="D41" s="16">
        <v>1</v>
      </c>
      <c r="E4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41" s="22"/>
      <c r="G41" s="23"/>
    </row>
    <row r="42" spans="2:7" x14ac:dyDescent="0.25">
      <c r="B42" s="3">
        <v>45786</v>
      </c>
      <c r="C42" s="15" t="s">
        <v>90</v>
      </c>
      <c r="D42" s="16">
        <v>2</v>
      </c>
      <c r="E4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42" s="22"/>
      <c r="G42" s="23"/>
    </row>
    <row r="43" spans="2:7" x14ac:dyDescent="0.25">
      <c r="B43" s="3">
        <v>45786</v>
      </c>
      <c r="C43" s="15" t="s">
        <v>91</v>
      </c>
      <c r="D43" s="16">
        <v>8</v>
      </c>
      <c r="E4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43" s="22"/>
      <c r="G43" s="23"/>
    </row>
    <row r="44" spans="2:7" x14ac:dyDescent="0.25">
      <c r="B44" s="3">
        <v>45786</v>
      </c>
      <c r="C44" s="15" t="s">
        <v>92</v>
      </c>
      <c r="D44" s="16">
        <v>1</v>
      </c>
      <c r="E4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44" s="22"/>
      <c r="G44" s="23"/>
    </row>
    <row r="45" spans="2:7" x14ac:dyDescent="0.25">
      <c r="B45" s="3">
        <v>45786</v>
      </c>
      <c r="C45" s="15" t="s">
        <v>93</v>
      </c>
      <c r="D45" s="16">
        <v>1</v>
      </c>
      <c r="E4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45" s="22"/>
      <c r="G45" s="23"/>
    </row>
    <row r="46" spans="2:7" x14ac:dyDescent="0.25">
      <c r="B46" s="3">
        <v>45786</v>
      </c>
      <c r="C46" s="15" t="s">
        <v>50</v>
      </c>
      <c r="D46" s="16">
        <v>6</v>
      </c>
      <c r="E4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</v>
      </c>
      <c r="F46" s="22"/>
      <c r="G46" s="23"/>
    </row>
    <row r="47" spans="2:7" x14ac:dyDescent="0.25">
      <c r="B47" s="3">
        <v>45786</v>
      </c>
      <c r="C47" s="15" t="s">
        <v>94</v>
      </c>
      <c r="D47" s="16">
        <v>2</v>
      </c>
      <c r="E4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47" s="22"/>
      <c r="G47" s="23"/>
    </row>
    <row r="48" spans="2:7" x14ac:dyDescent="0.25">
      <c r="B48" s="3">
        <v>45786</v>
      </c>
      <c r="C48" s="15" t="s">
        <v>95</v>
      </c>
      <c r="D48" s="16">
        <v>0</v>
      </c>
      <c r="E4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48" s="22"/>
      <c r="G48" s="23"/>
    </row>
    <row r="49" spans="2:7" x14ac:dyDescent="0.25">
      <c r="B49" s="3">
        <v>45786</v>
      </c>
      <c r="C49" s="15" t="s">
        <v>96</v>
      </c>
      <c r="D49" s="16">
        <v>2</v>
      </c>
      <c r="E4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49" s="22"/>
      <c r="G49" s="23"/>
    </row>
    <row r="50" spans="2:7" x14ac:dyDescent="0.25">
      <c r="B50" s="3">
        <v>45786</v>
      </c>
      <c r="C50" s="15" t="s">
        <v>51</v>
      </c>
      <c r="D50" s="16">
        <v>0</v>
      </c>
      <c r="E5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50" s="22"/>
      <c r="G50" s="23"/>
    </row>
    <row r="51" spans="2:7" x14ac:dyDescent="0.25">
      <c r="B51" s="3">
        <v>45786</v>
      </c>
      <c r="C51" s="15" t="s">
        <v>52</v>
      </c>
      <c r="D51" s="16">
        <v>21</v>
      </c>
      <c r="E5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21</v>
      </c>
      <c r="F51" s="22"/>
      <c r="G51" s="23"/>
    </row>
    <row r="52" spans="2:7" x14ac:dyDescent="0.25">
      <c r="B52" s="3">
        <v>45786</v>
      </c>
      <c r="C52" s="15" t="s">
        <v>113</v>
      </c>
      <c r="D52" s="16">
        <v>16</v>
      </c>
      <c r="E5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16</v>
      </c>
      <c r="F52" s="22"/>
      <c r="G52" s="23"/>
    </row>
    <row r="53" spans="2:7" x14ac:dyDescent="0.25">
      <c r="B53" s="3">
        <v>45786</v>
      </c>
      <c r="C53" s="15" t="s">
        <v>114</v>
      </c>
      <c r="D53" s="16">
        <v>2</v>
      </c>
      <c r="E5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53" s="22"/>
      <c r="G53" s="23"/>
    </row>
    <row r="54" spans="2:7" x14ac:dyDescent="0.25">
      <c r="B54" s="3">
        <v>45786</v>
      </c>
      <c r="C54" s="15" t="s">
        <v>53</v>
      </c>
      <c r="D54" s="16">
        <v>0</v>
      </c>
      <c r="E5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54" s="22"/>
      <c r="G54" s="23"/>
    </row>
    <row r="55" spans="2:7" x14ac:dyDescent="0.25">
      <c r="B55" s="3"/>
      <c r="C55" s="15"/>
      <c r="D55" s="16"/>
      <c r="E5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5" s="22"/>
      <c r="G55" s="23"/>
    </row>
    <row r="56" spans="2:7" x14ac:dyDescent="0.25">
      <c r="B56" s="3"/>
      <c r="C56" s="15"/>
      <c r="D56" s="16"/>
      <c r="E56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6" s="22"/>
      <c r="G56" s="23"/>
    </row>
    <row r="57" spans="2:7" x14ac:dyDescent="0.25">
      <c r="B57" s="3"/>
      <c r="C57" s="15"/>
      <c r="D57" s="16"/>
      <c r="E57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7" s="22"/>
      <c r="G57" s="23"/>
    </row>
    <row r="58" spans="2:7" x14ac:dyDescent="0.25">
      <c r="B58" s="3"/>
      <c r="C58" s="15"/>
      <c r="D58" s="16"/>
      <c r="E58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8" s="22"/>
      <c r="G58" s="23"/>
    </row>
    <row r="59" spans="2:7" x14ac:dyDescent="0.25">
      <c r="B59" s="3"/>
      <c r="C59" s="15"/>
      <c r="D59" s="16"/>
      <c r="E59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9" s="22"/>
      <c r="G59" s="23"/>
    </row>
    <row r="60" spans="2:7" x14ac:dyDescent="0.25">
      <c r="B60" s="3"/>
      <c r="C60" s="15"/>
      <c r="D60" s="16"/>
      <c r="E60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0" s="22"/>
      <c r="G60" s="23"/>
    </row>
    <row r="61" spans="2:7" x14ac:dyDescent="0.25">
      <c r="B61" s="3"/>
      <c r="C61" s="15"/>
      <c r="D61" s="16"/>
      <c r="E61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1" s="22"/>
      <c r="G61" s="23"/>
    </row>
    <row r="62" spans="2:7" x14ac:dyDescent="0.25">
      <c r="B62" s="3"/>
      <c r="C62" s="15"/>
      <c r="D62" s="16"/>
      <c r="E62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2" s="22"/>
      <c r="G62" s="23"/>
    </row>
    <row r="63" spans="2:7" x14ac:dyDescent="0.25">
      <c r="B63" s="3"/>
      <c r="C63" s="15"/>
      <c r="D63" s="16"/>
      <c r="E63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3" s="22"/>
      <c r="G63" s="23"/>
    </row>
    <row r="64" spans="2:7" x14ac:dyDescent="0.25">
      <c r="B64" s="3"/>
      <c r="C64" s="15"/>
      <c r="D64" s="16"/>
      <c r="E64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4" s="22"/>
      <c r="G64" s="23"/>
    </row>
    <row r="65" spans="2:7" x14ac:dyDescent="0.25">
      <c r="B65" s="3"/>
      <c r="C65" s="15"/>
      <c r="D65" s="16"/>
      <c r="E6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5" s="22"/>
      <c r="G65" s="23"/>
    </row>
    <row r="66" spans="2:7" x14ac:dyDescent="0.25">
      <c r="B66" s="3"/>
      <c r="C66" s="15"/>
      <c r="D66" s="16"/>
      <c r="E66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6" s="22"/>
      <c r="G66" s="23"/>
    </row>
    <row r="67" spans="2:7" x14ac:dyDescent="0.25">
      <c r="B67" s="3"/>
      <c r="C67" s="15"/>
      <c r="D67" s="16"/>
      <c r="E67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7" s="22"/>
      <c r="G67" s="23"/>
    </row>
    <row r="68" spans="2:7" x14ac:dyDescent="0.25">
      <c r="B68" s="3"/>
      <c r="C68" s="15"/>
      <c r="D68" s="16"/>
      <c r="E68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8" s="22"/>
      <c r="G68" s="23"/>
    </row>
    <row r="69" spans="2:7" x14ac:dyDescent="0.25">
      <c r="B69" s="3"/>
      <c r="C69" s="15"/>
      <c r="D69" s="16"/>
      <c r="E69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9" s="22"/>
      <c r="G69" s="23"/>
    </row>
    <row r="70" spans="2:7" x14ac:dyDescent="0.25">
      <c r="B70" s="3"/>
      <c r="C70" s="15"/>
      <c r="D70" s="16"/>
      <c r="E70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0" s="22"/>
      <c r="G70" s="23"/>
    </row>
    <row r="71" spans="2:7" x14ac:dyDescent="0.25">
      <c r="B71" s="3"/>
      <c r="C71" s="15"/>
      <c r="D71" s="16"/>
      <c r="E71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1" s="22"/>
      <c r="G71" s="23"/>
    </row>
    <row r="72" spans="2:7" x14ac:dyDescent="0.25">
      <c r="B72" s="3"/>
      <c r="C72" s="15"/>
      <c r="D72" s="16"/>
      <c r="E72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2" s="22"/>
      <c r="G72" s="23"/>
    </row>
    <row r="73" spans="2:7" x14ac:dyDescent="0.25">
      <c r="B73" s="3"/>
      <c r="C73" s="15"/>
      <c r="D73" s="16"/>
      <c r="E73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3" s="22"/>
      <c r="G73" s="23"/>
    </row>
    <row r="74" spans="2:7" x14ac:dyDescent="0.25">
      <c r="B74" s="3"/>
      <c r="C74" s="15"/>
      <c r="D74" s="16"/>
      <c r="E74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4" s="22"/>
      <c r="G74" s="23"/>
    </row>
    <row r="75" spans="2:7" x14ac:dyDescent="0.25">
      <c r="B75" s="3"/>
      <c r="C75" s="15"/>
      <c r="D75" s="16"/>
      <c r="E7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5" s="22"/>
      <c r="G75" s="23"/>
    </row>
    <row r="76" spans="2:7" x14ac:dyDescent="0.25">
      <c r="B76" s="3"/>
      <c r="C76" s="15"/>
      <c r="D76" s="16"/>
      <c r="E76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6" s="22"/>
      <c r="G76" s="23"/>
    </row>
    <row r="77" spans="2:7" x14ac:dyDescent="0.25">
      <c r="B77" s="3"/>
      <c r="C77" s="15"/>
      <c r="D77" s="16"/>
      <c r="E77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7" s="22"/>
      <c r="G77" s="23"/>
    </row>
    <row r="78" spans="2:7" x14ac:dyDescent="0.25">
      <c r="B78" s="3"/>
      <c r="C78" s="15"/>
      <c r="D78" s="16"/>
      <c r="E78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8" s="22"/>
      <c r="G78" s="23"/>
    </row>
    <row r="79" spans="2:7" x14ac:dyDescent="0.25">
      <c r="B79" s="3"/>
      <c r="C79" s="15"/>
      <c r="D79" s="16"/>
      <c r="E79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9" s="22"/>
      <c r="G79" s="23"/>
    </row>
    <row r="80" spans="2:7" x14ac:dyDescent="0.25">
      <c r="B80" s="3"/>
      <c r="C80" s="15"/>
      <c r="D80" s="16"/>
      <c r="E80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0" s="22"/>
      <c r="G80" s="23"/>
    </row>
    <row r="81" spans="2:7" x14ac:dyDescent="0.25">
      <c r="B81" s="3"/>
      <c r="C81" s="15"/>
      <c r="D81" s="16"/>
      <c r="E81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1" s="22"/>
      <c r="G81" s="23"/>
    </row>
    <row r="82" spans="2:7" x14ac:dyDescent="0.25">
      <c r="B82" s="3"/>
      <c r="C82" s="15"/>
      <c r="D82" s="16"/>
      <c r="E82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2" s="22"/>
      <c r="G82" s="23"/>
    </row>
    <row r="83" spans="2:7" x14ac:dyDescent="0.25">
      <c r="B83" s="3"/>
      <c r="C83" s="15"/>
      <c r="D83" s="16"/>
      <c r="E83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3" s="22"/>
      <c r="G83" s="23"/>
    </row>
    <row r="84" spans="2:7" x14ac:dyDescent="0.25">
      <c r="B84" s="3"/>
      <c r="C84" s="15"/>
      <c r="D84" s="16"/>
      <c r="E84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4" s="22"/>
      <c r="G84" s="23"/>
    </row>
    <row r="85" spans="2:7" ht="15.75" thickBot="1" x14ac:dyDescent="0.3">
      <c r="B85" s="3"/>
      <c r="C85" s="28"/>
      <c r="D85" s="19"/>
      <c r="E8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5" s="24"/>
      <c r="G85" s="25"/>
    </row>
    <row r="86" spans="2:7" x14ac:dyDescent="0.25">
      <c r="B86" s="1" t="str">
        <f>_xlfn.CONCAT("COUNT: ", SUBTOTAL(103,LAPTOP_INVENTORY[DATE]))</f>
        <v>COUNT: 52</v>
      </c>
      <c r="C86" s="7" t="s">
        <v>22</v>
      </c>
      <c r="D86" s="6">
        <f>SUBTOTAL(109,LAPTOP_INVENTORY[IN])</f>
        <v>1159</v>
      </c>
      <c r="E86" s="6">
        <f>SUBTOTAL(109,LAPTOP_INVENTORY[TOTAL])</f>
        <v>1159</v>
      </c>
      <c r="F86" s="35"/>
      <c r="G86" s="4"/>
    </row>
    <row r="87" spans="2:7" x14ac:dyDescent="0.25">
      <c r="C87" s="8" t="s">
        <v>23</v>
      </c>
      <c r="D87" s="9">
        <f>SUM(LAPTOP_INVENTORY[IN])</f>
        <v>1159</v>
      </c>
      <c r="E87" s="9">
        <f>SUM(LAPTOP_INVENTORY[TOTAL])</f>
        <v>1159</v>
      </c>
    </row>
  </sheetData>
  <mergeCells count="1">
    <mergeCell ref="C1:D1"/>
  </mergeCells>
  <dataValidations count="1">
    <dataValidation type="list" showInputMessage="1" sqref="C3:C85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BA015-78E7-4B24-9EDC-2D52B21F6798}">
  <sheetPr codeName="Sheet3"/>
  <dimension ref="A1:B4"/>
  <sheetViews>
    <sheetView workbookViewId="0">
      <selection activeCell="B1" sqref="B1"/>
    </sheetView>
  </sheetViews>
  <sheetFormatPr defaultRowHeight="15" x14ac:dyDescent="0.25"/>
  <cols>
    <col min="1" max="1" width="5.140625" bestFit="1" customWidth="1"/>
    <col min="2" max="2" width="11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25</v>
      </c>
    </row>
    <row r="3" spans="1:2" x14ac:dyDescent="0.25">
      <c r="A3">
        <v>2</v>
      </c>
      <c r="B3" t="s">
        <v>42</v>
      </c>
    </row>
    <row r="4" spans="1:2" x14ac:dyDescent="0.25">
      <c r="A4">
        <v>3</v>
      </c>
      <c r="B4" t="s">
        <v>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D65C7-728B-4905-856C-6722A2ACB6D9}">
  <sheetPr codeName="Sheet5"/>
  <dimension ref="B1:M185"/>
  <sheetViews>
    <sheetView tabSelected="1" topLeftCell="A91" zoomScaleNormal="100" workbookViewId="0">
      <selection activeCell="I114" sqref="I114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7.42578125" customWidth="1"/>
    <col min="6" max="6" width="15" customWidth="1"/>
    <col min="7" max="7" width="17.28515625" customWidth="1"/>
    <col min="8" max="8" width="0" hidden="1" customWidth="1"/>
    <col min="9" max="9" width="20.7109375" customWidth="1"/>
  </cols>
  <sheetData>
    <row r="1" spans="2:10" x14ac:dyDescent="0.25">
      <c r="C1" s="36" t="s">
        <v>115</v>
      </c>
      <c r="D1" s="36"/>
    </row>
    <row r="2" spans="2:10" ht="15.75" thickBot="1" x14ac:dyDescent="0.3">
      <c r="B2" s="1" t="s">
        <v>9</v>
      </c>
      <c r="C2" s="1" t="s">
        <v>10</v>
      </c>
      <c r="D2" s="29" t="s">
        <v>2</v>
      </c>
      <c r="E2" s="29" t="s">
        <v>17</v>
      </c>
      <c r="F2" s="31" t="s">
        <v>18</v>
      </c>
      <c r="G2" s="31" t="s">
        <v>44</v>
      </c>
      <c r="H2" s="29" t="s">
        <v>16</v>
      </c>
      <c r="I2" s="1" t="s">
        <v>19</v>
      </c>
      <c r="J2" s="1" t="s">
        <v>20</v>
      </c>
    </row>
    <row r="3" spans="2:10" ht="14.25" customHeight="1" x14ac:dyDescent="0.25">
      <c r="B3" s="3">
        <v>45786</v>
      </c>
      <c r="C3" s="12" t="s">
        <v>54</v>
      </c>
      <c r="D3" s="13" t="s">
        <v>25</v>
      </c>
      <c r="E3" s="5">
        <v>5</v>
      </c>
      <c r="F3" s="14"/>
      <c r="G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8</v>
      </c>
      <c r="H3" s="5"/>
      <c r="I3" s="26"/>
      <c r="J3" s="21"/>
    </row>
    <row r="4" spans="2:10" ht="14.25" customHeight="1" x14ac:dyDescent="0.25">
      <c r="B4" s="3">
        <v>45786</v>
      </c>
      <c r="C4" s="15" t="s">
        <v>55</v>
      </c>
      <c r="D4" s="30" t="s">
        <v>25</v>
      </c>
      <c r="E4" s="5">
        <v>22</v>
      </c>
      <c r="F4" s="16"/>
      <c r="G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106</v>
      </c>
      <c r="H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29</v>
      </c>
      <c r="I4" s="32"/>
      <c r="J4" s="23"/>
    </row>
    <row r="5" spans="2:10" ht="14.25" customHeight="1" x14ac:dyDescent="0.25">
      <c r="B5" s="3">
        <v>45786</v>
      </c>
      <c r="C5" s="15" t="s">
        <v>56</v>
      </c>
      <c r="D5" s="30" t="s">
        <v>25</v>
      </c>
      <c r="E5" s="5">
        <v>1</v>
      </c>
      <c r="F5" s="16"/>
      <c r="G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</v>
      </c>
      <c r="H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73</v>
      </c>
      <c r="I5" s="32"/>
      <c r="J5" s="23"/>
    </row>
    <row r="6" spans="2:10" ht="14.25" customHeight="1" x14ac:dyDescent="0.25">
      <c r="B6" s="3">
        <v>45786</v>
      </c>
      <c r="C6" s="15" t="s">
        <v>30</v>
      </c>
      <c r="D6" s="30" t="s">
        <v>25</v>
      </c>
      <c r="E6" s="5">
        <v>30</v>
      </c>
      <c r="F6" s="16"/>
      <c r="G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33</v>
      </c>
      <c r="H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33</v>
      </c>
      <c r="I6" s="32"/>
      <c r="J6" s="23"/>
    </row>
    <row r="7" spans="2:10" ht="14.25" customHeight="1" x14ac:dyDescent="0.25">
      <c r="B7" s="3">
        <v>45786</v>
      </c>
      <c r="C7" s="15" t="s">
        <v>57</v>
      </c>
      <c r="D7" s="30" t="s">
        <v>25</v>
      </c>
      <c r="E7" s="5">
        <v>1</v>
      </c>
      <c r="F7" s="16"/>
      <c r="G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7" s="32"/>
      <c r="J7" s="23"/>
    </row>
    <row r="8" spans="2:10" ht="14.25" customHeight="1" x14ac:dyDescent="0.25">
      <c r="B8" s="3">
        <v>45786</v>
      </c>
      <c r="C8" s="15" t="s">
        <v>58</v>
      </c>
      <c r="D8" s="30" t="s">
        <v>25</v>
      </c>
      <c r="E8" s="5">
        <v>55</v>
      </c>
      <c r="F8" s="16"/>
      <c r="G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80</v>
      </c>
      <c r="H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8" s="32"/>
      <c r="J8" s="23"/>
    </row>
    <row r="9" spans="2:10" ht="14.25" customHeight="1" x14ac:dyDescent="0.25">
      <c r="B9" s="3">
        <v>45786</v>
      </c>
      <c r="C9" s="15" t="s">
        <v>59</v>
      </c>
      <c r="D9" s="30" t="s">
        <v>25</v>
      </c>
      <c r="E9" s="5">
        <v>9</v>
      </c>
      <c r="F9" s="16"/>
      <c r="G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114</v>
      </c>
      <c r="H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40</v>
      </c>
      <c r="I9" s="32"/>
      <c r="J9" s="23"/>
    </row>
    <row r="10" spans="2:10" ht="14.25" customHeight="1" x14ac:dyDescent="0.25">
      <c r="B10" s="3">
        <v>45786</v>
      </c>
      <c r="C10" s="15" t="s">
        <v>60</v>
      </c>
      <c r="D10" s="30" t="s">
        <v>25</v>
      </c>
      <c r="E10" s="5">
        <v>55</v>
      </c>
      <c r="F10" s="16"/>
      <c r="G1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1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10" s="32"/>
      <c r="J10" s="23"/>
    </row>
    <row r="11" spans="2:10" ht="14.25" customHeight="1" x14ac:dyDescent="0.25">
      <c r="B11" s="3">
        <v>45786</v>
      </c>
      <c r="C11" s="15" t="s">
        <v>118</v>
      </c>
      <c r="D11" s="30" t="s">
        <v>25</v>
      </c>
      <c r="E11" s="5"/>
      <c r="F11" s="16"/>
      <c r="G1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</v>
      </c>
      <c r="H1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11" s="32"/>
      <c r="J11" s="23"/>
    </row>
    <row r="12" spans="2:10" ht="14.25" customHeight="1" x14ac:dyDescent="0.25">
      <c r="B12" s="3">
        <v>45786</v>
      </c>
      <c r="C12" s="15" t="s">
        <v>116</v>
      </c>
      <c r="D12" s="30" t="s">
        <v>25</v>
      </c>
      <c r="E12" s="5"/>
      <c r="F12" s="16"/>
      <c r="G1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</v>
      </c>
      <c r="H1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12" s="32"/>
      <c r="J12" s="23"/>
    </row>
    <row r="13" spans="2:10" ht="14.25" customHeight="1" x14ac:dyDescent="0.25">
      <c r="B13" s="3">
        <v>45786</v>
      </c>
      <c r="C13" s="15" t="s">
        <v>117</v>
      </c>
      <c r="D13" s="30" t="s">
        <v>25</v>
      </c>
      <c r="E13" s="5">
        <v>15</v>
      </c>
      <c r="F13" s="16"/>
      <c r="G1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15</v>
      </c>
      <c r="I13" s="32"/>
      <c r="J13" s="23"/>
    </row>
    <row r="14" spans="2:10" ht="14.25" customHeight="1" x14ac:dyDescent="0.25">
      <c r="B14" s="3">
        <v>45786</v>
      </c>
      <c r="C14" s="15" t="s">
        <v>31</v>
      </c>
      <c r="D14" s="30" t="s">
        <v>25</v>
      </c>
      <c r="E14" s="5">
        <v>11</v>
      </c>
      <c r="F14" s="16"/>
      <c r="G1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1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30</v>
      </c>
      <c r="I14" s="32"/>
      <c r="J14" s="23"/>
    </row>
    <row r="15" spans="2:10" ht="14.25" customHeight="1" x14ac:dyDescent="0.25">
      <c r="B15" s="3">
        <v>45786</v>
      </c>
      <c r="C15" s="15" t="s">
        <v>61</v>
      </c>
      <c r="D15" s="30" t="s">
        <v>25</v>
      </c>
      <c r="E15" s="5"/>
      <c r="F15" s="16"/>
      <c r="G1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</v>
      </c>
      <c r="H1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15" s="32"/>
      <c r="J15" s="23"/>
    </row>
    <row r="16" spans="2:10" ht="14.25" customHeight="1" x14ac:dyDescent="0.25">
      <c r="B16" s="3">
        <v>45786</v>
      </c>
      <c r="C16" s="15" t="s">
        <v>62</v>
      </c>
      <c r="D16" s="30" t="s">
        <v>25</v>
      </c>
      <c r="E16" s="5">
        <v>2</v>
      </c>
      <c r="F16" s="16"/>
      <c r="G1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18</v>
      </c>
      <c r="H1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16" s="32"/>
      <c r="J16" s="23"/>
    </row>
    <row r="17" spans="2:10" ht="14.25" customHeight="1" x14ac:dyDescent="0.25">
      <c r="B17" s="3">
        <v>45786</v>
      </c>
      <c r="C17" s="15" t="s">
        <v>63</v>
      </c>
      <c r="D17" s="30" t="s">
        <v>25</v>
      </c>
      <c r="E17" s="5">
        <v>3</v>
      </c>
      <c r="F17" s="16"/>
      <c r="G1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17" s="32"/>
      <c r="J17" s="23"/>
    </row>
    <row r="18" spans="2:10" ht="14.25" customHeight="1" x14ac:dyDescent="0.25">
      <c r="B18" s="3">
        <v>45786</v>
      </c>
      <c r="C18" s="15" t="s">
        <v>64</v>
      </c>
      <c r="D18" s="30" t="s">
        <v>25</v>
      </c>
      <c r="E18" s="5">
        <v>2</v>
      </c>
      <c r="F18" s="16"/>
      <c r="G1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18" s="32"/>
      <c r="J18" s="23"/>
    </row>
    <row r="19" spans="2:10" ht="14.25" customHeight="1" x14ac:dyDescent="0.25">
      <c r="B19" s="3">
        <v>45786</v>
      </c>
      <c r="C19" s="15" t="s">
        <v>65</v>
      </c>
      <c r="D19" s="30" t="s">
        <v>25</v>
      </c>
      <c r="E19" s="5">
        <v>5</v>
      </c>
      <c r="F19" s="16"/>
      <c r="G1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19" s="32"/>
      <c r="J19" s="23"/>
    </row>
    <row r="20" spans="2:10" ht="14.25" customHeight="1" x14ac:dyDescent="0.25">
      <c r="B20" s="3">
        <v>45786</v>
      </c>
      <c r="C20" s="15" t="s">
        <v>66</v>
      </c>
      <c r="D20" s="30" t="s">
        <v>25</v>
      </c>
      <c r="E20" s="5"/>
      <c r="F20" s="16"/>
      <c r="G2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20" s="32"/>
      <c r="J20" s="23"/>
    </row>
    <row r="21" spans="2:10" ht="14.25" customHeight="1" x14ac:dyDescent="0.25">
      <c r="B21" s="3">
        <v>45786</v>
      </c>
      <c r="C21" s="15" t="s">
        <v>67</v>
      </c>
      <c r="D21" s="30" t="s">
        <v>25</v>
      </c>
      <c r="E21" s="5">
        <v>1</v>
      </c>
      <c r="F21" s="16"/>
      <c r="G2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21" s="32"/>
      <c r="J21" s="23"/>
    </row>
    <row r="22" spans="2:10" ht="14.25" customHeight="1" x14ac:dyDescent="0.25">
      <c r="B22" s="3">
        <v>45786</v>
      </c>
      <c r="C22" s="15" t="s">
        <v>68</v>
      </c>
      <c r="D22" s="30" t="s">
        <v>25</v>
      </c>
      <c r="E22" s="5">
        <v>6</v>
      </c>
      <c r="F22" s="16"/>
      <c r="G2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22" s="32"/>
      <c r="J22" s="23"/>
    </row>
    <row r="23" spans="2:10" ht="14.25" customHeight="1" x14ac:dyDescent="0.25">
      <c r="B23" s="3">
        <v>45786</v>
      </c>
      <c r="C23" s="15" t="s">
        <v>69</v>
      </c>
      <c r="D23" s="30" t="s">
        <v>25</v>
      </c>
      <c r="E23" s="5"/>
      <c r="F23" s="16"/>
      <c r="G2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23" s="32"/>
      <c r="J23" s="23"/>
    </row>
    <row r="24" spans="2:10" ht="14.25" customHeight="1" x14ac:dyDescent="0.25">
      <c r="B24" s="3">
        <v>45786</v>
      </c>
      <c r="C24" s="15" t="s">
        <v>33</v>
      </c>
      <c r="D24" s="30" t="s">
        <v>25</v>
      </c>
      <c r="E24" s="5">
        <v>13</v>
      </c>
      <c r="F24" s="16"/>
      <c r="G2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14</v>
      </c>
      <c r="H2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85</v>
      </c>
      <c r="I24" s="32"/>
      <c r="J24" s="23"/>
    </row>
    <row r="25" spans="2:10" ht="14.25" customHeight="1" x14ac:dyDescent="0.25">
      <c r="B25" s="3">
        <v>45786</v>
      </c>
      <c r="C25" s="15" t="s">
        <v>70</v>
      </c>
      <c r="D25" s="30" t="s">
        <v>25</v>
      </c>
      <c r="E25" s="5">
        <v>7</v>
      </c>
      <c r="F25" s="16"/>
      <c r="G2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25" s="32"/>
      <c r="J25" s="23"/>
    </row>
    <row r="26" spans="2:10" ht="14.25" customHeight="1" x14ac:dyDescent="0.25">
      <c r="B26" s="3">
        <v>45786</v>
      </c>
      <c r="C26" s="15" t="s">
        <v>71</v>
      </c>
      <c r="D26" s="30" t="s">
        <v>25</v>
      </c>
      <c r="E26" s="5">
        <v>1</v>
      </c>
      <c r="F26" s="16"/>
      <c r="G2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26" s="32"/>
      <c r="J26" s="23"/>
    </row>
    <row r="27" spans="2:10" ht="14.25" customHeight="1" x14ac:dyDescent="0.25">
      <c r="B27" s="3">
        <v>45786</v>
      </c>
      <c r="C27" s="15" t="s">
        <v>73</v>
      </c>
      <c r="D27" s="30" t="s">
        <v>25</v>
      </c>
      <c r="E27" s="5">
        <v>1</v>
      </c>
      <c r="F27" s="16"/>
      <c r="G2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27" s="32"/>
      <c r="J27" s="23"/>
    </row>
    <row r="28" spans="2:10" ht="14.25" customHeight="1" x14ac:dyDescent="0.25">
      <c r="B28" s="3">
        <v>45786</v>
      </c>
      <c r="C28" s="15" t="s">
        <v>75</v>
      </c>
      <c r="D28" s="30" t="s">
        <v>25</v>
      </c>
      <c r="E28" s="5"/>
      <c r="F28" s="16"/>
      <c r="G2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28" s="32"/>
      <c r="J28" s="23"/>
    </row>
    <row r="29" spans="2:10" ht="14.25" customHeight="1" x14ac:dyDescent="0.25">
      <c r="B29" s="3">
        <v>45786</v>
      </c>
      <c r="C29" s="15" t="s">
        <v>76</v>
      </c>
      <c r="D29" s="30" t="s">
        <v>25</v>
      </c>
      <c r="E29" s="5">
        <v>11</v>
      </c>
      <c r="F29" s="16"/>
      <c r="G2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2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29" s="32"/>
      <c r="J29" s="23"/>
    </row>
    <row r="30" spans="2:10" ht="14.25" customHeight="1" x14ac:dyDescent="0.25">
      <c r="B30" s="3">
        <v>45786</v>
      </c>
      <c r="C30" s="15" t="s">
        <v>77</v>
      </c>
      <c r="D30" s="30" t="s">
        <v>25</v>
      </c>
      <c r="E30" s="5"/>
      <c r="F30" s="16"/>
      <c r="G3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3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30" s="32"/>
      <c r="J30" s="23"/>
    </row>
    <row r="31" spans="2:10" ht="14.25" customHeight="1" x14ac:dyDescent="0.25">
      <c r="B31" s="3">
        <v>45786</v>
      </c>
      <c r="C31" s="15" t="s">
        <v>78</v>
      </c>
      <c r="D31" s="30" t="s">
        <v>25</v>
      </c>
      <c r="E31" s="5">
        <v>1</v>
      </c>
      <c r="F31" s="16"/>
      <c r="G3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5</v>
      </c>
      <c r="H3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31" s="32"/>
      <c r="J31" s="23"/>
    </row>
    <row r="32" spans="2:10" ht="14.25" customHeight="1" x14ac:dyDescent="0.25">
      <c r="B32" s="3">
        <v>45786</v>
      </c>
      <c r="C32" s="15" t="s">
        <v>79</v>
      </c>
      <c r="D32" s="30" t="s">
        <v>25</v>
      </c>
      <c r="E32" s="5"/>
      <c r="F32" s="16"/>
      <c r="G3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3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32" s="32"/>
      <c r="J32" s="23"/>
    </row>
    <row r="33" spans="2:13" ht="14.25" customHeight="1" x14ac:dyDescent="0.25">
      <c r="B33" s="3">
        <v>45786</v>
      </c>
      <c r="C33" s="15" t="s">
        <v>80</v>
      </c>
      <c r="D33" s="30" t="s">
        <v>25</v>
      </c>
      <c r="E33" s="5"/>
      <c r="F33" s="16"/>
      <c r="G3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</v>
      </c>
      <c r="H3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33" s="32"/>
      <c r="J33" s="23"/>
    </row>
    <row r="34" spans="2:13" ht="14.25" customHeight="1" x14ac:dyDescent="0.25">
      <c r="B34" s="3">
        <v>45786</v>
      </c>
      <c r="C34" s="15" t="s">
        <v>81</v>
      </c>
      <c r="D34" s="30" t="s">
        <v>25</v>
      </c>
      <c r="E34" s="5"/>
      <c r="F34" s="16"/>
      <c r="G3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3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</v>
      </c>
      <c r="I34" s="32"/>
      <c r="J34" s="23"/>
    </row>
    <row r="35" spans="2:13" ht="14.25" customHeight="1" x14ac:dyDescent="0.25">
      <c r="B35" s="3">
        <v>45786</v>
      </c>
      <c r="C35" s="15" t="s">
        <v>82</v>
      </c>
      <c r="D35" s="30" t="s">
        <v>25</v>
      </c>
      <c r="E35" s="5">
        <v>7</v>
      </c>
      <c r="F35" s="16"/>
      <c r="G3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6</v>
      </c>
      <c r="H3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35" s="32"/>
      <c r="J35" s="23"/>
    </row>
    <row r="36" spans="2:13" ht="14.25" customHeight="1" x14ac:dyDescent="0.25">
      <c r="B36" s="3">
        <v>45786</v>
      </c>
      <c r="C36" s="15" t="s">
        <v>83</v>
      </c>
      <c r="D36" s="30" t="s">
        <v>25</v>
      </c>
      <c r="E36" s="5"/>
      <c r="F36" s="16"/>
      <c r="G3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3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36" s="32"/>
      <c r="J36" s="23"/>
    </row>
    <row r="37" spans="2:13" ht="14.25" customHeight="1" x14ac:dyDescent="0.25">
      <c r="B37" s="3">
        <v>45786</v>
      </c>
      <c r="C37" s="15" t="s">
        <v>84</v>
      </c>
      <c r="D37" s="30" t="s">
        <v>25</v>
      </c>
      <c r="E37" s="5">
        <v>5</v>
      </c>
      <c r="F37" s="16"/>
      <c r="G3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3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37" s="32"/>
      <c r="J37" s="23"/>
    </row>
    <row r="38" spans="2:13" ht="14.25" customHeight="1" x14ac:dyDescent="0.25">
      <c r="B38" s="3">
        <v>45786</v>
      </c>
      <c r="C38" s="15" t="s">
        <v>85</v>
      </c>
      <c r="D38" s="30" t="s">
        <v>25</v>
      </c>
      <c r="E38" s="5">
        <v>107</v>
      </c>
      <c r="F38" s="16"/>
      <c r="G3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3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107</v>
      </c>
      <c r="I38" s="32"/>
      <c r="J38" s="23"/>
      <c r="M38">
        <v>1</v>
      </c>
    </row>
    <row r="39" spans="2:13" ht="14.25" customHeight="1" x14ac:dyDescent="0.25">
      <c r="B39" s="3">
        <v>45786</v>
      </c>
      <c r="C39" s="15" t="s">
        <v>86</v>
      </c>
      <c r="D39" s="30" t="s">
        <v>25</v>
      </c>
      <c r="E39" s="5"/>
      <c r="F39" s="16"/>
      <c r="G3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5</v>
      </c>
      <c r="H3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39" s="32"/>
      <c r="J39" s="23"/>
    </row>
    <row r="40" spans="2:13" ht="14.25" customHeight="1" x14ac:dyDescent="0.25">
      <c r="B40" s="3">
        <v>45786</v>
      </c>
      <c r="C40" s="15" t="s">
        <v>88</v>
      </c>
      <c r="D40" s="30" t="s">
        <v>25</v>
      </c>
      <c r="E40" s="5">
        <v>2</v>
      </c>
      <c r="F40" s="16"/>
      <c r="G4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4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40" s="32"/>
      <c r="J40" s="23"/>
    </row>
    <row r="41" spans="2:13" ht="14.25" customHeight="1" x14ac:dyDescent="0.25">
      <c r="B41" s="3">
        <v>45786</v>
      </c>
      <c r="C41" s="15" t="s">
        <v>89</v>
      </c>
      <c r="D41" s="30" t="s">
        <v>25</v>
      </c>
      <c r="E41" s="5"/>
      <c r="F41" s="16"/>
      <c r="G4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41" s="32"/>
      <c r="J41" s="23"/>
    </row>
    <row r="42" spans="2:13" ht="14.25" customHeight="1" x14ac:dyDescent="0.25">
      <c r="B42" s="3">
        <v>45786</v>
      </c>
      <c r="C42" s="15" t="s">
        <v>90</v>
      </c>
      <c r="D42" s="30" t="s">
        <v>25</v>
      </c>
      <c r="E42" s="5">
        <v>2</v>
      </c>
      <c r="F42" s="16"/>
      <c r="G4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42" s="32"/>
      <c r="J42" s="23"/>
    </row>
    <row r="43" spans="2:13" ht="14.25" customHeight="1" x14ac:dyDescent="0.25">
      <c r="B43" s="3">
        <v>45786</v>
      </c>
      <c r="C43" s="15" t="s">
        <v>91</v>
      </c>
      <c r="D43" s="30" t="s">
        <v>25</v>
      </c>
      <c r="E43" s="5">
        <v>1</v>
      </c>
      <c r="F43" s="16"/>
      <c r="G4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43" s="32"/>
      <c r="J43" s="23"/>
    </row>
    <row r="44" spans="2:13" ht="14.25" customHeight="1" x14ac:dyDescent="0.25">
      <c r="B44" s="3">
        <v>45786</v>
      </c>
      <c r="C44" s="15" t="s">
        <v>92</v>
      </c>
      <c r="D44" s="30" t="s">
        <v>25</v>
      </c>
      <c r="E44" s="30"/>
      <c r="F44" s="16"/>
      <c r="G4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4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4" s="32"/>
      <c r="J44" s="23"/>
    </row>
    <row r="45" spans="2:13" ht="14.25" customHeight="1" x14ac:dyDescent="0.25">
      <c r="B45" s="3">
        <v>45786</v>
      </c>
      <c r="C45" s="15" t="s">
        <v>93</v>
      </c>
      <c r="D45" s="30" t="s">
        <v>25</v>
      </c>
      <c r="E45" s="5"/>
      <c r="F45" s="16"/>
      <c r="G4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4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5" s="32"/>
      <c r="J45" s="23"/>
    </row>
    <row r="46" spans="2:13" ht="14.25" customHeight="1" x14ac:dyDescent="0.25">
      <c r="B46" s="3">
        <v>45786</v>
      </c>
      <c r="C46" s="15" t="s">
        <v>50</v>
      </c>
      <c r="D46" s="30" t="s">
        <v>25</v>
      </c>
      <c r="E46" s="5"/>
      <c r="F46" s="16"/>
      <c r="G4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46" s="32"/>
      <c r="J46" s="23"/>
    </row>
    <row r="47" spans="2:13" ht="14.25" customHeight="1" x14ac:dyDescent="0.25">
      <c r="B47" s="3">
        <v>45786</v>
      </c>
      <c r="C47" s="15" t="s">
        <v>94</v>
      </c>
      <c r="D47" s="30" t="s">
        <v>25</v>
      </c>
      <c r="E47" s="5">
        <v>1</v>
      </c>
      <c r="F47" s="16"/>
      <c r="G4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4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47" s="32"/>
      <c r="J47" s="23"/>
    </row>
    <row r="48" spans="2:13" ht="14.25" customHeight="1" x14ac:dyDescent="0.25">
      <c r="B48" s="3">
        <v>45786</v>
      </c>
      <c r="C48" s="15" t="s">
        <v>95</v>
      </c>
      <c r="D48" s="30" t="s">
        <v>25</v>
      </c>
      <c r="E48" s="5"/>
      <c r="F48" s="16"/>
      <c r="G4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8" s="32"/>
      <c r="J48" s="23"/>
    </row>
    <row r="49" spans="2:13" ht="14.25" customHeight="1" x14ac:dyDescent="0.25">
      <c r="B49" s="3">
        <v>45786</v>
      </c>
      <c r="C49" s="15" t="s">
        <v>96</v>
      </c>
      <c r="D49" s="30" t="s">
        <v>25</v>
      </c>
      <c r="E49" s="5"/>
      <c r="F49" s="16"/>
      <c r="G4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</v>
      </c>
      <c r="H4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9" s="32"/>
      <c r="J49" s="23"/>
    </row>
    <row r="50" spans="2:13" ht="14.25" customHeight="1" x14ac:dyDescent="0.25">
      <c r="B50" s="3">
        <v>45786</v>
      </c>
      <c r="C50" s="15" t="s">
        <v>51</v>
      </c>
      <c r="D50" s="30" t="s">
        <v>25</v>
      </c>
      <c r="E50" s="5"/>
      <c r="F50" s="16"/>
      <c r="G5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5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0" s="32"/>
      <c r="J50" s="23"/>
    </row>
    <row r="51" spans="2:13" ht="14.25" customHeight="1" x14ac:dyDescent="0.25">
      <c r="B51" s="3">
        <v>45786</v>
      </c>
      <c r="C51" s="15" t="s">
        <v>52</v>
      </c>
      <c r="D51" s="30" t="s">
        <v>25</v>
      </c>
      <c r="E51" s="5"/>
      <c r="F51" s="16"/>
      <c r="G5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21</v>
      </c>
      <c r="H5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1" s="32"/>
      <c r="J51" s="23"/>
    </row>
    <row r="52" spans="2:13" ht="14.25" customHeight="1" x14ac:dyDescent="0.25">
      <c r="B52" s="3">
        <v>45786</v>
      </c>
      <c r="C52" s="15" t="s">
        <v>113</v>
      </c>
      <c r="D52" s="30" t="s">
        <v>25</v>
      </c>
      <c r="E52" s="5"/>
      <c r="F52" s="16"/>
      <c r="G5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16</v>
      </c>
      <c r="H5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2" s="32"/>
      <c r="J52" s="23"/>
    </row>
    <row r="53" spans="2:13" ht="14.25" customHeight="1" x14ac:dyDescent="0.25">
      <c r="B53" s="3">
        <v>45786</v>
      </c>
      <c r="C53" s="15" t="s">
        <v>114</v>
      </c>
      <c r="D53" s="30" t="s">
        <v>25</v>
      </c>
      <c r="E53" s="5"/>
      <c r="F53" s="16"/>
      <c r="G5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5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53" s="32"/>
      <c r="J53" s="23"/>
    </row>
    <row r="54" spans="2:13" ht="14.25" customHeight="1" x14ac:dyDescent="0.25">
      <c r="B54" s="3">
        <v>45786</v>
      </c>
      <c r="C54" s="15" t="s">
        <v>53</v>
      </c>
      <c r="D54" s="30" t="s">
        <v>25</v>
      </c>
      <c r="E54" s="5"/>
      <c r="F54" s="16"/>
      <c r="G5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5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4" s="32"/>
      <c r="J54" s="23"/>
    </row>
    <row r="55" spans="2:13" ht="14.25" customHeight="1" x14ac:dyDescent="0.25">
      <c r="B55" s="3">
        <v>45786</v>
      </c>
      <c r="C55" s="15" t="s">
        <v>54</v>
      </c>
      <c r="D55" s="30" t="s">
        <v>42</v>
      </c>
      <c r="E55" s="5">
        <v>3</v>
      </c>
      <c r="F55" s="16"/>
      <c r="G5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5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55" s="32"/>
      <c r="J55" s="23"/>
    </row>
    <row r="56" spans="2:13" ht="14.25" customHeight="1" x14ac:dyDescent="0.25">
      <c r="B56" s="3">
        <v>45786</v>
      </c>
      <c r="C56" s="15" t="s">
        <v>55</v>
      </c>
      <c r="D56" s="30" t="s">
        <v>42</v>
      </c>
      <c r="E56" s="5">
        <v>7</v>
      </c>
      <c r="F56" s="16"/>
      <c r="G5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106</v>
      </c>
      <c r="H5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29</v>
      </c>
      <c r="I56" s="32"/>
      <c r="J56" s="23"/>
      <c r="M56">
        <v>37</v>
      </c>
    </row>
    <row r="57" spans="2:13" ht="14.25" customHeight="1" x14ac:dyDescent="0.25">
      <c r="B57" s="3">
        <v>45786</v>
      </c>
      <c r="C57" s="15" t="s">
        <v>56</v>
      </c>
      <c r="D57" s="30" t="s">
        <v>42</v>
      </c>
      <c r="E57" s="5">
        <v>72</v>
      </c>
      <c r="F57" s="16"/>
      <c r="G5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</v>
      </c>
      <c r="H5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73</v>
      </c>
      <c r="I57" s="32"/>
      <c r="J57" s="23"/>
      <c r="M57">
        <v>33</v>
      </c>
    </row>
    <row r="58" spans="2:13" ht="14.25" customHeight="1" x14ac:dyDescent="0.25">
      <c r="B58" s="3">
        <v>45786</v>
      </c>
      <c r="C58" s="15" t="s">
        <v>30</v>
      </c>
      <c r="D58" s="30" t="s">
        <v>42</v>
      </c>
      <c r="E58" s="5">
        <v>3</v>
      </c>
      <c r="F58" s="16"/>
      <c r="G5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33</v>
      </c>
      <c r="H5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33</v>
      </c>
      <c r="I58" s="32"/>
      <c r="J58" s="23"/>
      <c r="M58">
        <v>10</v>
      </c>
    </row>
    <row r="59" spans="2:13" ht="14.25" customHeight="1" x14ac:dyDescent="0.25">
      <c r="B59" s="3">
        <v>45786</v>
      </c>
      <c r="C59" s="15" t="s">
        <v>57</v>
      </c>
      <c r="D59" s="30" t="s">
        <v>42</v>
      </c>
      <c r="E59" s="5">
        <v>10</v>
      </c>
      <c r="F59" s="16"/>
      <c r="G5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5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59" s="32"/>
      <c r="J59" s="23"/>
      <c r="M59">
        <v>15</v>
      </c>
    </row>
    <row r="60" spans="2:13" ht="14.25" customHeight="1" x14ac:dyDescent="0.25">
      <c r="B60" s="3">
        <v>45786</v>
      </c>
      <c r="C60" s="15" t="s">
        <v>58</v>
      </c>
      <c r="D60" s="30" t="s">
        <v>42</v>
      </c>
      <c r="E60" s="5"/>
      <c r="F60" s="16"/>
      <c r="G6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80</v>
      </c>
      <c r="H6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60" s="32"/>
      <c r="J60" s="23"/>
    </row>
    <row r="61" spans="2:13" ht="14.25" customHeight="1" x14ac:dyDescent="0.25">
      <c r="B61" s="3">
        <v>45786</v>
      </c>
      <c r="C61" s="15" t="s">
        <v>59</v>
      </c>
      <c r="D61" s="30" t="s">
        <v>42</v>
      </c>
      <c r="E61" s="5">
        <v>31</v>
      </c>
      <c r="F61" s="16"/>
      <c r="G6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114</v>
      </c>
      <c r="H6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40</v>
      </c>
      <c r="I61" s="32"/>
      <c r="J61" s="23"/>
    </row>
    <row r="62" spans="2:13" ht="14.25" customHeight="1" x14ac:dyDescent="0.25">
      <c r="B62" s="3">
        <v>45786</v>
      </c>
      <c r="C62" s="15" t="s">
        <v>60</v>
      </c>
      <c r="D62" s="30" t="s">
        <v>42</v>
      </c>
      <c r="E62" s="5"/>
      <c r="F62" s="16"/>
      <c r="G6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6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62" s="32"/>
      <c r="J62" s="23"/>
    </row>
    <row r="63" spans="2:13" ht="14.25" customHeight="1" x14ac:dyDescent="0.25">
      <c r="B63" s="3">
        <v>45786</v>
      </c>
      <c r="C63" s="15" t="s">
        <v>118</v>
      </c>
      <c r="D63" s="30" t="s">
        <v>42</v>
      </c>
      <c r="E63" s="5">
        <v>5</v>
      </c>
      <c r="F63" s="16"/>
      <c r="G6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</v>
      </c>
      <c r="H6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63" s="32"/>
      <c r="J63" s="23"/>
    </row>
    <row r="64" spans="2:13" ht="14.25" customHeight="1" x14ac:dyDescent="0.25">
      <c r="B64" s="3">
        <v>45786</v>
      </c>
      <c r="C64" s="15" t="s">
        <v>116</v>
      </c>
      <c r="D64" s="30" t="s">
        <v>42</v>
      </c>
      <c r="E64" s="5">
        <v>2</v>
      </c>
      <c r="F64" s="16"/>
      <c r="G6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</v>
      </c>
      <c r="H6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64" s="32"/>
      <c r="J64" s="23"/>
    </row>
    <row r="65" spans="2:13" ht="14.25" customHeight="1" x14ac:dyDescent="0.25">
      <c r="B65" s="3">
        <v>45786</v>
      </c>
      <c r="C65" s="15" t="s">
        <v>117</v>
      </c>
      <c r="D65" s="30" t="s">
        <v>42</v>
      </c>
      <c r="E65" s="5"/>
      <c r="F65" s="16"/>
      <c r="G6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6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15</v>
      </c>
      <c r="I65" s="32"/>
      <c r="J65" s="23"/>
    </row>
    <row r="66" spans="2:13" ht="14.25" customHeight="1" x14ac:dyDescent="0.25">
      <c r="B66" s="3">
        <v>45786</v>
      </c>
      <c r="C66" s="15" t="s">
        <v>31</v>
      </c>
      <c r="D66" s="30" t="s">
        <v>42</v>
      </c>
      <c r="E66" s="5">
        <v>19</v>
      </c>
      <c r="F66" s="16"/>
      <c r="G6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6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30</v>
      </c>
      <c r="I66" s="32"/>
      <c r="J66" s="23"/>
      <c r="M66">
        <v>10</v>
      </c>
    </row>
    <row r="67" spans="2:13" ht="14.25" customHeight="1" x14ac:dyDescent="0.25">
      <c r="B67" s="3">
        <v>45786</v>
      </c>
      <c r="C67" s="15" t="s">
        <v>61</v>
      </c>
      <c r="D67" s="30" t="s">
        <v>42</v>
      </c>
      <c r="E67" s="5">
        <v>1</v>
      </c>
      <c r="F67" s="16"/>
      <c r="G6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</v>
      </c>
      <c r="H6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67" s="32"/>
      <c r="J67" s="23"/>
    </row>
    <row r="68" spans="2:13" ht="14.25" customHeight="1" x14ac:dyDescent="0.25">
      <c r="B68" s="3">
        <v>45786</v>
      </c>
      <c r="C68" s="15" t="s">
        <v>62</v>
      </c>
      <c r="D68" s="30" t="s">
        <v>42</v>
      </c>
      <c r="E68" s="5">
        <v>7</v>
      </c>
      <c r="F68" s="16"/>
      <c r="G6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18</v>
      </c>
      <c r="H6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68" s="32"/>
      <c r="J68" s="23"/>
      <c r="M68">
        <v>1</v>
      </c>
    </row>
    <row r="69" spans="2:13" ht="14.25" customHeight="1" x14ac:dyDescent="0.25">
      <c r="B69" s="3">
        <v>45786</v>
      </c>
      <c r="C69" s="15" t="s">
        <v>63</v>
      </c>
      <c r="D69" s="30" t="s">
        <v>42</v>
      </c>
      <c r="E69" s="5">
        <v>4</v>
      </c>
      <c r="F69" s="16"/>
      <c r="G6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6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69" s="32"/>
      <c r="J69" s="23"/>
    </row>
    <row r="70" spans="2:13" ht="14.25" customHeight="1" x14ac:dyDescent="0.25">
      <c r="B70" s="3">
        <v>45786</v>
      </c>
      <c r="C70" s="15" t="s">
        <v>64</v>
      </c>
      <c r="D70" s="30" t="s">
        <v>42</v>
      </c>
      <c r="E70" s="5"/>
      <c r="F70" s="16"/>
      <c r="G7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0" s="32"/>
      <c r="J70" s="23"/>
    </row>
    <row r="71" spans="2:13" ht="14.25" customHeight="1" x14ac:dyDescent="0.25">
      <c r="B71" s="3">
        <v>45786</v>
      </c>
      <c r="C71" s="15" t="s">
        <v>65</v>
      </c>
      <c r="D71" s="30" t="s">
        <v>42</v>
      </c>
      <c r="E71" s="5"/>
      <c r="F71" s="16"/>
      <c r="G7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71" s="32"/>
      <c r="J71" s="23"/>
    </row>
    <row r="72" spans="2:13" ht="14.25" customHeight="1" x14ac:dyDescent="0.25">
      <c r="B72" s="3">
        <v>45786</v>
      </c>
      <c r="C72" s="15" t="s">
        <v>66</v>
      </c>
      <c r="D72" s="30" t="s">
        <v>42</v>
      </c>
      <c r="E72" s="5">
        <v>2</v>
      </c>
      <c r="F72" s="16"/>
      <c r="G7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2" s="32"/>
      <c r="J72" s="23"/>
    </row>
    <row r="73" spans="2:13" ht="14.25" customHeight="1" x14ac:dyDescent="0.25">
      <c r="B73" s="3">
        <v>45786</v>
      </c>
      <c r="C73" s="15" t="s">
        <v>67</v>
      </c>
      <c r="D73" s="30" t="s">
        <v>42</v>
      </c>
      <c r="E73" s="5"/>
      <c r="F73" s="16"/>
      <c r="G7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73" s="32"/>
      <c r="J73" s="23"/>
    </row>
    <row r="74" spans="2:13" ht="14.25" customHeight="1" x14ac:dyDescent="0.25">
      <c r="B74" s="3">
        <v>45786</v>
      </c>
      <c r="C74" s="15" t="s">
        <v>68</v>
      </c>
      <c r="D74" s="30" t="s">
        <v>42</v>
      </c>
      <c r="E74" s="5"/>
      <c r="F74" s="16"/>
      <c r="G7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74" s="32"/>
      <c r="J74" s="23"/>
    </row>
    <row r="75" spans="2:13" ht="14.25" customHeight="1" x14ac:dyDescent="0.25">
      <c r="B75" s="3">
        <v>45786</v>
      </c>
      <c r="C75" s="15" t="s">
        <v>69</v>
      </c>
      <c r="D75" s="30" t="s">
        <v>42</v>
      </c>
      <c r="E75" s="5">
        <v>2</v>
      </c>
      <c r="F75" s="16"/>
      <c r="G7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5" s="32"/>
      <c r="J75" s="23"/>
    </row>
    <row r="76" spans="2:13" ht="14.25" customHeight="1" x14ac:dyDescent="0.25">
      <c r="B76" s="3">
        <v>45786</v>
      </c>
      <c r="C76" s="15" t="s">
        <v>33</v>
      </c>
      <c r="D76" s="30" t="s">
        <v>42</v>
      </c>
      <c r="E76" s="5">
        <v>72</v>
      </c>
      <c r="F76" s="16"/>
      <c r="G7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14</v>
      </c>
      <c r="H7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85</v>
      </c>
      <c r="I76" s="32"/>
      <c r="J76" s="23"/>
      <c r="M76">
        <v>20</v>
      </c>
    </row>
    <row r="77" spans="2:13" ht="14.25" customHeight="1" x14ac:dyDescent="0.25">
      <c r="B77" s="3">
        <v>45786</v>
      </c>
      <c r="C77" s="15" t="s">
        <v>70</v>
      </c>
      <c r="D77" s="30" t="s">
        <v>42</v>
      </c>
      <c r="E77" s="5">
        <v>2</v>
      </c>
      <c r="F77" s="16"/>
      <c r="G7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77" s="32"/>
      <c r="J77" s="23"/>
    </row>
    <row r="78" spans="2:13" ht="14.25" customHeight="1" x14ac:dyDescent="0.25">
      <c r="B78" s="3">
        <v>45786</v>
      </c>
      <c r="C78" s="15" t="s">
        <v>71</v>
      </c>
      <c r="D78" s="30" t="s">
        <v>42</v>
      </c>
      <c r="E78" s="5">
        <v>1</v>
      </c>
      <c r="F78" s="16"/>
      <c r="G7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8" s="32"/>
      <c r="J78" s="23"/>
    </row>
    <row r="79" spans="2:13" ht="14.25" customHeight="1" x14ac:dyDescent="0.25">
      <c r="B79" s="3">
        <v>45786</v>
      </c>
      <c r="C79" s="15" t="s">
        <v>73</v>
      </c>
      <c r="D79" s="30" t="s">
        <v>42</v>
      </c>
      <c r="E79" s="5">
        <v>7</v>
      </c>
      <c r="F79" s="16"/>
      <c r="G7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79" s="32"/>
      <c r="J79" s="23"/>
    </row>
    <row r="80" spans="2:13" ht="14.25" customHeight="1" x14ac:dyDescent="0.25">
      <c r="B80" s="3">
        <v>45786</v>
      </c>
      <c r="C80" s="15" t="s">
        <v>75</v>
      </c>
      <c r="D80" s="30" t="s">
        <v>42</v>
      </c>
      <c r="E80" s="5">
        <v>4</v>
      </c>
      <c r="F80" s="16"/>
      <c r="G8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8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80" s="32"/>
      <c r="J80" s="23"/>
    </row>
    <row r="81" spans="2:13" ht="14.25" customHeight="1" x14ac:dyDescent="0.25">
      <c r="B81" s="3">
        <v>45786</v>
      </c>
      <c r="C81" s="15" t="s">
        <v>76</v>
      </c>
      <c r="D81" s="30" t="s">
        <v>42</v>
      </c>
      <c r="E81" s="5"/>
      <c r="F81" s="16"/>
      <c r="G8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8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81" s="32"/>
      <c r="J81" s="23"/>
    </row>
    <row r="82" spans="2:13" ht="14.25" customHeight="1" x14ac:dyDescent="0.25">
      <c r="B82" s="3">
        <v>45786</v>
      </c>
      <c r="C82" s="15" t="s">
        <v>77</v>
      </c>
      <c r="D82" s="30" t="s">
        <v>42</v>
      </c>
      <c r="E82" s="5">
        <v>5</v>
      </c>
      <c r="F82" s="16"/>
      <c r="G8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8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82" s="32"/>
      <c r="J82" s="23"/>
    </row>
    <row r="83" spans="2:13" ht="14.25" customHeight="1" x14ac:dyDescent="0.25">
      <c r="B83" s="3">
        <v>45786</v>
      </c>
      <c r="C83" s="15" t="s">
        <v>78</v>
      </c>
      <c r="D83" s="30" t="s">
        <v>42</v>
      </c>
      <c r="E83" s="5">
        <v>8</v>
      </c>
      <c r="F83" s="16"/>
      <c r="G8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5</v>
      </c>
      <c r="H8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83" s="32"/>
      <c r="J83" s="23"/>
    </row>
    <row r="84" spans="2:13" ht="14.25" customHeight="1" x14ac:dyDescent="0.25">
      <c r="B84" s="3">
        <v>45786</v>
      </c>
      <c r="C84" s="15" t="s">
        <v>79</v>
      </c>
      <c r="D84" s="30" t="s">
        <v>42</v>
      </c>
      <c r="E84" s="5"/>
      <c r="F84" s="16"/>
      <c r="G8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8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84" s="32"/>
      <c r="J84" s="23"/>
      <c r="M84">
        <v>1</v>
      </c>
    </row>
    <row r="85" spans="2:13" ht="14.25" customHeight="1" x14ac:dyDescent="0.25">
      <c r="B85" s="3">
        <v>45786</v>
      </c>
      <c r="C85" s="15" t="s">
        <v>80</v>
      </c>
      <c r="D85" s="30" t="s">
        <v>42</v>
      </c>
      <c r="E85" s="5"/>
      <c r="F85" s="16"/>
      <c r="G8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</v>
      </c>
      <c r="H8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85" s="32"/>
      <c r="J85" s="23"/>
    </row>
    <row r="86" spans="2:13" ht="14.25" customHeight="1" x14ac:dyDescent="0.25">
      <c r="B86" s="3">
        <v>45786</v>
      </c>
      <c r="C86" s="15" t="s">
        <v>81</v>
      </c>
      <c r="D86" s="30" t="s">
        <v>42</v>
      </c>
      <c r="E86" s="5">
        <v>3</v>
      </c>
      <c r="F86" s="16"/>
      <c r="G8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8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</v>
      </c>
      <c r="I86" s="32"/>
      <c r="J86" s="23"/>
    </row>
    <row r="87" spans="2:13" ht="14.25" customHeight="1" x14ac:dyDescent="0.25">
      <c r="B87" s="3">
        <v>45786</v>
      </c>
      <c r="C87" s="15" t="s">
        <v>82</v>
      </c>
      <c r="D87" s="30" t="s">
        <v>42</v>
      </c>
      <c r="E87" s="5"/>
      <c r="F87" s="16"/>
      <c r="G8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6</v>
      </c>
      <c r="H8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87" s="32"/>
      <c r="J87" s="23"/>
    </row>
    <row r="88" spans="2:13" ht="14.25" customHeight="1" x14ac:dyDescent="0.25">
      <c r="B88" s="3">
        <v>45786</v>
      </c>
      <c r="C88" s="15" t="s">
        <v>83</v>
      </c>
      <c r="D88" s="30" t="s">
        <v>42</v>
      </c>
      <c r="E88" s="5"/>
      <c r="F88" s="16"/>
      <c r="G8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8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88" s="32"/>
      <c r="J88" s="23"/>
    </row>
    <row r="89" spans="2:13" ht="14.25" customHeight="1" x14ac:dyDescent="0.25">
      <c r="B89" s="3">
        <v>45786</v>
      </c>
      <c r="C89" s="15" t="s">
        <v>84</v>
      </c>
      <c r="D89" s="30" t="s">
        <v>42</v>
      </c>
      <c r="E89" s="5"/>
      <c r="F89" s="16"/>
      <c r="G8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8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89" s="32"/>
      <c r="J89" s="23"/>
    </row>
    <row r="90" spans="2:13" ht="14.25" customHeight="1" x14ac:dyDescent="0.25">
      <c r="B90" s="3">
        <v>45786</v>
      </c>
      <c r="C90" s="15" t="s">
        <v>85</v>
      </c>
      <c r="D90" s="30" t="s">
        <v>42</v>
      </c>
      <c r="E90" s="5"/>
      <c r="F90" s="16"/>
      <c r="G9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9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107</v>
      </c>
      <c r="I90" s="32"/>
      <c r="J90" s="23"/>
    </row>
    <row r="91" spans="2:13" ht="14.25" customHeight="1" x14ac:dyDescent="0.25">
      <c r="B91" s="3">
        <v>45786</v>
      </c>
      <c r="C91" s="15" t="s">
        <v>86</v>
      </c>
      <c r="D91" s="30" t="s">
        <v>42</v>
      </c>
      <c r="E91" s="5">
        <v>4</v>
      </c>
      <c r="F91" s="16"/>
      <c r="G9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5</v>
      </c>
      <c r="H9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91" s="32"/>
      <c r="J91" s="23"/>
    </row>
    <row r="92" spans="2:13" ht="14.25" customHeight="1" x14ac:dyDescent="0.25">
      <c r="B92" s="3">
        <v>45786</v>
      </c>
      <c r="C92" s="15" t="s">
        <v>88</v>
      </c>
      <c r="D92" s="30" t="s">
        <v>42</v>
      </c>
      <c r="E92" s="5"/>
      <c r="F92" s="16"/>
      <c r="G9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9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92" s="32"/>
      <c r="J92" s="23"/>
    </row>
    <row r="93" spans="2:13" ht="14.25" customHeight="1" x14ac:dyDescent="0.25">
      <c r="B93" s="3">
        <v>45786</v>
      </c>
      <c r="C93" s="15" t="s">
        <v>89</v>
      </c>
      <c r="D93" s="30" t="s">
        <v>42</v>
      </c>
      <c r="E93" s="5">
        <v>1</v>
      </c>
      <c r="F93" s="16"/>
      <c r="G9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9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93" s="32"/>
      <c r="J93" s="23"/>
    </row>
    <row r="94" spans="2:13" ht="14.25" customHeight="1" x14ac:dyDescent="0.25">
      <c r="B94" s="3">
        <v>45786</v>
      </c>
      <c r="C94" s="15" t="s">
        <v>90</v>
      </c>
      <c r="D94" s="30" t="s">
        <v>42</v>
      </c>
      <c r="E94" s="5"/>
      <c r="F94" s="16"/>
      <c r="G9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9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94" s="32"/>
      <c r="J94" s="23"/>
    </row>
    <row r="95" spans="2:13" ht="14.25" customHeight="1" x14ac:dyDescent="0.25">
      <c r="B95" s="3">
        <v>45786</v>
      </c>
      <c r="C95" s="15" t="s">
        <v>91</v>
      </c>
      <c r="D95" s="30" t="s">
        <v>42</v>
      </c>
      <c r="E95" s="5">
        <v>7</v>
      </c>
      <c r="F95" s="16"/>
      <c r="G9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9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95" s="32"/>
      <c r="J95" s="23"/>
    </row>
    <row r="96" spans="2:13" ht="14.25" customHeight="1" x14ac:dyDescent="0.25">
      <c r="B96" s="3">
        <v>45786</v>
      </c>
      <c r="C96" s="15" t="s">
        <v>92</v>
      </c>
      <c r="D96" s="30" t="s">
        <v>42</v>
      </c>
      <c r="E96" s="30"/>
      <c r="F96" s="16"/>
      <c r="G9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9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96" s="32"/>
      <c r="J96" s="23"/>
    </row>
    <row r="97" spans="2:10" ht="14.25" customHeight="1" x14ac:dyDescent="0.25">
      <c r="B97" s="3">
        <v>45786</v>
      </c>
      <c r="C97" s="15" t="s">
        <v>93</v>
      </c>
      <c r="D97" s="30" t="s">
        <v>42</v>
      </c>
      <c r="E97" s="5"/>
      <c r="F97" s="16"/>
      <c r="G9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9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97" s="32"/>
      <c r="J97" s="23"/>
    </row>
    <row r="98" spans="2:10" ht="14.25" customHeight="1" x14ac:dyDescent="0.25">
      <c r="B98" s="3">
        <v>45786</v>
      </c>
      <c r="C98" s="15" t="s">
        <v>50</v>
      </c>
      <c r="D98" s="30" t="s">
        <v>42</v>
      </c>
      <c r="E98" s="5">
        <v>6</v>
      </c>
      <c r="F98" s="16"/>
      <c r="G9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9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98" s="32"/>
      <c r="J98" s="23"/>
    </row>
    <row r="99" spans="2:10" ht="14.25" customHeight="1" x14ac:dyDescent="0.25">
      <c r="B99" s="3">
        <v>45786</v>
      </c>
      <c r="C99" s="15" t="s">
        <v>94</v>
      </c>
      <c r="D99" s="30" t="s">
        <v>42</v>
      </c>
      <c r="E99" s="5"/>
      <c r="F99" s="16"/>
      <c r="G9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9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99" s="32"/>
      <c r="J99" s="23"/>
    </row>
    <row r="100" spans="2:10" ht="14.25" customHeight="1" x14ac:dyDescent="0.25">
      <c r="B100" s="3">
        <v>45786</v>
      </c>
      <c r="C100" s="15" t="s">
        <v>95</v>
      </c>
      <c r="D100" s="30" t="s">
        <v>42</v>
      </c>
      <c r="E100" s="5"/>
      <c r="F100" s="16"/>
      <c r="G10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0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0" s="32"/>
      <c r="J100" s="23"/>
    </row>
    <row r="101" spans="2:10" ht="14.25" customHeight="1" x14ac:dyDescent="0.25">
      <c r="B101" s="3">
        <v>45786</v>
      </c>
      <c r="C101" s="15" t="s">
        <v>96</v>
      </c>
      <c r="D101" s="30" t="s">
        <v>42</v>
      </c>
      <c r="E101" s="5"/>
      <c r="F101" s="16"/>
      <c r="G10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</v>
      </c>
      <c r="H10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1" s="32"/>
      <c r="J101" s="23"/>
    </row>
    <row r="102" spans="2:10" ht="14.25" customHeight="1" x14ac:dyDescent="0.25">
      <c r="B102" s="3">
        <v>45786</v>
      </c>
      <c r="C102" s="15" t="s">
        <v>51</v>
      </c>
      <c r="D102" s="30" t="s">
        <v>42</v>
      </c>
      <c r="E102" s="5"/>
      <c r="F102" s="16"/>
      <c r="G10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0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2" s="32"/>
      <c r="J102" s="23"/>
    </row>
    <row r="103" spans="2:10" ht="14.25" customHeight="1" x14ac:dyDescent="0.25">
      <c r="B103" s="3">
        <v>45786</v>
      </c>
      <c r="C103" s="15" t="s">
        <v>52</v>
      </c>
      <c r="D103" s="30" t="s">
        <v>42</v>
      </c>
      <c r="E103" s="5"/>
      <c r="F103" s="16"/>
      <c r="G10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21</v>
      </c>
      <c r="H10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3" s="32"/>
      <c r="J103" s="23"/>
    </row>
    <row r="104" spans="2:10" ht="14.25" customHeight="1" x14ac:dyDescent="0.25">
      <c r="B104" s="3">
        <v>45786</v>
      </c>
      <c r="C104" s="15" t="s">
        <v>113</v>
      </c>
      <c r="D104" s="30" t="s">
        <v>42</v>
      </c>
      <c r="E104" s="5"/>
      <c r="F104" s="16"/>
      <c r="G10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16</v>
      </c>
      <c r="H10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4" s="32"/>
      <c r="J104" s="23"/>
    </row>
    <row r="105" spans="2:10" ht="14.25" customHeight="1" x14ac:dyDescent="0.25">
      <c r="B105" s="3">
        <v>45786</v>
      </c>
      <c r="C105" s="15" t="s">
        <v>114</v>
      </c>
      <c r="D105" s="30" t="s">
        <v>42</v>
      </c>
      <c r="E105" s="5">
        <v>1</v>
      </c>
      <c r="F105" s="16"/>
      <c r="G10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10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105" s="32"/>
      <c r="J105" s="23"/>
    </row>
    <row r="106" spans="2:10" ht="14.25" customHeight="1" x14ac:dyDescent="0.25">
      <c r="B106" s="3">
        <v>45786</v>
      </c>
      <c r="C106" s="15" t="s">
        <v>53</v>
      </c>
      <c r="D106" s="30" t="s">
        <v>42</v>
      </c>
      <c r="E106" s="5"/>
      <c r="F106" s="16"/>
      <c r="G10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0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6" s="32"/>
      <c r="J106" s="23"/>
    </row>
    <row r="107" spans="2:10" ht="14.25" customHeight="1" x14ac:dyDescent="0.25">
      <c r="B107" s="3">
        <v>45787</v>
      </c>
      <c r="C107" s="15" t="s">
        <v>58</v>
      </c>
      <c r="D107" s="30" t="s">
        <v>25</v>
      </c>
      <c r="E107" s="30">
        <v>5</v>
      </c>
      <c r="F107" s="16">
        <v>5</v>
      </c>
      <c r="G10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75</v>
      </c>
      <c r="H10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60</v>
      </c>
      <c r="I107" s="32"/>
      <c r="J107" s="23"/>
    </row>
    <row r="108" spans="2:10" ht="14.25" customHeight="1" x14ac:dyDescent="0.25">
      <c r="B108" s="3"/>
      <c r="C108" s="15"/>
      <c r="D108" s="30"/>
      <c r="E108" s="30"/>
      <c r="F108" s="16"/>
      <c r="G10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0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08" s="32"/>
      <c r="J108" s="23"/>
    </row>
    <row r="109" spans="2:10" ht="14.25" customHeight="1" x14ac:dyDescent="0.25">
      <c r="B109" s="3"/>
      <c r="C109" s="15"/>
      <c r="D109" s="30"/>
      <c r="E109" s="30"/>
      <c r="F109" s="16"/>
      <c r="G10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0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09" s="32"/>
      <c r="J109" s="23"/>
    </row>
    <row r="110" spans="2:10" ht="14.25" customHeight="1" x14ac:dyDescent="0.25">
      <c r="B110" s="3"/>
      <c r="C110" s="15"/>
      <c r="D110" s="30"/>
      <c r="E110" s="30"/>
      <c r="F110" s="16"/>
      <c r="G11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0" s="32"/>
      <c r="J110" s="23"/>
    </row>
    <row r="111" spans="2:10" ht="14.25" customHeight="1" x14ac:dyDescent="0.25">
      <c r="B111" s="3"/>
      <c r="C111" s="15"/>
      <c r="D111" s="30"/>
      <c r="E111" s="30"/>
      <c r="F111" s="16"/>
      <c r="G11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1" s="32"/>
      <c r="J111" s="23"/>
    </row>
    <row r="112" spans="2:10" ht="14.25" customHeight="1" x14ac:dyDescent="0.25">
      <c r="B112" s="3"/>
      <c r="C112" s="15"/>
      <c r="D112" s="30"/>
      <c r="E112" s="30"/>
      <c r="F112" s="16"/>
      <c r="G11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2" s="32"/>
      <c r="J112" s="23"/>
    </row>
    <row r="113" spans="2:10" ht="14.25" customHeight="1" x14ac:dyDescent="0.25">
      <c r="B113" s="3"/>
      <c r="C113" s="15"/>
      <c r="D113" s="30"/>
      <c r="E113" s="30"/>
      <c r="F113" s="16"/>
      <c r="G11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3" s="32"/>
      <c r="J113" s="23"/>
    </row>
    <row r="114" spans="2:10" ht="14.25" customHeight="1" x14ac:dyDescent="0.25">
      <c r="B114" s="3"/>
      <c r="C114" s="15"/>
      <c r="D114" s="30"/>
      <c r="E114" s="30"/>
      <c r="F114" s="16"/>
      <c r="G11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4" s="32"/>
      <c r="J114" s="23"/>
    </row>
    <row r="115" spans="2:10" ht="14.25" customHeight="1" x14ac:dyDescent="0.25">
      <c r="B115" s="3"/>
      <c r="C115" s="15"/>
      <c r="D115" s="30"/>
      <c r="E115" s="30"/>
      <c r="F115" s="16"/>
      <c r="G11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5" s="32"/>
      <c r="J115" s="23"/>
    </row>
    <row r="116" spans="2:10" ht="14.25" customHeight="1" x14ac:dyDescent="0.25">
      <c r="B116" s="3"/>
      <c r="C116" s="15"/>
      <c r="D116" s="30"/>
      <c r="E116" s="30"/>
      <c r="F116" s="16"/>
      <c r="G11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6" s="32"/>
      <c r="J116" s="23"/>
    </row>
    <row r="117" spans="2:10" ht="14.25" customHeight="1" x14ac:dyDescent="0.25">
      <c r="B117" s="3"/>
      <c r="C117" s="15"/>
      <c r="D117" s="30"/>
      <c r="E117" s="30"/>
      <c r="F117" s="16"/>
      <c r="G11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7" s="32"/>
      <c r="J117" s="23"/>
    </row>
    <row r="118" spans="2:10" ht="14.25" customHeight="1" x14ac:dyDescent="0.25">
      <c r="B118" s="3"/>
      <c r="C118" s="15"/>
      <c r="D118" s="30"/>
      <c r="E118" s="30"/>
      <c r="F118" s="16"/>
      <c r="G11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8" s="32"/>
      <c r="J118" s="23"/>
    </row>
    <row r="119" spans="2:10" ht="14.25" customHeight="1" x14ac:dyDescent="0.25">
      <c r="B119" s="3"/>
      <c r="C119" s="15"/>
      <c r="D119" s="30"/>
      <c r="E119" s="30"/>
      <c r="F119" s="16"/>
      <c r="G11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9" s="32"/>
      <c r="J119" s="23"/>
    </row>
    <row r="120" spans="2:10" ht="14.25" customHeight="1" x14ac:dyDescent="0.25">
      <c r="B120" s="3"/>
      <c r="C120" s="15"/>
      <c r="D120" s="30"/>
      <c r="E120" s="30"/>
      <c r="F120" s="16"/>
      <c r="G12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0" s="32"/>
      <c r="J120" s="23"/>
    </row>
    <row r="121" spans="2:10" ht="14.25" customHeight="1" x14ac:dyDescent="0.25">
      <c r="B121" s="3"/>
      <c r="C121" s="15"/>
      <c r="D121" s="30"/>
      <c r="E121" s="30"/>
      <c r="F121" s="16"/>
      <c r="G12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1" s="32"/>
      <c r="J121" s="23"/>
    </row>
    <row r="122" spans="2:10" ht="14.25" customHeight="1" x14ac:dyDescent="0.25">
      <c r="B122" s="3"/>
      <c r="C122" s="15"/>
      <c r="D122" s="30"/>
      <c r="E122" s="30"/>
      <c r="F122" s="16"/>
      <c r="G12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2" s="32"/>
      <c r="J122" s="23"/>
    </row>
    <row r="123" spans="2:10" ht="14.25" customHeight="1" x14ac:dyDescent="0.25">
      <c r="B123" s="3"/>
      <c r="C123" s="15"/>
      <c r="D123" s="30"/>
      <c r="E123" s="30"/>
      <c r="F123" s="16"/>
      <c r="G12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3" s="32"/>
      <c r="J123" s="23"/>
    </row>
    <row r="124" spans="2:10" ht="14.25" customHeight="1" x14ac:dyDescent="0.25">
      <c r="B124" s="3"/>
      <c r="C124" s="15"/>
      <c r="D124" s="30"/>
      <c r="E124" s="30"/>
      <c r="F124" s="16"/>
      <c r="G12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4" s="32"/>
      <c r="J124" s="23"/>
    </row>
    <row r="125" spans="2:10" ht="14.25" customHeight="1" x14ac:dyDescent="0.25">
      <c r="B125" s="3"/>
      <c r="C125" s="15"/>
      <c r="D125" s="30"/>
      <c r="E125" s="30"/>
      <c r="F125" s="16"/>
      <c r="G12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5" s="32"/>
      <c r="J125" s="23"/>
    </row>
    <row r="126" spans="2:10" ht="14.25" customHeight="1" x14ac:dyDescent="0.25">
      <c r="B126" s="3"/>
      <c r="C126" s="15"/>
      <c r="D126" s="30"/>
      <c r="E126" s="30"/>
      <c r="F126" s="16"/>
      <c r="G12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6" s="32"/>
      <c r="J126" s="23"/>
    </row>
    <row r="127" spans="2:10" ht="14.25" customHeight="1" x14ac:dyDescent="0.25">
      <c r="B127" s="3"/>
      <c r="C127" s="15"/>
      <c r="D127" s="30"/>
      <c r="E127" s="30"/>
      <c r="F127" s="16"/>
      <c r="G12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7" s="32"/>
      <c r="J127" s="23"/>
    </row>
    <row r="128" spans="2:10" ht="14.25" customHeight="1" x14ac:dyDescent="0.25">
      <c r="B128" s="3"/>
      <c r="C128" s="15"/>
      <c r="D128" s="30"/>
      <c r="E128" s="30"/>
      <c r="F128" s="16"/>
      <c r="G12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8" s="32"/>
      <c r="J128" s="23"/>
    </row>
    <row r="129" spans="2:10" ht="14.25" customHeight="1" x14ac:dyDescent="0.25">
      <c r="B129" s="3"/>
      <c r="C129" s="15"/>
      <c r="D129" s="30"/>
      <c r="E129" s="30"/>
      <c r="F129" s="16"/>
      <c r="G12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9" s="32"/>
      <c r="J129" s="23"/>
    </row>
    <row r="130" spans="2:10" ht="14.25" customHeight="1" x14ac:dyDescent="0.25">
      <c r="B130" s="3"/>
      <c r="C130" s="15"/>
      <c r="D130" s="30"/>
      <c r="E130" s="30"/>
      <c r="F130" s="16"/>
      <c r="G13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0" s="32"/>
      <c r="J130" s="23"/>
    </row>
    <row r="131" spans="2:10" ht="14.25" customHeight="1" x14ac:dyDescent="0.25">
      <c r="B131" s="3"/>
      <c r="C131" s="15"/>
      <c r="D131" s="30"/>
      <c r="E131" s="30"/>
      <c r="F131" s="16"/>
      <c r="G13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1" s="32"/>
      <c r="J131" s="23"/>
    </row>
    <row r="132" spans="2:10" ht="14.25" customHeight="1" x14ac:dyDescent="0.25">
      <c r="B132" s="3"/>
      <c r="C132" s="15"/>
      <c r="D132" s="30"/>
      <c r="E132" s="30"/>
      <c r="F132" s="16"/>
      <c r="G13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2" s="32"/>
      <c r="J132" s="23"/>
    </row>
    <row r="133" spans="2:10" ht="14.25" customHeight="1" x14ac:dyDescent="0.25">
      <c r="B133" s="3"/>
      <c r="C133" s="15"/>
      <c r="D133" s="30"/>
      <c r="E133" s="30"/>
      <c r="F133" s="16"/>
      <c r="G13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3" s="32"/>
      <c r="J133" s="23"/>
    </row>
    <row r="134" spans="2:10" ht="14.25" customHeight="1" x14ac:dyDescent="0.25">
      <c r="B134" s="3"/>
      <c r="C134" s="15"/>
      <c r="D134" s="30"/>
      <c r="E134" s="30"/>
      <c r="F134" s="16"/>
      <c r="G13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4" s="32"/>
      <c r="J134" s="23"/>
    </row>
    <row r="135" spans="2:10" ht="14.25" customHeight="1" x14ac:dyDescent="0.25">
      <c r="B135" s="3"/>
      <c r="C135" s="15"/>
      <c r="D135" s="30"/>
      <c r="E135" s="30"/>
      <c r="F135" s="16"/>
      <c r="G13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5" s="32"/>
      <c r="J135" s="23"/>
    </row>
    <row r="136" spans="2:10" ht="14.25" customHeight="1" x14ac:dyDescent="0.25">
      <c r="B136" s="3"/>
      <c r="C136" s="15"/>
      <c r="D136" s="30"/>
      <c r="E136" s="30"/>
      <c r="F136" s="16"/>
      <c r="G13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6" s="32"/>
      <c r="J136" s="23"/>
    </row>
    <row r="137" spans="2:10" ht="14.25" customHeight="1" x14ac:dyDescent="0.25">
      <c r="B137" s="3"/>
      <c r="C137" s="15"/>
      <c r="D137" s="30"/>
      <c r="E137" s="30"/>
      <c r="F137" s="16"/>
      <c r="G13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7" s="32"/>
      <c r="J137" s="23"/>
    </row>
    <row r="138" spans="2:10" ht="14.25" customHeight="1" x14ac:dyDescent="0.25">
      <c r="B138" s="3"/>
      <c r="C138" s="15"/>
      <c r="D138" s="30"/>
      <c r="E138" s="30"/>
      <c r="F138" s="16"/>
      <c r="G13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8" s="32"/>
      <c r="J138" s="23"/>
    </row>
    <row r="139" spans="2:10" ht="14.25" customHeight="1" x14ac:dyDescent="0.25">
      <c r="B139" s="3"/>
      <c r="C139" s="15"/>
      <c r="D139" s="30"/>
      <c r="E139" s="30"/>
      <c r="F139" s="16"/>
      <c r="G13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9" s="32"/>
      <c r="J139" s="23"/>
    </row>
    <row r="140" spans="2:10" ht="14.25" customHeight="1" x14ac:dyDescent="0.25">
      <c r="B140" s="3"/>
      <c r="C140" s="15"/>
      <c r="D140" s="30"/>
      <c r="E140" s="30"/>
      <c r="F140" s="16"/>
      <c r="G14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0" s="32"/>
      <c r="J140" s="23"/>
    </row>
    <row r="141" spans="2:10" ht="14.25" customHeight="1" x14ac:dyDescent="0.25">
      <c r="B141" s="3"/>
      <c r="C141" s="15"/>
      <c r="D141" s="30"/>
      <c r="E141" s="30"/>
      <c r="F141" s="16"/>
      <c r="G14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1" s="32"/>
      <c r="J141" s="23"/>
    </row>
    <row r="142" spans="2:10" ht="14.25" customHeight="1" x14ac:dyDescent="0.25">
      <c r="B142" s="3"/>
      <c r="C142" s="15"/>
      <c r="D142" s="30"/>
      <c r="E142" s="30"/>
      <c r="F142" s="16"/>
      <c r="G14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2" s="32"/>
      <c r="J142" s="23"/>
    </row>
    <row r="143" spans="2:10" ht="14.25" customHeight="1" x14ac:dyDescent="0.25">
      <c r="B143" s="3"/>
      <c r="C143" s="15"/>
      <c r="D143" s="30"/>
      <c r="E143" s="30"/>
      <c r="F143" s="16"/>
      <c r="G14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3" s="32"/>
      <c r="J143" s="23"/>
    </row>
    <row r="144" spans="2:10" ht="14.25" customHeight="1" x14ac:dyDescent="0.25">
      <c r="B144" s="3"/>
      <c r="C144" s="15"/>
      <c r="D144" s="30"/>
      <c r="E144" s="30"/>
      <c r="F144" s="16"/>
      <c r="G14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4" s="32"/>
      <c r="J144" s="23"/>
    </row>
    <row r="145" spans="2:10" ht="14.25" customHeight="1" x14ac:dyDescent="0.25">
      <c r="B145" s="3"/>
      <c r="C145" s="15"/>
      <c r="D145" s="30"/>
      <c r="E145" s="30"/>
      <c r="F145" s="16"/>
      <c r="G14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5" s="32"/>
      <c r="J145" s="23"/>
    </row>
    <row r="146" spans="2:10" ht="14.25" customHeight="1" x14ac:dyDescent="0.25">
      <c r="B146" s="3"/>
      <c r="C146" s="15"/>
      <c r="D146" s="30"/>
      <c r="E146" s="30"/>
      <c r="F146" s="16"/>
      <c r="G14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6" s="32"/>
      <c r="J146" s="23"/>
    </row>
    <row r="147" spans="2:10" ht="14.25" customHeight="1" x14ac:dyDescent="0.25">
      <c r="B147" s="3"/>
      <c r="C147" s="15"/>
      <c r="D147" s="30"/>
      <c r="E147" s="30"/>
      <c r="F147" s="16"/>
      <c r="G14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7" s="32"/>
      <c r="J147" s="23"/>
    </row>
    <row r="148" spans="2:10" ht="14.25" customHeight="1" x14ac:dyDescent="0.25">
      <c r="B148" s="3"/>
      <c r="C148" s="15"/>
      <c r="D148" s="30"/>
      <c r="E148" s="30"/>
      <c r="F148" s="16"/>
      <c r="G14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8" s="32"/>
      <c r="J148" s="23"/>
    </row>
    <row r="149" spans="2:10" ht="14.25" customHeight="1" x14ac:dyDescent="0.25">
      <c r="B149" s="3"/>
      <c r="C149" s="15"/>
      <c r="D149" s="30"/>
      <c r="E149" s="30"/>
      <c r="F149" s="16"/>
      <c r="G14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9" s="32"/>
      <c r="J149" s="23"/>
    </row>
    <row r="150" spans="2:10" ht="14.25" customHeight="1" x14ac:dyDescent="0.25">
      <c r="B150" s="3"/>
      <c r="C150" s="15"/>
      <c r="D150" s="30"/>
      <c r="E150" s="30"/>
      <c r="F150" s="16"/>
      <c r="G15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0" s="32"/>
      <c r="J150" s="23"/>
    </row>
    <row r="151" spans="2:10" ht="14.25" customHeight="1" x14ac:dyDescent="0.25">
      <c r="B151" s="3"/>
      <c r="C151" s="15"/>
      <c r="D151" s="30"/>
      <c r="E151" s="30"/>
      <c r="F151" s="16"/>
      <c r="G15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1" s="32"/>
      <c r="J151" s="23"/>
    </row>
    <row r="152" spans="2:10" ht="14.25" customHeight="1" x14ac:dyDescent="0.25">
      <c r="B152" s="3"/>
      <c r="C152" s="15"/>
      <c r="D152" s="30"/>
      <c r="E152" s="30"/>
      <c r="F152" s="16"/>
      <c r="G15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2" s="32"/>
      <c r="J152" s="23"/>
    </row>
    <row r="153" spans="2:10" ht="14.25" customHeight="1" x14ac:dyDescent="0.25">
      <c r="B153" s="3"/>
      <c r="C153" s="15"/>
      <c r="D153" s="30"/>
      <c r="E153" s="30"/>
      <c r="F153" s="16"/>
      <c r="G15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3" s="32"/>
      <c r="J153" s="23"/>
    </row>
    <row r="154" spans="2:10" ht="14.25" customHeight="1" x14ac:dyDescent="0.25">
      <c r="B154" s="3"/>
      <c r="C154" s="15"/>
      <c r="D154" s="30"/>
      <c r="E154" s="30"/>
      <c r="F154" s="16"/>
      <c r="G15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4" s="32"/>
      <c r="J154" s="23"/>
    </row>
    <row r="155" spans="2:10" ht="14.25" customHeight="1" x14ac:dyDescent="0.25">
      <c r="B155" s="3"/>
      <c r="C155" s="15"/>
      <c r="D155" s="30"/>
      <c r="E155" s="30"/>
      <c r="F155" s="16"/>
      <c r="G15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5" s="32"/>
      <c r="J155" s="23"/>
    </row>
    <row r="156" spans="2:10" ht="14.25" customHeight="1" x14ac:dyDescent="0.25">
      <c r="B156" s="3"/>
      <c r="C156" s="15"/>
      <c r="D156" s="30"/>
      <c r="E156" s="30"/>
      <c r="F156" s="16"/>
      <c r="G15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6" s="32"/>
      <c r="J156" s="23"/>
    </row>
    <row r="157" spans="2:10" ht="14.25" customHeight="1" x14ac:dyDescent="0.25">
      <c r="B157" s="3"/>
      <c r="C157" s="15"/>
      <c r="D157" s="30"/>
      <c r="E157" s="30"/>
      <c r="F157" s="16"/>
      <c r="G15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7" s="32"/>
      <c r="J157" s="23"/>
    </row>
    <row r="158" spans="2:10" ht="14.25" customHeight="1" x14ac:dyDescent="0.25">
      <c r="B158" s="3"/>
      <c r="C158" s="15"/>
      <c r="D158" s="30"/>
      <c r="E158" s="30"/>
      <c r="F158" s="16"/>
      <c r="G15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8" s="32"/>
      <c r="J158" s="23"/>
    </row>
    <row r="159" spans="2:10" ht="14.25" customHeight="1" x14ac:dyDescent="0.25">
      <c r="B159" s="3"/>
      <c r="C159" s="15"/>
      <c r="D159" s="30"/>
      <c r="E159" s="30"/>
      <c r="F159" s="16"/>
      <c r="G15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9" s="32"/>
      <c r="J159" s="23"/>
    </row>
    <row r="160" spans="2:10" ht="14.25" customHeight="1" x14ac:dyDescent="0.25">
      <c r="B160" s="3"/>
      <c r="C160" s="15"/>
      <c r="D160" s="30"/>
      <c r="E160" s="30"/>
      <c r="F160" s="16"/>
      <c r="G16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0" s="32"/>
      <c r="J160" s="23"/>
    </row>
    <row r="161" spans="2:10" ht="14.25" customHeight="1" x14ac:dyDescent="0.25">
      <c r="B161" s="3"/>
      <c r="C161" s="15"/>
      <c r="D161" s="30"/>
      <c r="E161" s="30"/>
      <c r="F161" s="16"/>
      <c r="G16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1" s="32"/>
      <c r="J161" s="23"/>
    </row>
    <row r="162" spans="2:10" ht="14.25" customHeight="1" x14ac:dyDescent="0.25">
      <c r="B162" s="3"/>
      <c r="C162" s="15"/>
      <c r="D162" s="30"/>
      <c r="E162" s="30"/>
      <c r="F162" s="16"/>
      <c r="G16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2" s="32"/>
      <c r="J162" s="23"/>
    </row>
    <row r="163" spans="2:10" ht="14.25" customHeight="1" x14ac:dyDescent="0.25">
      <c r="B163" s="3"/>
      <c r="C163" s="15"/>
      <c r="D163" s="30"/>
      <c r="E163" s="30"/>
      <c r="F163" s="16"/>
      <c r="G16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3" s="32"/>
      <c r="J163" s="23"/>
    </row>
    <row r="164" spans="2:10" ht="14.25" customHeight="1" x14ac:dyDescent="0.25">
      <c r="B164" s="3"/>
      <c r="C164" s="15"/>
      <c r="D164" s="30"/>
      <c r="E164" s="30"/>
      <c r="F164" s="16"/>
      <c r="G16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4" s="32"/>
      <c r="J164" s="23"/>
    </row>
    <row r="165" spans="2:10" ht="14.25" customHeight="1" x14ac:dyDescent="0.25">
      <c r="B165" s="3"/>
      <c r="C165" s="15"/>
      <c r="D165" s="30"/>
      <c r="E165" s="30"/>
      <c r="F165" s="16"/>
      <c r="G16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5" s="32"/>
      <c r="J165" s="23"/>
    </row>
    <row r="166" spans="2:10" ht="14.25" customHeight="1" x14ac:dyDescent="0.25">
      <c r="B166" s="3"/>
      <c r="C166" s="15"/>
      <c r="D166" s="30"/>
      <c r="E166" s="30"/>
      <c r="F166" s="16"/>
      <c r="G16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6" s="32"/>
      <c r="J166" s="23"/>
    </row>
    <row r="167" spans="2:10" ht="14.25" customHeight="1" x14ac:dyDescent="0.25">
      <c r="B167" s="3"/>
      <c r="C167" s="15"/>
      <c r="D167" s="30"/>
      <c r="E167" s="30"/>
      <c r="F167" s="16"/>
      <c r="G16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7" s="32"/>
      <c r="J167" s="23"/>
    </row>
    <row r="168" spans="2:10" ht="14.25" customHeight="1" x14ac:dyDescent="0.25">
      <c r="B168" s="3"/>
      <c r="C168" s="15"/>
      <c r="D168" s="30"/>
      <c r="E168" s="30"/>
      <c r="F168" s="16"/>
      <c r="G16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8" s="32"/>
      <c r="J168" s="23"/>
    </row>
    <row r="169" spans="2:10" ht="14.25" customHeight="1" x14ac:dyDescent="0.25">
      <c r="B169" s="3"/>
      <c r="C169" s="15"/>
      <c r="D169" s="30"/>
      <c r="E169" s="30"/>
      <c r="F169" s="16"/>
      <c r="G16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9" s="32"/>
      <c r="J169" s="23"/>
    </row>
    <row r="170" spans="2:10" ht="14.25" customHeight="1" x14ac:dyDescent="0.25">
      <c r="B170" s="3"/>
      <c r="C170" s="15"/>
      <c r="D170" s="30"/>
      <c r="E170" s="30"/>
      <c r="F170" s="16"/>
      <c r="G17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0" s="32"/>
      <c r="J170" s="23"/>
    </row>
    <row r="171" spans="2:10" ht="14.25" customHeight="1" x14ac:dyDescent="0.25">
      <c r="B171" s="3"/>
      <c r="C171" s="15"/>
      <c r="D171" s="30"/>
      <c r="E171" s="30"/>
      <c r="F171" s="16"/>
      <c r="G17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1" s="32"/>
      <c r="J171" s="23"/>
    </row>
    <row r="172" spans="2:10" x14ac:dyDescent="0.25">
      <c r="B172" s="3"/>
      <c r="C172" s="15"/>
      <c r="D172" s="30"/>
      <c r="E172" s="30"/>
      <c r="F172" s="16"/>
      <c r="G17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2" s="5"/>
      <c r="I172" s="29"/>
      <c r="J172" s="23"/>
    </row>
    <row r="173" spans="2:10" x14ac:dyDescent="0.25">
      <c r="B173" s="3"/>
      <c r="C173" s="15"/>
      <c r="D173" s="30"/>
      <c r="E173" s="30"/>
      <c r="F173" s="16"/>
      <c r="G17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3" s="5"/>
      <c r="I173" s="29"/>
      <c r="J173" s="23"/>
    </row>
    <row r="174" spans="2:10" x14ac:dyDescent="0.25">
      <c r="B174" s="3"/>
      <c r="C174" s="15"/>
      <c r="D174" s="30"/>
      <c r="E174" s="30"/>
      <c r="F174" s="16"/>
      <c r="G17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4" s="5"/>
      <c r="I174" s="29"/>
      <c r="J174" s="23"/>
    </row>
    <row r="175" spans="2:10" x14ac:dyDescent="0.25">
      <c r="B175" s="3"/>
      <c r="C175" s="15"/>
      <c r="D175" s="30"/>
      <c r="E175" s="30"/>
      <c r="F175" s="16"/>
      <c r="G17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5" s="29"/>
      <c r="J175" s="23"/>
    </row>
    <row r="176" spans="2:10" x14ac:dyDescent="0.25">
      <c r="B176" s="3"/>
      <c r="C176" s="15"/>
      <c r="D176" s="30"/>
      <c r="E176" s="30"/>
      <c r="F176" s="16"/>
      <c r="G17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6" s="29"/>
      <c r="J176" s="23"/>
    </row>
    <row r="177" spans="2:10" x14ac:dyDescent="0.25">
      <c r="B177" s="3"/>
      <c r="C177" s="15"/>
      <c r="D177" s="30"/>
      <c r="E177" s="30"/>
      <c r="F177" s="16"/>
      <c r="G17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7" s="29"/>
      <c r="J177" s="23"/>
    </row>
    <row r="178" spans="2:10" x14ac:dyDescent="0.25">
      <c r="B178" s="3"/>
      <c r="C178" s="15"/>
      <c r="D178" s="30"/>
      <c r="E178" s="30"/>
      <c r="F178" s="16"/>
      <c r="G17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8" s="29"/>
      <c r="J178" s="23"/>
    </row>
    <row r="179" spans="2:10" x14ac:dyDescent="0.25">
      <c r="B179" s="3"/>
      <c r="C179" s="15"/>
      <c r="D179" s="30"/>
      <c r="E179" s="30"/>
      <c r="F179" s="16"/>
      <c r="G17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9" s="29"/>
      <c r="J179" s="23"/>
    </row>
    <row r="180" spans="2:10" x14ac:dyDescent="0.25">
      <c r="B180" s="3"/>
      <c r="C180" s="15"/>
      <c r="D180" s="30"/>
      <c r="E180" s="30"/>
      <c r="F180" s="16"/>
      <c r="G18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8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0" s="29"/>
      <c r="J180" s="23"/>
    </row>
    <row r="181" spans="2:10" x14ac:dyDescent="0.25">
      <c r="B181" s="3"/>
      <c r="C181" s="15"/>
      <c r="D181" s="30"/>
      <c r="E181" s="30"/>
      <c r="F181" s="16"/>
      <c r="G18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8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1" s="29"/>
      <c r="J181" s="23"/>
    </row>
    <row r="182" spans="2:10" x14ac:dyDescent="0.25">
      <c r="B182" s="3"/>
      <c r="C182" s="15"/>
      <c r="D182" s="30"/>
      <c r="E182" s="30"/>
      <c r="F182" s="16"/>
      <c r="G18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8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2" s="29"/>
      <c r="J182" s="23"/>
    </row>
    <row r="183" spans="2:10" ht="15.75" thickBot="1" x14ac:dyDescent="0.3">
      <c r="B183" s="33"/>
      <c r="C183" s="17"/>
      <c r="D183" s="18"/>
      <c r="E183" s="18"/>
      <c r="F183" s="19"/>
      <c r="G18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8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3" s="27"/>
      <c r="J183" s="25"/>
    </row>
    <row r="184" spans="2:10" x14ac:dyDescent="0.25">
      <c r="B184" s="1" t="str">
        <f>_xlfn.CONCAT("COUNT: ", SUBTOTAL(103,LAPTOP_PRODUCTION[DATE]))</f>
        <v>COUNT: 105</v>
      </c>
      <c r="C184" s="7" t="s">
        <v>22</v>
      </c>
      <c r="D184" s="6">
        <f>SUBTOTAL(109,LAPTOP_PRODUCTION[TYPE])</f>
        <v>0</v>
      </c>
      <c r="E184" s="6">
        <f>SUBTOTAL(109,LAPTOP_PRODUCTION[IN])</f>
        <v>676</v>
      </c>
      <c r="F184" s="6"/>
      <c r="G184" s="6"/>
      <c r="H184" s="6">
        <f>SUBTOTAL(109,LAPTOP_PRODUCTION[TOTAL])</f>
        <v>1394</v>
      </c>
      <c r="I184" s="35"/>
      <c r="J184" s="4"/>
    </row>
    <row r="185" spans="2:10" x14ac:dyDescent="0.25">
      <c r="C185" s="8" t="s">
        <v>23</v>
      </c>
      <c r="D185" s="9">
        <f>SUM(LAPTOP_PRODUCTION[TYPE])</f>
        <v>0</v>
      </c>
      <c r="E185" s="9">
        <f>SUM(LAPTOP_PRODUCTION[TOTAL])</f>
        <v>1394</v>
      </c>
      <c r="F185" s="9" t="e">
        <f>SUM(#REF!)</f>
        <v>#REF!</v>
      </c>
    </row>
  </sheetData>
  <mergeCells count="1">
    <mergeCell ref="C1:D1"/>
  </mergeCells>
  <dataValidations count="2">
    <dataValidation type="list" showInputMessage="1" sqref="C3:C183" xr:uid="{55CC613F-9534-4A84-AEC9-CAE83AEB4514}">
      <formula1>NAMES_INVENTORY</formula1>
    </dataValidation>
    <dataValidation type="list" allowBlank="1" showInputMessage="1" showErrorMessage="1" sqref="D3:D183" xr:uid="{8FD4E85C-EB22-41D9-88D8-8FFB990AE52F}">
      <formula1>NAMES_LAPTOP_MOVEMENTS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I31"/>
  <sheetViews>
    <sheetView topLeftCell="B1" workbookViewId="0">
      <selection activeCell="B9" sqref="B9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6" t="s">
        <v>112</v>
      </c>
      <c r="D1" s="36"/>
      <c r="E1" s="36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45786</v>
      </c>
      <c r="C3" s="12" t="s">
        <v>104</v>
      </c>
      <c r="D3" s="13">
        <v>8</v>
      </c>
      <c r="E3" s="14"/>
      <c r="F3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8</v>
      </c>
      <c r="G3" s="20"/>
      <c r="H3" s="26"/>
      <c r="I3" s="21"/>
    </row>
    <row r="4" spans="2:9" x14ac:dyDescent="0.25">
      <c r="B4" s="3">
        <v>45786</v>
      </c>
      <c r="C4" s="15" t="s">
        <v>106</v>
      </c>
      <c r="D4" s="5">
        <v>3</v>
      </c>
      <c r="E4" s="16"/>
      <c r="F4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3</v>
      </c>
      <c r="G4" s="22"/>
      <c r="H4" s="2"/>
      <c r="I4" s="23"/>
    </row>
    <row r="5" spans="2:9" x14ac:dyDescent="0.25">
      <c r="B5" s="3">
        <v>45786</v>
      </c>
      <c r="C5" s="15" t="s">
        <v>107</v>
      </c>
      <c r="D5" s="5">
        <v>13</v>
      </c>
      <c r="E5" s="16"/>
      <c r="F5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13</v>
      </c>
      <c r="G5" s="22"/>
      <c r="H5" s="2"/>
      <c r="I5" s="23"/>
    </row>
    <row r="6" spans="2:9" x14ac:dyDescent="0.25">
      <c r="B6" s="3">
        <v>45786</v>
      </c>
      <c r="C6" s="15" t="s">
        <v>119</v>
      </c>
      <c r="D6" s="5">
        <v>3</v>
      </c>
      <c r="E6" s="16"/>
      <c r="F6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3</v>
      </c>
      <c r="G6" s="22"/>
      <c r="H6" s="2"/>
      <c r="I6" s="23"/>
    </row>
    <row r="7" spans="2:9" x14ac:dyDescent="0.25">
      <c r="B7" s="3">
        <v>45786</v>
      </c>
      <c r="C7" s="15" t="s">
        <v>109</v>
      </c>
      <c r="D7" s="5">
        <v>22</v>
      </c>
      <c r="E7" s="16"/>
      <c r="F7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22</v>
      </c>
      <c r="G7" s="22"/>
      <c r="H7" s="2"/>
      <c r="I7" s="23"/>
    </row>
    <row r="8" spans="2:9" x14ac:dyDescent="0.25">
      <c r="B8" s="3">
        <v>45786</v>
      </c>
      <c r="C8" s="15" t="s">
        <v>110</v>
      </c>
      <c r="D8" s="5"/>
      <c r="E8" s="16"/>
      <c r="F8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0</v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9" s="22"/>
      <c r="H9" s="31"/>
      <c r="I9" s="23"/>
    </row>
    <row r="10" spans="2:9" x14ac:dyDescent="0.25">
      <c r="B10" s="3"/>
      <c r="C10" s="15"/>
      <c r="D10" s="5"/>
      <c r="E10" s="16"/>
      <c r="F1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0" s="22"/>
      <c r="H10" s="31"/>
      <c r="I10" s="23"/>
    </row>
    <row r="11" spans="2:9" x14ac:dyDescent="0.25">
      <c r="B11" s="3"/>
      <c r="C11" s="15"/>
      <c r="D11" s="5"/>
      <c r="E11" s="16"/>
      <c r="F1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1" s="22"/>
      <c r="H11" s="31"/>
      <c r="I11" s="23"/>
    </row>
    <row r="12" spans="2:9" x14ac:dyDescent="0.25">
      <c r="B12" s="3"/>
      <c r="C12" s="15"/>
      <c r="D12" s="5"/>
      <c r="E12" s="16"/>
      <c r="F12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2" s="22"/>
      <c r="H12" s="31"/>
      <c r="I12" s="23"/>
    </row>
    <row r="13" spans="2:9" x14ac:dyDescent="0.25">
      <c r="B13" s="3"/>
      <c r="C13" s="15"/>
      <c r="D13" s="5"/>
      <c r="E13" s="16"/>
      <c r="F13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3" s="22"/>
      <c r="H13" s="31"/>
      <c r="I13" s="23"/>
    </row>
    <row r="14" spans="2:9" x14ac:dyDescent="0.25">
      <c r="B14" s="3"/>
      <c r="C14" s="15"/>
      <c r="D14" s="5"/>
      <c r="E14" s="16"/>
      <c r="F14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4" s="22"/>
      <c r="H14" s="31"/>
      <c r="I14" s="23"/>
    </row>
    <row r="15" spans="2:9" x14ac:dyDescent="0.25">
      <c r="B15" s="3"/>
      <c r="C15" s="15"/>
      <c r="D15" s="5"/>
      <c r="E15" s="16"/>
      <c r="F1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5" s="22"/>
      <c r="H15" s="31"/>
      <c r="I15" s="23"/>
    </row>
    <row r="16" spans="2:9" x14ac:dyDescent="0.25">
      <c r="B16" s="3"/>
      <c r="C16" s="15"/>
      <c r="D16" s="5"/>
      <c r="E16" s="16"/>
      <c r="F1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6" s="22"/>
      <c r="H16" s="31"/>
      <c r="I16" s="23"/>
    </row>
    <row r="17" spans="2:9" x14ac:dyDescent="0.25">
      <c r="B17" s="3"/>
      <c r="C17" s="15"/>
      <c r="D17" s="5"/>
      <c r="E17" s="16"/>
      <c r="F1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7" s="22"/>
      <c r="H17" s="31"/>
      <c r="I17" s="23"/>
    </row>
    <row r="18" spans="2:9" x14ac:dyDescent="0.25">
      <c r="B18" s="3"/>
      <c r="C18" s="15"/>
      <c r="D18" s="5"/>
      <c r="E18" s="16"/>
      <c r="F1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8" s="22"/>
      <c r="H18" s="31"/>
      <c r="I18" s="23"/>
    </row>
    <row r="19" spans="2:9" x14ac:dyDescent="0.25">
      <c r="B19" s="3"/>
      <c r="C19" s="15"/>
      <c r="D19" s="5"/>
      <c r="E19" s="16"/>
      <c r="F1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9" s="22"/>
      <c r="H19" s="31"/>
      <c r="I19" s="23"/>
    </row>
    <row r="20" spans="2:9" x14ac:dyDescent="0.25">
      <c r="B20" s="3"/>
      <c r="C20" s="15"/>
      <c r="D20" s="5"/>
      <c r="E20" s="16"/>
      <c r="F2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0" s="22"/>
      <c r="H20" s="31"/>
      <c r="I20" s="23"/>
    </row>
    <row r="21" spans="2:9" x14ac:dyDescent="0.25">
      <c r="B21" s="3"/>
      <c r="C21" s="15"/>
      <c r="D21" s="5"/>
      <c r="E21" s="16"/>
      <c r="F2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1" s="22"/>
      <c r="H21" s="31"/>
      <c r="I21" s="23"/>
    </row>
    <row r="22" spans="2:9" x14ac:dyDescent="0.25">
      <c r="B22" s="3"/>
      <c r="C22" s="15"/>
      <c r="D22" s="5"/>
      <c r="E22" s="16"/>
      <c r="F22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2" s="22"/>
      <c r="H22" s="31"/>
      <c r="I22" s="23"/>
    </row>
    <row r="23" spans="2:9" x14ac:dyDescent="0.25">
      <c r="B23" s="3"/>
      <c r="C23" s="15"/>
      <c r="D23" s="5"/>
      <c r="E23" s="16"/>
      <c r="F23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3" s="22"/>
      <c r="H23" s="31"/>
      <c r="I23" s="23"/>
    </row>
    <row r="24" spans="2:9" x14ac:dyDescent="0.25">
      <c r="B24" s="3"/>
      <c r="C24" s="15"/>
      <c r="D24" s="5"/>
      <c r="E24" s="16"/>
      <c r="F24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4" s="22"/>
      <c r="H24" s="31"/>
      <c r="I24" s="23"/>
    </row>
    <row r="25" spans="2:9" x14ac:dyDescent="0.25">
      <c r="B25" s="3"/>
      <c r="C25" s="15"/>
      <c r="D25" s="5"/>
      <c r="E25" s="16"/>
      <c r="F2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5" s="22"/>
      <c r="H25" s="31"/>
      <c r="I25" s="23"/>
    </row>
    <row r="26" spans="2:9" x14ac:dyDescent="0.25">
      <c r="B26" s="3"/>
      <c r="C26" s="15"/>
      <c r="D26" s="5"/>
      <c r="E26" s="16"/>
      <c r="F2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6" s="22"/>
      <c r="H26" s="31"/>
      <c r="I26" s="23"/>
    </row>
    <row r="27" spans="2:9" x14ac:dyDescent="0.25">
      <c r="B27" s="3"/>
      <c r="C27" s="15"/>
      <c r="D27" s="5"/>
      <c r="E27" s="16"/>
      <c r="F2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7" s="22"/>
      <c r="H27" s="2"/>
      <c r="I27" s="23"/>
    </row>
    <row r="28" spans="2:9" x14ac:dyDescent="0.25">
      <c r="B28" s="3"/>
      <c r="C28" s="15"/>
      <c r="D28" s="5"/>
      <c r="E28" s="16"/>
      <c r="F2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8" s="22"/>
      <c r="H28" s="2"/>
      <c r="I28" s="23"/>
    </row>
    <row r="29" spans="2:9" ht="15.75" thickBot="1" x14ac:dyDescent="0.3">
      <c r="C29" s="17"/>
      <c r="D29" s="18"/>
      <c r="E29" s="19"/>
      <c r="F2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9" s="24"/>
      <c r="H29" s="27"/>
      <c r="I29" s="25"/>
    </row>
    <row r="30" spans="2:9" x14ac:dyDescent="0.25">
      <c r="B30" s="1" t="str">
        <f>_xlfn.CONCAT("COUNT: ", SUBTOTAL(103,PRINTER_INVENTORY[DATE]))</f>
        <v>COUNT: 6</v>
      </c>
      <c r="C30" s="7" t="s">
        <v>22</v>
      </c>
      <c r="D30" s="6">
        <f>SUBTOTAL(109,PRINTER_INVENTORY[IN])</f>
        <v>49</v>
      </c>
      <c r="E30" s="6">
        <f>SUBTOTAL(109,PRINTER_INVENTORY[OUT])</f>
        <v>0</v>
      </c>
      <c r="F30" s="6">
        <f>SUBTOTAL(109,PRINTER_INVENTORY[TOTAL])</f>
        <v>49</v>
      </c>
      <c r="G30" s="6">
        <f>SUBTOTAL(109,PRINTER_INVENTORY[BACKJOB])</f>
        <v>0</v>
      </c>
      <c r="H30" s="31"/>
      <c r="I30" s="4"/>
    </row>
    <row r="31" spans="2:9" x14ac:dyDescent="0.25">
      <c r="C31" s="8" t="s">
        <v>23</v>
      </c>
      <c r="D31" s="9">
        <f>SUM(PRINTER_INVENTORY[IN])</f>
        <v>49</v>
      </c>
      <c r="E31" s="9">
        <f>SUM(PRINTER_INVENTORY[OUT])</f>
        <v>0</v>
      </c>
      <c r="F31" s="9">
        <f>SUM(PRINTER_INVENTORY[TOTAL])</f>
        <v>49</v>
      </c>
      <c r="G31" s="9">
        <f>SUM(PRINTER_INVENTORY[BACKJOB])</f>
        <v>0</v>
      </c>
    </row>
  </sheetData>
  <mergeCells count="1">
    <mergeCell ref="C1:E1"/>
  </mergeCells>
  <dataValidations count="1">
    <dataValidation type="list" showInputMessage="1" sqref="C3:C29" xr:uid="{42B3C7F4-B9AE-43B6-98E6-F832E12A2D94}">
      <formula1>NAMES_INVENTORY_PRINTERS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G8"/>
  <sheetViews>
    <sheetView workbookViewId="0">
      <selection activeCell="C12" sqref="C12"/>
    </sheetView>
  </sheetViews>
  <sheetFormatPr defaultRowHeight="15" x14ac:dyDescent="0.25"/>
  <cols>
    <col min="1" max="1" width="5.140625" bestFit="1" customWidth="1"/>
    <col min="2" max="2" width="14.5703125" bestFit="1" customWidth="1"/>
    <col min="3" max="3" width="8" bestFit="1" customWidth="1"/>
    <col min="4" max="4" width="9.5703125" bestFit="1" customWidth="1"/>
    <col min="5" max="5" width="14.5703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101</v>
      </c>
      <c r="B2" t="s">
        <v>104</v>
      </c>
      <c r="C2" t="s">
        <v>105</v>
      </c>
      <c r="E2" t="s">
        <v>104</v>
      </c>
    </row>
    <row r="3" spans="1:7" x14ac:dyDescent="0.25">
      <c r="A3">
        <v>102</v>
      </c>
      <c r="B3" t="s">
        <v>106</v>
      </c>
      <c r="C3" t="s">
        <v>105</v>
      </c>
      <c r="E3" t="s">
        <v>106</v>
      </c>
    </row>
    <row r="4" spans="1:7" x14ac:dyDescent="0.25">
      <c r="A4">
        <v>103</v>
      </c>
      <c r="B4" t="s">
        <v>107</v>
      </c>
      <c r="C4" t="s">
        <v>105</v>
      </c>
      <c r="E4" t="s">
        <v>107</v>
      </c>
    </row>
    <row r="5" spans="1:7" x14ac:dyDescent="0.25">
      <c r="A5">
        <v>104</v>
      </c>
      <c r="B5" t="s">
        <v>119</v>
      </c>
      <c r="C5" t="s">
        <v>105</v>
      </c>
      <c r="E5" t="s">
        <v>119</v>
      </c>
    </row>
    <row r="6" spans="1:7" x14ac:dyDescent="0.25">
      <c r="A6">
        <v>105</v>
      </c>
      <c r="B6" t="s">
        <v>108</v>
      </c>
      <c r="C6" t="s">
        <v>105</v>
      </c>
      <c r="E6" t="s">
        <v>108</v>
      </c>
    </row>
    <row r="7" spans="1:7" x14ac:dyDescent="0.25">
      <c r="A7">
        <v>106</v>
      </c>
      <c r="B7" t="s">
        <v>109</v>
      </c>
      <c r="C7" t="s">
        <v>105</v>
      </c>
      <c r="E7" t="s">
        <v>109</v>
      </c>
    </row>
    <row r="8" spans="1:7" x14ac:dyDescent="0.25">
      <c r="A8">
        <v>107</v>
      </c>
      <c r="B8" t="s">
        <v>110</v>
      </c>
      <c r="C8" t="s">
        <v>105</v>
      </c>
      <c r="E8" t="s">
        <v>110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8343-FAC5-437C-AC9E-D33ADDF791CD}">
  <sheetPr codeName="Sheet11"/>
  <dimension ref="A1:G4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20.7109375" bestFit="1" customWidth="1"/>
    <col min="3" max="3" width="8.140625" bestFit="1" customWidth="1"/>
    <col min="4" max="4" width="9.5703125" bestFit="1" customWidth="1"/>
    <col min="5" max="5" width="8.1406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98</v>
      </c>
      <c r="B2" t="s">
        <v>98</v>
      </c>
      <c r="C2" t="s">
        <v>15</v>
      </c>
      <c r="E2" t="s">
        <v>99</v>
      </c>
      <c r="F2" t="s">
        <v>39</v>
      </c>
      <c r="G2" t="s">
        <v>100</v>
      </c>
    </row>
    <row r="3" spans="1:7" x14ac:dyDescent="0.25">
      <c r="A3">
        <v>99</v>
      </c>
      <c r="B3" t="s">
        <v>101</v>
      </c>
      <c r="C3" t="s">
        <v>15</v>
      </c>
      <c r="E3" t="s">
        <v>102</v>
      </c>
      <c r="F3" t="s">
        <v>40</v>
      </c>
    </row>
    <row r="4" spans="1:7" x14ac:dyDescent="0.25">
      <c r="A4">
        <v>100</v>
      </c>
      <c r="B4" t="s">
        <v>103</v>
      </c>
      <c r="C4" t="s">
        <v>15</v>
      </c>
      <c r="E4" t="s">
        <v>103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I33"/>
  <sheetViews>
    <sheetView topLeftCell="B1" workbookViewId="0">
      <selection activeCell="G4" sqref="G4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9.710937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6" t="s">
        <v>21</v>
      </c>
      <c r="D1" s="36"/>
      <c r="E1" s="36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45780</v>
      </c>
      <c r="C3" s="12" t="s">
        <v>98</v>
      </c>
      <c r="D3" s="13">
        <v>48</v>
      </c>
      <c r="E3" s="14">
        <v>19</v>
      </c>
      <c r="F3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29</v>
      </c>
      <c r="G3" s="20"/>
      <c r="H3" s="26"/>
      <c r="I3" s="21"/>
    </row>
    <row r="4" spans="2:9" x14ac:dyDescent="0.25">
      <c r="B4" s="3">
        <v>45780</v>
      </c>
      <c r="C4" s="15" t="s">
        <v>101</v>
      </c>
      <c r="D4" s="5">
        <v>31</v>
      </c>
      <c r="E4" s="16">
        <v>5</v>
      </c>
      <c r="F4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26</v>
      </c>
      <c r="G4" s="22"/>
      <c r="H4" s="2"/>
      <c r="I4" s="23"/>
    </row>
    <row r="5" spans="2:9" x14ac:dyDescent="0.25">
      <c r="B5" s="3">
        <v>45780</v>
      </c>
      <c r="C5" s="15" t="s">
        <v>103</v>
      </c>
      <c r="D5" s="5">
        <v>84</v>
      </c>
      <c r="E5" s="16">
        <v>14</v>
      </c>
      <c r="F5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70</v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7" s="22"/>
      <c r="H7" s="31"/>
      <c r="I7" s="23"/>
    </row>
    <row r="8" spans="2:9" x14ac:dyDescent="0.25">
      <c r="B8" s="3"/>
      <c r="C8" s="15"/>
      <c r="D8" s="5"/>
      <c r="E8" s="16"/>
      <c r="F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8" s="22"/>
      <c r="H8" s="31"/>
      <c r="I8" s="23"/>
    </row>
    <row r="9" spans="2:9" x14ac:dyDescent="0.25">
      <c r="B9" s="3"/>
      <c r="C9" s="15"/>
      <c r="D9" s="5"/>
      <c r="E9" s="16"/>
      <c r="F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9" s="22"/>
      <c r="H9" s="31"/>
      <c r="I9" s="23"/>
    </row>
    <row r="10" spans="2:9" x14ac:dyDescent="0.25">
      <c r="B10" s="3"/>
      <c r="C10" s="15"/>
      <c r="D10" s="5"/>
      <c r="E10" s="16"/>
      <c r="F1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0" s="22"/>
      <c r="H10" s="31"/>
      <c r="I10" s="23"/>
    </row>
    <row r="11" spans="2:9" x14ac:dyDescent="0.25">
      <c r="B11" s="3"/>
      <c r="C11" s="15"/>
      <c r="D11" s="5"/>
      <c r="E11" s="16"/>
      <c r="F1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1" s="22"/>
      <c r="H11" s="31"/>
      <c r="I11" s="23"/>
    </row>
    <row r="12" spans="2:9" x14ac:dyDescent="0.25">
      <c r="B12" s="3"/>
      <c r="C12" s="15"/>
      <c r="D12" s="5"/>
      <c r="E12" s="16"/>
      <c r="F12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2" s="22"/>
      <c r="H12" s="31"/>
      <c r="I12" s="23"/>
    </row>
    <row r="13" spans="2:9" x14ac:dyDescent="0.25">
      <c r="B13" s="3"/>
      <c r="C13" s="15"/>
      <c r="D13" s="5"/>
      <c r="E13" s="16"/>
      <c r="F13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3" s="22"/>
      <c r="H13" s="31"/>
      <c r="I13" s="23"/>
    </row>
    <row r="14" spans="2:9" x14ac:dyDescent="0.25">
      <c r="B14" s="3"/>
      <c r="C14" s="15"/>
      <c r="D14" s="5"/>
      <c r="E14" s="16"/>
      <c r="F14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4" s="22"/>
      <c r="H14" s="31"/>
      <c r="I14" s="23"/>
    </row>
    <row r="15" spans="2:9" x14ac:dyDescent="0.25">
      <c r="B15" s="3"/>
      <c r="C15" s="15"/>
      <c r="D15" s="5"/>
      <c r="E15" s="16"/>
      <c r="F15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5" s="22"/>
      <c r="H15" s="31"/>
      <c r="I15" s="23"/>
    </row>
    <row r="16" spans="2:9" x14ac:dyDescent="0.25">
      <c r="B16" s="3"/>
      <c r="C16" s="15"/>
      <c r="D16" s="5"/>
      <c r="E16" s="16"/>
      <c r="F1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6" s="22"/>
      <c r="H16" s="31"/>
      <c r="I16" s="23"/>
    </row>
    <row r="17" spans="2:9" x14ac:dyDescent="0.25">
      <c r="B17" s="3"/>
      <c r="C17" s="15"/>
      <c r="D17" s="5"/>
      <c r="E17" s="16"/>
      <c r="F1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7" s="22"/>
      <c r="H17" s="31"/>
      <c r="I17" s="23"/>
    </row>
    <row r="18" spans="2:9" x14ac:dyDescent="0.25">
      <c r="B18" s="3"/>
      <c r="C18" s="15"/>
      <c r="D18" s="5"/>
      <c r="E18" s="16"/>
      <c r="F1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8" s="22"/>
      <c r="H18" s="31"/>
      <c r="I18" s="23"/>
    </row>
    <row r="19" spans="2:9" x14ac:dyDescent="0.25">
      <c r="B19" s="3"/>
      <c r="C19" s="15"/>
      <c r="D19" s="5"/>
      <c r="E19" s="16"/>
      <c r="F1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9" s="22"/>
      <c r="H19" s="31"/>
      <c r="I19" s="23"/>
    </row>
    <row r="20" spans="2:9" x14ac:dyDescent="0.25">
      <c r="B20" s="3"/>
      <c r="C20" s="15"/>
      <c r="D20" s="5"/>
      <c r="E20" s="16"/>
      <c r="F2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0" s="22"/>
      <c r="H20" s="31"/>
      <c r="I20" s="23"/>
    </row>
    <row r="21" spans="2:9" x14ac:dyDescent="0.25">
      <c r="B21" s="3"/>
      <c r="C21" s="15"/>
      <c r="D21" s="5"/>
      <c r="E21" s="16"/>
      <c r="F2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1" s="22"/>
      <c r="H21" s="31"/>
      <c r="I21" s="23"/>
    </row>
    <row r="22" spans="2:9" x14ac:dyDescent="0.25">
      <c r="B22" s="3"/>
      <c r="C22" s="15"/>
      <c r="D22" s="5"/>
      <c r="E22" s="16"/>
      <c r="F22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2" s="22"/>
      <c r="H22" s="31"/>
      <c r="I22" s="23"/>
    </row>
    <row r="23" spans="2:9" x14ac:dyDescent="0.25">
      <c r="B23" s="3"/>
      <c r="C23" s="15"/>
      <c r="D23" s="5"/>
      <c r="E23" s="16"/>
      <c r="F23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3" s="22"/>
      <c r="H23" s="31"/>
      <c r="I23" s="23"/>
    </row>
    <row r="24" spans="2:9" x14ac:dyDescent="0.25">
      <c r="B24" s="3"/>
      <c r="C24" s="15"/>
      <c r="D24" s="5"/>
      <c r="E24" s="16"/>
      <c r="F24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4" s="22"/>
      <c r="H24" s="31"/>
      <c r="I24" s="23"/>
    </row>
    <row r="25" spans="2:9" x14ac:dyDescent="0.25">
      <c r="B25" s="3"/>
      <c r="C25" s="15"/>
      <c r="D25" s="5"/>
      <c r="E25" s="16"/>
      <c r="F25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5" s="22"/>
      <c r="H25" s="31"/>
      <c r="I25" s="23"/>
    </row>
    <row r="26" spans="2:9" x14ac:dyDescent="0.25">
      <c r="B26" s="3"/>
      <c r="C26" s="15"/>
      <c r="D26" s="5"/>
      <c r="E26" s="16"/>
      <c r="F2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6" s="22"/>
      <c r="H26" s="31"/>
      <c r="I26" s="23"/>
    </row>
    <row r="27" spans="2:9" x14ac:dyDescent="0.25">
      <c r="B27" s="3"/>
      <c r="C27" s="15"/>
      <c r="D27" s="5"/>
      <c r="E27" s="16"/>
      <c r="F2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7" s="22"/>
      <c r="H27" s="2"/>
      <c r="I27" s="23"/>
    </row>
    <row r="28" spans="2:9" x14ac:dyDescent="0.25">
      <c r="B28" s="3"/>
      <c r="C28" s="15"/>
      <c r="D28" s="5"/>
      <c r="E28" s="16"/>
      <c r="F2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8" s="22"/>
      <c r="H28" s="2"/>
      <c r="I28" s="23"/>
    </row>
    <row r="29" spans="2:9" x14ac:dyDescent="0.25">
      <c r="B29" s="3"/>
      <c r="C29" s="15"/>
      <c r="D29" s="5"/>
      <c r="E29" s="16"/>
      <c r="F2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9" s="22"/>
      <c r="H29" s="2"/>
      <c r="I29" s="23"/>
    </row>
    <row r="30" spans="2:9" x14ac:dyDescent="0.25">
      <c r="B30" s="3"/>
      <c r="C30" s="15"/>
      <c r="D30" s="5"/>
      <c r="E30" s="16"/>
      <c r="F3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30" s="22"/>
      <c r="H30" s="2"/>
      <c r="I30" s="23"/>
    </row>
    <row r="31" spans="2:9" ht="15.75" thickBot="1" x14ac:dyDescent="0.3">
      <c r="C31" s="28"/>
      <c r="D31" s="18"/>
      <c r="E31" s="19"/>
      <c r="F3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31" s="24"/>
      <c r="H31" s="27"/>
      <c r="I31" s="25"/>
    </row>
    <row r="32" spans="2:9" x14ac:dyDescent="0.25">
      <c r="B32" s="1" t="str">
        <f>_xlfn.CONCAT("COUNT: ", SUBTOTAL(103,PC_INVENTORY[DATE]))</f>
        <v>COUNT: 3</v>
      </c>
      <c r="C32" s="7" t="s">
        <v>22</v>
      </c>
      <c r="D32" s="6">
        <f>SUBTOTAL(109,PC_INVENTORY[IN])</f>
        <v>163</v>
      </c>
      <c r="E32" s="6">
        <f>SUBTOTAL(109,PC_INVENTORY[OUT])</f>
        <v>38</v>
      </c>
      <c r="F32" s="6">
        <f>SUBTOTAL(109,PC_INVENTORY[TOTAL])</f>
        <v>125</v>
      </c>
      <c r="G32" s="6">
        <f>SUBTOTAL(109,PC_INVENTORY[BACKJOB])</f>
        <v>0</v>
      </c>
      <c r="H32" s="31"/>
      <c r="I32" s="4"/>
    </row>
    <row r="33" spans="3:7" x14ac:dyDescent="0.25">
      <c r="C33" s="8" t="s">
        <v>23</v>
      </c>
      <c r="D33" s="9">
        <f>SUM(PC_INVENTORY[IN])</f>
        <v>163</v>
      </c>
      <c r="E33" s="9">
        <f>SUM(PC_INVENTORY[OUT])</f>
        <v>38</v>
      </c>
      <c r="F33" s="9">
        <f>SUM(PC_INVENTORY[TOTAL])</f>
        <v>125</v>
      </c>
      <c r="G33" s="9">
        <f>SUM(PC_INVENTORY[BACKJOB])</f>
        <v>0</v>
      </c>
    </row>
  </sheetData>
  <mergeCells count="1">
    <mergeCell ref="C1:E1"/>
  </mergeCells>
  <dataValidations count="1">
    <dataValidation type="list" showInputMessage="1" sqref="C3:C31" xr:uid="{2F130188-43E5-4BA6-A3D7-1757990F9E32}">
      <formula1>NAMES_INVENTORY_PC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61"/>
  <sheetViews>
    <sheetView zoomScale="107" workbookViewId="0">
      <selection activeCell="E4" sqref="E4"/>
    </sheetView>
  </sheetViews>
  <sheetFormatPr defaultRowHeight="15" x14ac:dyDescent="0.25"/>
  <cols>
    <col min="1" max="1" width="8.85546875" customWidth="1"/>
    <col min="2" max="2" width="29.28515625" style="11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1" bestFit="1" customWidth="1"/>
    <col min="9" max="9" width="18.7109375" customWidth="1"/>
    <col min="10" max="10" width="21.42578125" style="11" bestFit="1" customWidth="1"/>
  </cols>
  <sheetData>
    <row r="1" spans="2:10" x14ac:dyDescent="0.25">
      <c r="C1" s="37" t="s">
        <v>27</v>
      </c>
      <c r="D1" s="37"/>
      <c r="E1" s="37"/>
    </row>
    <row r="2" spans="2:10" ht="14.25" customHeight="1" x14ac:dyDescent="0.25">
      <c r="B2" s="11" t="s">
        <v>1</v>
      </c>
      <c r="C2" s="11" t="s">
        <v>24</v>
      </c>
      <c r="D2" s="11" t="s">
        <v>41</v>
      </c>
      <c r="E2" s="11" t="s">
        <v>44</v>
      </c>
      <c r="F2" s="11" t="s">
        <v>25</v>
      </c>
      <c r="G2" s="11" t="s">
        <v>42</v>
      </c>
      <c r="H2" s="11" t="s">
        <v>16</v>
      </c>
      <c r="I2" s="11" t="s">
        <v>11</v>
      </c>
      <c r="J2" s="11" t="s">
        <v>47</v>
      </c>
    </row>
    <row r="3" spans="2:10" ht="14.25" customHeight="1" x14ac:dyDescent="0.25">
      <c r="B3" s="11" t="s">
        <v>54</v>
      </c>
      <c r="C3" s="10"/>
      <c r="D3" s="10"/>
      <c r="E3" s="10"/>
      <c r="F3" s="10"/>
      <c r="G3" s="10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0"/>
      <c r="J3" s="9">
        <f>IFERROR(TEMPLATE_REGULAR[[#This Row],[TOTAL]] + TEMPLATE_REGULAR[[#This Row],[BACKJOB]], "")</f>
        <v>0</v>
      </c>
    </row>
    <row r="4" spans="2:10" ht="14.25" customHeight="1" x14ac:dyDescent="0.25">
      <c r="B4" s="11" t="s">
        <v>55</v>
      </c>
      <c r="C4" s="10"/>
      <c r="D4" s="10"/>
      <c r="E4" s="10"/>
      <c r="F4" s="10"/>
      <c r="G4" s="10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0"/>
      <c r="J4" s="9">
        <f>IFERROR(TEMPLATE_REGULAR[[#This Row],[TOTAL]] + TEMPLATE_REGULAR[[#This Row],[BACKJOB]], "")</f>
        <v>0</v>
      </c>
    </row>
    <row r="5" spans="2:10" x14ac:dyDescent="0.25">
      <c r="B5" s="11" t="s">
        <v>56</v>
      </c>
      <c r="C5" s="10"/>
      <c r="D5" s="10"/>
      <c r="E5" s="10"/>
      <c r="F5" s="10"/>
      <c r="G5" s="10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0"/>
      <c r="J5" s="9">
        <f>IFERROR(TEMPLATE_REGULAR[[#This Row],[TOTAL]] + TEMPLATE_REGULAR[[#This Row],[BACKJOB]], "")</f>
        <v>0</v>
      </c>
    </row>
    <row r="6" spans="2:10" x14ac:dyDescent="0.25">
      <c r="B6" s="11" t="s">
        <v>30</v>
      </c>
      <c r="C6" s="10"/>
      <c r="D6" s="10"/>
      <c r="E6" s="10"/>
      <c r="F6" s="10"/>
      <c r="G6" s="10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0"/>
      <c r="J6" s="9">
        <f>IFERROR(TEMPLATE_REGULAR[[#This Row],[TOTAL]] + TEMPLATE_REGULAR[[#This Row],[BACKJOB]], "")</f>
        <v>0</v>
      </c>
    </row>
    <row r="7" spans="2:10" x14ac:dyDescent="0.25">
      <c r="B7" s="11" t="s">
        <v>57</v>
      </c>
      <c r="C7" s="10"/>
      <c r="D7" s="10"/>
      <c r="E7" s="10"/>
      <c r="F7" s="10"/>
      <c r="G7" s="10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0"/>
      <c r="J7" s="9">
        <f>IFERROR(TEMPLATE_REGULAR[[#This Row],[TOTAL]] + TEMPLATE_REGULAR[[#This Row],[BACKJOB]], "")</f>
        <v>0</v>
      </c>
    </row>
    <row r="8" spans="2:10" x14ac:dyDescent="0.25">
      <c r="B8" s="11" t="s">
        <v>58</v>
      </c>
      <c r="C8" s="10"/>
      <c r="D8" s="10"/>
      <c r="E8" s="10"/>
      <c r="F8" s="10"/>
      <c r="G8" s="10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0"/>
      <c r="J8" s="9">
        <f>IFERROR(TEMPLATE_REGULAR[[#This Row],[TOTAL]] + TEMPLATE_REGULAR[[#This Row],[BACKJOB]], "")</f>
        <v>0</v>
      </c>
    </row>
    <row r="9" spans="2:10" x14ac:dyDescent="0.25">
      <c r="B9" s="11" t="s">
        <v>59</v>
      </c>
      <c r="C9" s="10"/>
      <c r="D9" s="10"/>
      <c r="E9" s="10"/>
      <c r="F9" s="10"/>
      <c r="G9" s="10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0"/>
      <c r="J9" s="9">
        <f>IFERROR(TEMPLATE_REGULAR[[#This Row],[TOTAL]] + TEMPLATE_REGULAR[[#This Row],[BACKJOB]], "")</f>
        <v>0</v>
      </c>
    </row>
    <row r="10" spans="2:10" x14ac:dyDescent="0.25">
      <c r="B10" s="11" t="s">
        <v>60</v>
      </c>
      <c r="C10" s="10"/>
      <c r="D10" s="10"/>
      <c r="E10" s="10"/>
      <c r="F10" s="10"/>
      <c r="G10" s="10"/>
      <c r="H10" s="9">
        <f>SUM(TEMPLATE_REGULAR[[#This Row],[UNCHECKED]],TEMPLATE_REGULAR[[#This Row],[CHECKED]],TEMPLATE_REGULAR[[#This Row],[ON PROCESS]],TEMPLATE_REGULAR[[#This Row],[CHROME OS]],TEMPLATE_REGULAR[[#This Row],[WINDOWS]])</f>
        <v>0</v>
      </c>
      <c r="I10" s="10"/>
      <c r="J10" s="9">
        <f>IFERROR(TEMPLATE_REGULAR[[#This Row],[TOTAL]] + TEMPLATE_REGULAR[[#This Row],[BACKJOB]], "")</f>
        <v>0</v>
      </c>
    </row>
    <row r="11" spans="2:10" x14ac:dyDescent="0.25">
      <c r="C11" s="10"/>
      <c r="D11" s="10"/>
      <c r="E11" s="10"/>
      <c r="F11" s="10"/>
      <c r="G11" s="10"/>
      <c r="H11" s="9">
        <f>SUM(TEMPLATE_REGULAR[[#This Row],[UNCHECKED]],TEMPLATE_REGULAR[[#This Row],[CHECKED]],TEMPLATE_REGULAR[[#This Row],[ON PROCESS]],TEMPLATE_REGULAR[[#This Row],[CHROME OS]],TEMPLATE_REGULAR[[#This Row],[WINDOWS]])</f>
        <v>0</v>
      </c>
      <c r="I11" s="10"/>
      <c r="J11" s="9">
        <f>IFERROR(TEMPLATE_REGULAR[[#This Row],[TOTAL]] + TEMPLATE_REGULAR[[#This Row],[BACKJOB]], "")</f>
        <v>0</v>
      </c>
    </row>
    <row r="12" spans="2:10" x14ac:dyDescent="0.25">
      <c r="B12" s="11" t="s">
        <v>43</v>
      </c>
      <c r="C12" s="9">
        <f>SUM(TEMPLATE_REGULAR[UNCHECKED])</f>
        <v>0</v>
      </c>
      <c r="D12" s="9">
        <f>SUM(TEMPLATE_REGULAR[CHECKED])</f>
        <v>0</v>
      </c>
      <c r="E12" s="9">
        <f>SUM(TEMPLATE_REGULAR[ON PROCESS])</f>
        <v>0</v>
      </c>
      <c r="F12" s="9">
        <f>SUM(TEMPLATE_REGULAR[CHROME OS])</f>
        <v>0</v>
      </c>
      <c r="G12" s="9">
        <f>SUM(TEMPLATE_REGULAR[WINDOWS])</f>
        <v>0</v>
      </c>
      <c r="H12" s="9">
        <f>SUM(TEMPLATE_REGULAR[TOTAL])</f>
        <v>0</v>
      </c>
      <c r="I12" s="9">
        <f>SUM(TEMPLATE_REGULAR[BACKJOB])</f>
        <v>0</v>
      </c>
      <c r="J12" s="9">
        <f>SUM(TEMPLATE_REGULAR[TOTAL INVENTORY:])</f>
        <v>0</v>
      </c>
    </row>
    <row r="14" spans="2:10" x14ac:dyDescent="0.25">
      <c r="C14" s="37" t="s">
        <v>32</v>
      </c>
      <c r="D14" s="37"/>
      <c r="E14" s="37"/>
    </row>
    <row r="15" spans="2:10" x14ac:dyDescent="0.25">
      <c r="B15" s="11" t="s">
        <v>1</v>
      </c>
      <c r="C15" t="s">
        <v>24</v>
      </c>
      <c r="D15" t="s">
        <v>41</v>
      </c>
      <c r="E15" t="s">
        <v>44</v>
      </c>
      <c r="F15" t="s">
        <v>25</v>
      </c>
      <c r="G15" t="s">
        <v>42</v>
      </c>
      <c r="H15" s="11" t="s">
        <v>43</v>
      </c>
      <c r="I15" t="s">
        <v>11</v>
      </c>
      <c r="J15" s="11" t="s">
        <v>45</v>
      </c>
    </row>
    <row r="16" spans="2:10" x14ac:dyDescent="0.25">
      <c r="B16" s="11" t="s">
        <v>31</v>
      </c>
      <c r="H1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6" s="11">
        <f>IFERROR(TEMPLATE_TOUCHSCREEN[[#This Row],[TOTAL : ]] + TEMPLATE_TOUCHSCREEN[[#This Row],[BACKJOB]], "")</f>
        <v>0</v>
      </c>
    </row>
    <row r="17" spans="2:10" x14ac:dyDescent="0.25">
      <c r="B17" s="11" t="s">
        <v>61</v>
      </c>
      <c r="H17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7" s="11">
        <f>IFERROR(TEMPLATE_TOUCHSCREEN[[#This Row],[TOTAL : ]] + TEMPLATE_TOUCHSCREEN[[#This Row],[BACKJOB]], "")</f>
        <v>0</v>
      </c>
    </row>
    <row r="18" spans="2:10" x14ac:dyDescent="0.25">
      <c r="B18" s="11" t="s">
        <v>62</v>
      </c>
      <c r="H18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8" s="11">
        <f>IFERROR(TEMPLATE_TOUCHSCREEN[[#This Row],[TOTAL : ]] + TEMPLATE_TOUCHSCREEN[[#This Row],[BACKJOB]], "")</f>
        <v>0</v>
      </c>
    </row>
    <row r="19" spans="2:10" x14ac:dyDescent="0.25">
      <c r="B19" s="11" t="s">
        <v>63</v>
      </c>
      <c r="H19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9" s="11">
        <f>IFERROR(TEMPLATE_TOUCHSCREEN[[#This Row],[TOTAL : ]] + TEMPLATE_TOUCHSCREEN[[#This Row],[BACKJOB]], "")</f>
        <v>0</v>
      </c>
    </row>
    <row r="20" spans="2:10" x14ac:dyDescent="0.25">
      <c r="B20" s="11" t="s">
        <v>64</v>
      </c>
      <c r="H20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0" s="11">
        <f>IFERROR(TEMPLATE_TOUCHSCREEN[[#This Row],[TOTAL : ]] + TEMPLATE_TOUCHSCREEN[[#This Row],[BACKJOB]], "")</f>
        <v>0</v>
      </c>
    </row>
    <row r="21" spans="2:10" x14ac:dyDescent="0.25">
      <c r="B21" s="11" t="s">
        <v>65</v>
      </c>
      <c r="H21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1" s="11">
        <f>IFERROR(TEMPLATE_TOUCHSCREEN[[#This Row],[TOTAL : ]] + TEMPLATE_TOUCHSCREEN[[#This Row],[BACKJOB]], "")</f>
        <v>0</v>
      </c>
    </row>
    <row r="22" spans="2:10" x14ac:dyDescent="0.25">
      <c r="B22" s="11" t="s">
        <v>66</v>
      </c>
      <c r="H22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2" s="11">
        <f>IFERROR(TEMPLATE_TOUCHSCREEN[[#This Row],[TOTAL : ]] + TEMPLATE_TOUCHSCREEN[[#This Row],[BACKJOB]], "")</f>
        <v>0</v>
      </c>
    </row>
    <row r="23" spans="2:10" x14ac:dyDescent="0.25">
      <c r="B23" s="11" t="s">
        <v>67</v>
      </c>
      <c r="H23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3" s="11">
        <f>IFERROR(TEMPLATE_TOUCHSCREEN[[#This Row],[TOTAL : ]] + TEMPLATE_TOUCHSCREEN[[#This Row],[BACKJOB]], "")</f>
        <v>0</v>
      </c>
    </row>
    <row r="24" spans="2:10" x14ac:dyDescent="0.25">
      <c r="H24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4" s="11">
        <f>IFERROR(TEMPLATE_TOUCHSCREEN[[#This Row],[TOTAL : ]] + TEMPLATE_TOUCHSCREEN[[#This Row],[BACKJOB]], "")</f>
        <v>0</v>
      </c>
    </row>
    <row r="25" spans="2:10" x14ac:dyDescent="0.25">
      <c r="H25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5" s="11">
        <f>IFERROR(TEMPLATE_TOUCHSCREEN[[#This Row],[TOTAL : ]] + TEMPLATE_TOUCHSCREEN[[#This Row],[BACKJOB]], "")</f>
        <v>0</v>
      </c>
    </row>
    <row r="26" spans="2:10" x14ac:dyDescent="0.25">
      <c r="H2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6" s="11">
        <f>IFERROR(TEMPLATE_TOUCHSCREEN[[#This Row],[TOTAL : ]] + TEMPLATE_TOUCHSCREEN[[#This Row],[BACKJOB]], "")</f>
        <v>0</v>
      </c>
    </row>
    <row r="27" spans="2:10" x14ac:dyDescent="0.25">
      <c r="B27" s="11" t="s">
        <v>43</v>
      </c>
      <c r="C27" s="10">
        <f>SUBTOTAL(109, TEMPLATE_TOUCHSCREEN[UNCHECKED])</f>
        <v>0</v>
      </c>
      <c r="D27" s="10">
        <f>SUBTOTAL(109, TEMPLATE_TOUCHSCREEN[CHECKED])</f>
        <v>0</v>
      </c>
      <c r="E27" s="10">
        <f>SUBTOTAL(109, TEMPLATE_TOUCHSCREEN[ON PROCESS])</f>
        <v>0</v>
      </c>
      <c r="F27" s="10">
        <f>SUBTOTAL(109, TEMPLATE_TOUCHSCREEN[CHROME OS])</f>
        <v>0</v>
      </c>
      <c r="G27" s="10">
        <f>SUBTOTAL(109, TEMPLATE_TOUCHSCREEN[WINDOWS])</f>
        <v>0</v>
      </c>
      <c r="H27" s="9">
        <f>SUBTOTAL(109, TEMPLATE_TOUCHSCREEN[TOTAL : ])</f>
        <v>0</v>
      </c>
      <c r="I27" s="10">
        <f>SUBTOTAL(109, TEMPLATE_TOUCHSCREEN[BACKJOB])</f>
        <v>0</v>
      </c>
      <c r="J27" s="9">
        <f>SUBTOTAL(109, TEMPLATE_TOUCHSCREEN[TOTAL INVENTORY : ])</f>
        <v>0</v>
      </c>
    </row>
    <row r="28" spans="2:10" x14ac:dyDescent="0.25">
      <c r="C28" s="10"/>
      <c r="D28" s="10"/>
      <c r="E28" s="10"/>
      <c r="F28" s="10"/>
      <c r="G28" s="10"/>
      <c r="H28" s="9"/>
      <c r="I28" s="10"/>
      <c r="J28" s="9"/>
    </row>
    <row r="29" spans="2:10" x14ac:dyDescent="0.25">
      <c r="C29" s="37" t="s">
        <v>46</v>
      </c>
      <c r="D29" s="37"/>
      <c r="E29" s="37"/>
    </row>
    <row r="30" spans="2:10" x14ac:dyDescent="0.25">
      <c r="B30" s="11" t="s">
        <v>1</v>
      </c>
      <c r="C30" t="s">
        <v>24</v>
      </c>
      <c r="D30" t="s">
        <v>41</v>
      </c>
      <c r="E30" t="s">
        <v>44</v>
      </c>
      <c r="F30" t="s">
        <v>25</v>
      </c>
      <c r="G30" t="s">
        <v>42</v>
      </c>
      <c r="H30" s="11" t="s">
        <v>43</v>
      </c>
      <c r="I30" t="s">
        <v>11</v>
      </c>
      <c r="J30" s="11" t="s">
        <v>45</v>
      </c>
    </row>
    <row r="31" spans="2:10" x14ac:dyDescent="0.25">
      <c r="B31" s="11" t="s">
        <v>68</v>
      </c>
      <c r="H31" s="11">
        <f>SUM(TEMPLATE_14_INCH[[#This Row],[UNCHECKED]],TEMPLATE_14_INCH[[#This Row],[CHECKED]],TEMPLATE_14_INCH[[#This Row],[ON PROCESS]],TEMPLATE_14_INCH[[#This Row],[CHROME OS]],TEMPLATE_14_INCH[[#This Row],[WINDOWS]])</f>
        <v>0</v>
      </c>
      <c r="J31" s="11">
        <f>IFERROR(TEMPLATE_14_INCH[[#This Row],[TOTAL : ]] + TEMPLATE_14_INCH[[#This Row],[BACKJOB]], "")</f>
        <v>0</v>
      </c>
    </row>
    <row r="32" spans="2:10" x14ac:dyDescent="0.25">
      <c r="B32" s="11" t="s">
        <v>69</v>
      </c>
      <c r="H32" s="11">
        <f>SUM(TEMPLATE_14_INCH[[#This Row],[UNCHECKED]],TEMPLATE_14_INCH[[#This Row],[CHECKED]],TEMPLATE_14_INCH[[#This Row],[ON PROCESS]],TEMPLATE_14_INCH[[#This Row],[CHROME OS]],TEMPLATE_14_INCH[[#This Row],[WINDOWS]])</f>
        <v>0</v>
      </c>
      <c r="J32" s="11">
        <f>IFERROR(TEMPLATE_14_INCH[[#This Row],[TOTAL : ]] + TEMPLATE_14_INCH[[#This Row],[BACKJOB]], "")</f>
        <v>0</v>
      </c>
    </row>
    <row r="33" spans="2:10" x14ac:dyDescent="0.25">
      <c r="B33" s="11" t="s">
        <v>33</v>
      </c>
      <c r="H33" s="11">
        <f>SUM(TEMPLATE_14_INCH[[#This Row],[UNCHECKED]],TEMPLATE_14_INCH[[#This Row],[CHECKED]],TEMPLATE_14_INCH[[#This Row],[ON PROCESS]],TEMPLATE_14_INCH[[#This Row],[CHROME OS]],TEMPLATE_14_INCH[[#This Row],[WINDOWS]])</f>
        <v>0</v>
      </c>
      <c r="J33" s="11">
        <f>IFERROR(TEMPLATE_14_INCH[[#This Row],[TOTAL : ]] + TEMPLATE_14_INCH[[#This Row],[BACKJOB]], "")</f>
        <v>0</v>
      </c>
    </row>
    <row r="34" spans="2:10" x14ac:dyDescent="0.25">
      <c r="B34" s="11" t="s">
        <v>70</v>
      </c>
      <c r="H34" s="11">
        <f>SUM(TEMPLATE_14_INCH[[#This Row],[UNCHECKED]],TEMPLATE_14_INCH[[#This Row],[CHECKED]],TEMPLATE_14_INCH[[#This Row],[ON PROCESS]],TEMPLATE_14_INCH[[#This Row],[CHROME OS]],TEMPLATE_14_INCH[[#This Row],[WINDOWS]])</f>
        <v>0</v>
      </c>
      <c r="J34" s="11">
        <f>IFERROR(TEMPLATE_14_INCH[[#This Row],[TOTAL : ]] + TEMPLATE_14_INCH[[#This Row],[BACKJOB]], "")</f>
        <v>0</v>
      </c>
    </row>
    <row r="35" spans="2:10" x14ac:dyDescent="0.25">
      <c r="B35" s="11" t="s">
        <v>71</v>
      </c>
      <c r="H35" s="11">
        <f>SUM(TEMPLATE_14_INCH[[#This Row],[UNCHECKED]],TEMPLATE_14_INCH[[#This Row],[CHECKED]],TEMPLATE_14_INCH[[#This Row],[ON PROCESS]],TEMPLATE_14_INCH[[#This Row],[CHROME OS]],TEMPLATE_14_INCH[[#This Row],[WINDOWS]])</f>
        <v>0</v>
      </c>
      <c r="J35" s="11">
        <f>IFERROR(TEMPLATE_14_INCH[[#This Row],[TOTAL : ]] + TEMPLATE_14_INCH[[#This Row],[BACKJOB]], "")</f>
        <v>0</v>
      </c>
    </row>
    <row r="36" spans="2:10" x14ac:dyDescent="0.25">
      <c r="B36" s="11" t="s">
        <v>73</v>
      </c>
      <c r="H36" s="11">
        <f>SUM(TEMPLATE_14_INCH[[#This Row],[UNCHECKED]],TEMPLATE_14_INCH[[#This Row],[CHECKED]],TEMPLATE_14_INCH[[#This Row],[ON PROCESS]],TEMPLATE_14_INCH[[#This Row],[CHROME OS]],TEMPLATE_14_INCH[[#This Row],[WINDOWS]])</f>
        <v>0</v>
      </c>
      <c r="J36" s="11">
        <f>IFERROR(TEMPLATE_14_INCH[[#This Row],[TOTAL : ]] + TEMPLATE_14_INCH[[#This Row],[BACKJOB]], "")</f>
        <v>0</v>
      </c>
    </row>
    <row r="37" spans="2:10" x14ac:dyDescent="0.25">
      <c r="B37" s="11" t="s">
        <v>75</v>
      </c>
      <c r="H37" s="11">
        <f>SUM(TEMPLATE_14_INCH[[#This Row],[UNCHECKED]],TEMPLATE_14_INCH[[#This Row],[CHECKED]],TEMPLATE_14_INCH[[#This Row],[ON PROCESS]],TEMPLATE_14_INCH[[#This Row],[CHROME OS]],TEMPLATE_14_INCH[[#This Row],[WINDOWS]])</f>
        <v>0</v>
      </c>
      <c r="J37" s="11">
        <f>IFERROR(TEMPLATE_14_INCH[[#This Row],[TOTAL : ]] + TEMPLATE_14_INCH[[#This Row],[BACKJOB]], "")</f>
        <v>0</v>
      </c>
    </row>
    <row r="38" spans="2:10" x14ac:dyDescent="0.25">
      <c r="B38" s="11" t="s">
        <v>76</v>
      </c>
      <c r="H38" s="11">
        <f>SUM(TEMPLATE_14_INCH[[#This Row],[UNCHECKED]],TEMPLATE_14_INCH[[#This Row],[CHECKED]],TEMPLATE_14_INCH[[#This Row],[ON PROCESS]],TEMPLATE_14_INCH[[#This Row],[CHROME OS]],TEMPLATE_14_INCH[[#This Row],[WINDOWS]])</f>
        <v>0</v>
      </c>
      <c r="J38" s="11">
        <f>IFERROR(TEMPLATE_14_INCH[[#This Row],[TOTAL : ]] + TEMPLATE_14_INCH[[#This Row],[BACKJOB]], "")</f>
        <v>0</v>
      </c>
    </row>
    <row r="39" spans="2:10" ht="15.75" customHeight="1" x14ac:dyDescent="0.25">
      <c r="B39" s="11" t="s">
        <v>77</v>
      </c>
      <c r="H39" s="11">
        <f>SUM(TEMPLATE_14_INCH[[#This Row],[UNCHECKED]],TEMPLATE_14_INCH[[#This Row],[CHECKED]],TEMPLATE_14_INCH[[#This Row],[ON PROCESS]],TEMPLATE_14_INCH[[#This Row],[CHROME OS]],TEMPLATE_14_INCH[[#This Row],[WINDOWS]])</f>
        <v>0</v>
      </c>
      <c r="J39" s="11">
        <f>IFERROR(TEMPLATE_14_INCH[[#This Row],[TOTAL : ]] + TEMPLATE_14_INCH[[#This Row],[BACKJOB]], "")</f>
        <v>0</v>
      </c>
    </row>
    <row r="40" spans="2:10" x14ac:dyDescent="0.25">
      <c r="B40" s="11" t="s">
        <v>78</v>
      </c>
      <c r="H40" s="11">
        <f>SUM(TEMPLATE_14_INCH[[#This Row],[UNCHECKED]],TEMPLATE_14_INCH[[#This Row],[CHECKED]],TEMPLATE_14_INCH[[#This Row],[ON PROCESS]],TEMPLATE_14_INCH[[#This Row],[CHROME OS]],TEMPLATE_14_INCH[[#This Row],[WINDOWS]])</f>
        <v>0</v>
      </c>
      <c r="J40" s="11">
        <f>IFERROR(TEMPLATE_14_INCH[[#This Row],[TOTAL : ]] + TEMPLATE_14_INCH[[#This Row],[BACKJOB]], "")</f>
        <v>0</v>
      </c>
    </row>
    <row r="41" spans="2:10" x14ac:dyDescent="0.25">
      <c r="H41" s="11">
        <f>SUM(TEMPLATE_14_INCH[[#This Row],[UNCHECKED]],TEMPLATE_14_INCH[[#This Row],[CHECKED]],TEMPLATE_14_INCH[[#This Row],[ON PROCESS]],TEMPLATE_14_INCH[[#This Row],[CHROME OS]],TEMPLATE_14_INCH[[#This Row],[WINDOWS]])</f>
        <v>0</v>
      </c>
      <c r="J41" s="11">
        <f>IFERROR(TEMPLATE_14_INCH[[#This Row],[TOTAL : ]] + TEMPLATE_14_INCH[[#This Row],[BACKJOB]], "")</f>
        <v>0</v>
      </c>
    </row>
    <row r="42" spans="2:10" x14ac:dyDescent="0.25">
      <c r="H42" s="11">
        <f>SUM(TEMPLATE_14_INCH[[#This Row],[UNCHECKED]],TEMPLATE_14_INCH[[#This Row],[CHECKED]],TEMPLATE_14_INCH[[#This Row],[ON PROCESS]],TEMPLATE_14_INCH[[#This Row],[CHROME OS]],TEMPLATE_14_INCH[[#This Row],[WINDOWS]])</f>
        <v>0</v>
      </c>
      <c r="J42" s="11">
        <f>IFERROR(TEMPLATE_14_INCH[[#This Row],[TOTAL : ]] + TEMPLATE_14_INCH[[#This Row],[BACKJOB]], "")</f>
        <v>0</v>
      </c>
    </row>
    <row r="43" spans="2:10" x14ac:dyDescent="0.25">
      <c r="H43" s="11">
        <f>SUM(TEMPLATE_14_INCH[[#This Row],[UNCHECKED]],TEMPLATE_14_INCH[[#This Row],[CHECKED]],TEMPLATE_14_INCH[[#This Row],[ON PROCESS]],TEMPLATE_14_INCH[[#This Row],[CHROME OS]],TEMPLATE_14_INCH[[#This Row],[WINDOWS]])</f>
        <v>0</v>
      </c>
      <c r="J43" s="11">
        <f>IFERROR(TEMPLATE_14_INCH[[#This Row],[TOTAL : ]] + TEMPLATE_14_INCH[[#This Row],[BACKJOB]], "")</f>
        <v>0</v>
      </c>
    </row>
    <row r="44" spans="2:10" x14ac:dyDescent="0.25">
      <c r="B44" s="11" t="s">
        <v>43</v>
      </c>
      <c r="C44" s="10">
        <f>SUBTOTAL(109, TEMPLATE_14_INCH[UNCHECKED])</f>
        <v>0</v>
      </c>
      <c r="D44" s="10">
        <f>SUBTOTAL(109, TEMPLATE_14_INCH[CHECKED])</f>
        <v>0</v>
      </c>
      <c r="E44" s="10">
        <f>SUBTOTAL(109, TEMPLATE_14_INCH[ON PROCESS])</f>
        <v>0</v>
      </c>
      <c r="F44" s="10">
        <f>SUBTOTAL(109, TEMPLATE_14_INCH[CHROME OS])</f>
        <v>0</v>
      </c>
      <c r="G44" s="10">
        <f>SUBTOTAL(109, TEMPLATE_14_INCH[WINDOWS])</f>
        <v>0</v>
      </c>
      <c r="H44" s="9">
        <f>SUBTOTAL(109, TEMPLATE_14_INCH[TOTAL : ])</f>
        <v>0</v>
      </c>
      <c r="I44" s="10">
        <f>SUBTOTAL(109, TEMPLATE_14_INCH[BACKJOB])</f>
        <v>0</v>
      </c>
      <c r="J44" s="9">
        <f>SUBTOTAL(109, TEMPLATE_14_INCH[TOTAL INVENTORY : ])</f>
        <v>0</v>
      </c>
    </row>
    <row r="46" spans="2:10" x14ac:dyDescent="0.25">
      <c r="C46" s="37" t="s">
        <v>111</v>
      </c>
      <c r="D46" s="37"/>
      <c r="E46" s="37"/>
    </row>
    <row r="47" spans="2:10" x14ac:dyDescent="0.25">
      <c r="B47" s="11" t="s">
        <v>1</v>
      </c>
      <c r="C47" t="s">
        <v>24</v>
      </c>
      <c r="D47" t="s">
        <v>41</v>
      </c>
      <c r="E47" t="s">
        <v>44</v>
      </c>
      <c r="F47" t="s">
        <v>25</v>
      </c>
      <c r="G47" t="s">
        <v>42</v>
      </c>
      <c r="H47" s="11" t="s">
        <v>43</v>
      </c>
      <c r="I47" t="s">
        <v>11</v>
      </c>
      <c r="J47" s="11" t="s">
        <v>45</v>
      </c>
    </row>
    <row r="48" spans="2:10" x14ac:dyDescent="0.25">
      <c r="B48" s="11" t="s">
        <v>79</v>
      </c>
      <c r="H4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8" s="11">
        <f>IFERROR(TEMPLATE_14_INCH5[[#This Row],[TOTAL : ]] + TEMPLATE_14_INCH5[[#This Row],[BACKJOB]], "")</f>
        <v>0</v>
      </c>
    </row>
    <row r="49" spans="2:10" x14ac:dyDescent="0.25">
      <c r="B49" s="11" t="s">
        <v>80</v>
      </c>
      <c r="H4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9" s="11">
        <f>IFERROR(TEMPLATE_14_INCH5[[#This Row],[TOTAL : ]] + TEMPLATE_14_INCH5[[#This Row],[BACKJOB]], "")</f>
        <v>0</v>
      </c>
    </row>
    <row r="50" spans="2:10" x14ac:dyDescent="0.25">
      <c r="B50" s="11" t="s">
        <v>81</v>
      </c>
      <c r="H5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0" s="11">
        <f>IFERROR(TEMPLATE_14_INCH5[[#This Row],[TOTAL : ]] + TEMPLATE_14_INCH5[[#This Row],[BACKJOB]], "")</f>
        <v>0</v>
      </c>
    </row>
    <row r="51" spans="2:10" x14ac:dyDescent="0.25">
      <c r="B51" s="11" t="s">
        <v>82</v>
      </c>
      <c r="H51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1" s="11">
        <f>IFERROR(TEMPLATE_14_INCH5[[#This Row],[TOTAL : ]] + TEMPLATE_14_INCH5[[#This Row],[BACKJOB]], "")</f>
        <v>0</v>
      </c>
    </row>
    <row r="52" spans="2:10" x14ac:dyDescent="0.25">
      <c r="B52" s="11" t="s">
        <v>83</v>
      </c>
      <c r="H52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2" s="11">
        <f>IFERROR(TEMPLATE_14_INCH5[[#This Row],[TOTAL : ]] + TEMPLATE_14_INCH5[[#This Row],[BACKJOB]], "")</f>
        <v>0</v>
      </c>
    </row>
    <row r="53" spans="2:10" x14ac:dyDescent="0.25">
      <c r="B53" s="11" t="s">
        <v>84</v>
      </c>
      <c r="H53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3" s="11">
        <f>IFERROR(TEMPLATE_14_INCH5[[#This Row],[TOTAL : ]] + TEMPLATE_14_INCH5[[#This Row],[BACKJOB]], "")</f>
        <v>0</v>
      </c>
    </row>
    <row r="54" spans="2:10" x14ac:dyDescent="0.25">
      <c r="B54" s="11" t="s">
        <v>85</v>
      </c>
      <c r="H54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4" s="11">
        <f>IFERROR(TEMPLATE_14_INCH5[[#This Row],[TOTAL : ]] + TEMPLATE_14_INCH5[[#This Row],[BACKJOB]], "")</f>
        <v>0</v>
      </c>
    </row>
    <row r="55" spans="2:10" x14ac:dyDescent="0.25">
      <c r="B55" s="11" t="s">
        <v>86</v>
      </c>
      <c r="H55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5" s="11">
        <f>IFERROR(TEMPLATE_14_INCH5[[#This Row],[TOTAL : ]] + TEMPLATE_14_INCH5[[#This Row],[BACKJOB]], "")</f>
        <v>0</v>
      </c>
    </row>
    <row r="56" spans="2:10" x14ac:dyDescent="0.25">
      <c r="B56" s="11" t="s">
        <v>88</v>
      </c>
      <c r="H56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6" s="11">
        <f>IFERROR(TEMPLATE_14_INCH5[[#This Row],[TOTAL : ]] + TEMPLATE_14_INCH5[[#This Row],[BACKJOB]], "")</f>
        <v>0</v>
      </c>
    </row>
    <row r="57" spans="2:10" x14ac:dyDescent="0.25">
      <c r="B57" s="11" t="s">
        <v>89</v>
      </c>
      <c r="H57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7" s="11">
        <f>IFERROR(TEMPLATE_14_INCH5[[#This Row],[TOTAL : ]] + TEMPLATE_14_INCH5[[#This Row],[BACKJOB]], "")</f>
        <v>0</v>
      </c>
    </row>
    <row r="58" spans="2:10" x14ac:dyDescent="0.25">
      <c r="B58" s="11" t="s">
        <v>90</v>
      </c>
      <c r="H5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8" s="11">
        <f>IFERROR(TEMPLATE_14_INCH5[[#This Row],[TOTAL : ]] + TEMPLATE_14_INCH5[[#This Row],[BACKJOB]], "")</f>
        <v>0</v>
      </c>
    </row>
    <row r="59" spans="2:10" x14ac:dyDescent="0.25">
      <c r="B59" s="11" t="s">
        <v>91</v>
      </c>
      <c r="H5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9" s="11">
        <f>IFERROR(TEMPLATE_14_INCH5[[#This Row],[TOTAL : ]] + TEMPLATE_14_INCH5[[#This Row],[BACKJOB]], "")</f>
        <v>0</v>
      </c>
    </row>
    <row r="60" spans="2:10" x14ac:dyDescent="0.25">
      <c r="H6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60" s="11">
        <f>IFERROR(TEMPLATE_14_INCH5[[#This Row],[TOTAL : ]] + TEMPLATE_14_INCH5[[#This Row],[BACKJOB]], "")</f>
        <v>0</v>
      </c>
    </row>
    <row r="61" spans="2:10" x14ac:dyDescent="0.25">
      <c r="B61" s="11" t="s">
        <v>43</v>
      </c>
      <c r="C61" s="10">
        <f>SUBTOTAL(109, TEMPLATE_14_INCH5[UNCHECKED])</f>
        <v>0</v>
      </c>
      <c r="D61" s="10">
        <f>SUBTOTAL(109, TEMPLATE_14_INCH5[CHECKED])</f>
        <v>0</v>
      </c>
      <c r="E61" s="10">
        <f>SUBTOTAL(109, TEMPLATE_14_INCH5[ON PROCESS])</f>
        <v>0</v>
      </c>
      <c r="F61" s="10">
        <f>SUBTOTAL(109, TEMPLATE_14_INCH5[CHROME OS])</f>
        <v>0</v>
      </c>
      <c r="G61" s="10">
        <f>SUBTOTAL(109, TEMPLATE_14_INCH5[WINDOWS])</f>
        <v>0</v>
      </c>
      <c r="H61" s="9">
        <f>SUBTOTAL(109, TEMPLATE_14_INCH5[TOTAL : ])</f>
        <v>0</v>
      </c>
      <c r="I61" s="10">
        <f>SUBTOTAL(109, TEMPLATE_14_INCH5[BACKJOB])</f>
        <v>0</v>
      </c>
      <c r="J61" s="9">
        <f>SUBTOTAL(109, TEMPLATE_14_INCH5[TOTAL INVENTORY : ])</f>
        <v>0</v>
      </c>
    </row>
  </sheetData>
  <mergeCells count="4">
    <mergeCell ref="C1:E1"/>
    <mergeCell ref="C14:E14"/>
    <mergeCell ref="C29:E29"/>
    <mergeCell ref="C46:E46"/>
  </mergeCells>
  <phoneticPr fontId="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_TBL_INVENTORY_LAPTOP</vt:lpstr>
      <vt:lpstr>LAPTOP</vt:lpstr>
      <vt:lpstr>_TBL_LAPTOP_MOVEMENTS</vt:lpstr>
      <vt:lpstr>LAPTOP PRODUCTION</vt:lpstr>
      <vt:lpstr>PRINTER</vt:lpstr>
      <vt:lpstr>_TBL_INVENTORY_PRINTER</vt:lpstr>
      <vt:lpstr>_TBL_INVENTORY_PC</vt:lpstr>
      <vt:lpstr>PC</vt:lpstr>
      <vt:lpstr>TEMPLATE</vt:lpstr>
      <vt:lpstr>NAMES_INVENTORY_PC</vt:lpstr>
      <vt:lpstr>NAMES_INVENTORY_PRINTERS</vt:lpstr>
      <vt:lpstr>NAMES_LAPTOP_MOVEMENTS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2025-05-10T08:51:53Z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