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2\"/>
    </mc:Choice>
  </mc:AlternateContent>
  <xr:revisionPtr revIDLastSave="0" documentId="13_ncr:1_{532F7DAC-AACE-4F93-B1D6-B2A78A584AD9}" xr6:coauthVersionLast="36" xr6:coauthVersionMax="47" xr10:uidLastSave="{00000000-0000-0000-0000-000000000000}"/>
  <bookViews>
    <workbookView xWindow="-120" yWindow="-120" windowWidth="29040" windowHeight="15720" firstSheet="3" activeTab="3" xr2:uid="{00000000-000D-0000-FFFF-FFFF00000000}"/>
  </bookViews>
  <sheets>
    <sheet name="_TBL_INVENTORY_ADD_ONS" sheetId="4" state="hidden" r:id="rId1"/>
    <sheet name="_TBL_INVENTORY_FREEBIES_SET" sheetId="15" state="hidden" r:id="rId2"/>
    <sheet name="_TBL_FREEBIES_BREAKDOWN" sheetId="12" state="hidden" r:id="rId3"/>
    <sheet name="FREEBIES" sheetId="2" r:id="rId4"/>
    <sheet name="ADD ONS" sheetId="16" r:id="rId5"/>
  </sheets>
  <functionGroups builtInGroupCount="19"/>
  <definedNames>
    <definedName name="ExternalData_1" localSheetId="0" hidden="1">_TBL_INVENTORY_ADD_ONS!$A$2:$G$47</definedName>
    <definedName name="ExternalData_2" localSheetId="1" hidden="1">_TBL_INVENTORY_FREEBIES_SET!$A$1:$E$6</definedName>
    <definedName name="NAMES_ADD_ONS">_TBL_INVENTORY_ADD_ONS[NAME]</definedName>
    <definedName name="NAMES_FREEBIES">_TBL_INVENTORY_FREEBIES_SET[FREEBIES NAME]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2" l="1"/>
  <c r="E3" i="2"/>
  <c r="E6" i="2"/>
  <c r="E7" i="2"/>
  <c r="E8" i="2"/>
  <c r="E9" i="2"/>
  <c r="E10" i="2"/>
  <c r="E11" i="2"/>
  <c r="F4" i="16" l="1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D13" i="2" l="1"/>
  <c r="E62" i="16"/>
  <c r="E61" i="16"/>
  <c r="F3" i="16" l="1"/>
  <c r="F53" i="16"/>
  <c r="F54" i="16"/>
  <c r="F55" i="16"/>
  <c r="F56" i="16"/>
  <c r="F57" i="16"/>
  <c r="F58" i="16"/>
  <c r="F59" i="16"/>
  <c r="F60" i="16"/>
  <c r="D62" i="16" l="1"/>
  <c r="D61" i="16"/>
  <c r="B61" i="16"/>
  <c r="F13" i="12"/>
  <c r="D13" i="12"/>
  <c r="F12" i="12"/>
  <c r="D12" i="12"/>
  <c r="B12" i="12"/>
  <c r="E12" i="12" l="1"/>
  <c r="E13" i="12"/>
  <c r="J2" i="4" a="1"/>
  <c r="J2" i="4" s="1"/>
  <c r="D12" i="2" l="1"/>
  <c r="B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815DB0-BA33-40EE-B2D9-AAEF05D56A01}" keepAlive="1" name="Query - _TBL_INVENTORY_ADD_ONS" description="Connection to the '_TBL_INVENTORY_ADD_ONS' query in the workbook." type="5" refreshedVersion="6" background="1" saveData="1">
    <dbPr connection="Provider=Microsoft.Mashup.OleDb.1;Data Source=$Workbook$;Location=_TBL_INVENTORY_ADD_ONS;Extended Properties=&quot;&quot;" command="SELECT * FROM [_TBL_INVENTORY_ADD_ONS]"/>
  </connection>
  <connection id="2" xr16:uid="{85159E3D-AC24-4314-9534-32A96BD7C7F1}" keepAlive="1" name="Query - _TBL_INVENTORY_FREEBIES_SET" description="Connection to the '_TBL_INVENTORY_FREEBIES_SET' query in the workbook." type="5" refreshedVersion="6" background="1" saveData="1">
    <dbPr connection="Provider=Microsoft.Mashup.OleDb.1;Data Source=$Workbook$;Location=_TBL_INVENTORY_FREEBIES_SET;Extended Properties=&quot;&quot;" command="SELECT * FROM [_TBL_INVENTORY_FREEBIES_SET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<sst xmlns="http://schemas.openxmlformats.org/spreadsheetml/2006/main" count="224" uniqueCount="89">
  <si>
    <t>ID</t>
  </si>
  <si>
    <t>NAME</t>
  </si>
  <si>
    <t>TYPE</t>
  </si>
  <si>
    <t>BRAND</t>
  </si>
  <si>
    <t>CODE</t>
  </si>
  <si>
    <t>SPECS</t>
  </si>
  <si>
    <t>DATE</t>
  </si>
  <si>
    <t>INVENTORY ITEM</t>
  </si>
  <si>
    <t>BACKJOB</t>
  </si>
  <si>
    <t>TOTAL</t>
  </si>
  <si>
    <t>IN</t>
  </si>
  <si>
    <t>OUT</t>
  </si>
  <si>
    <t>REMARKS</t>
  </si>
  <si>
    <t>BOX ID</t>
  </si>
  <si>
    <t xml:space="preserve">TOTAL: </t>
  </si>
  <si>
    <t>ABSOLUTE TOTAL:</t>
  </si>
  <si>
    <t>VARIANT</t>
  </si>
  <si>
    <t>Sytem Intel i5 4th Gen</t>
  </si>
  <si>
    <t>Computer Table</t>
  </si>
  <si>
    <t>Add Ons</t>
  </si>
  <si>
    <t>Keyboard/Mouse</t>
  </si>
  <si>
    <t>Large Mouse pad</t>
  </si>
  <si>
    <t>Wifi-dongle</t>
  </si>
  <si>
    <t>Speaker</t>
  </si>
  <si>
    <t>Webcam</t>
  </si>
  <si>
    <t>VGA</t>
  </si>
  <si>
    <t>Power Cord</t>
  </si>
  <si>
    <t>Laptop Table</t>
  </si>
  <si>
    <t>Mouse</t>
  </si>
  <si>
    <t>Mouse Pad</t>
  </si>
  <si>
    <t>P47 Headphone</t>
  </si>
  <si>
    <t>Laptop Stand</t>
  </si>
  <si>
    <t>Laptop Brush</t>
  </si>
  <si>
    <t>Laptop Bag</t>
  </si>
  <si>
    <t>Stylus Pen</t>
  </si>
  <si>
    <t>SD Card</t>
  </si>
  <si>
    <t>Mic Stand</t>
  </si>
  <si>
    <t>B. Keyboard/M.</t>
  </si>
  <si>
    <t>AVR</t>
  </si>
  <si>
    <t>S.Earphones</t>
  </si>
  <si>
    <t>Powerbank</t>
  </si>
  <si>
    <t>Cool Pad</t>
  </si>
  <si>
    <t>Vacuum Cleaner</t>
  </si>
  <si>
    <t>S.Neckband</t>
  </si>
  <si>
    <t>Selfie Stick</t>
  </si>
  <si>
    <t>W.Speaker B.</t>
  </si>
  <si>
    <t>Micro Stand</t>
  </si>
  <si>
    <t>Extra Base Sony</t>
  </si>
  <si>
    <t>Card Reader</t>
  </si>
  <si>
    <t>TV Box</t>
  </si>
  <si>
    <t>Dynamic S.</t>
  </si>
  <si>
    <t>I Karaoke Box Big</t>
  </si>
  <si>
    <t>I Karaoke Box Small</t>
  </si>
  <si>
    <t>Oudio Bop 12.5</t>
  </si>
  <si>
    <t>Oudio Bop 8.5x3</t>
  </si>
  <si>
    <t>Oudio Bop 8.5x2</t>
  </si>
  <si>
    <t>Big Box</t>
  </si>
  <si>
    <t>Small Box</t>
  </si>
  <si>
    <t>Echo Bag</t>
  </si>
  <si>
    <t>Paper Cutter</t>
  </si>
  <si>
    <t>Laminator</t>
  </si>
  <si>
    <t>1080p Sports Cam</t>
  </si>
  <si>
    <t>Helmet</t>
  </si>
  <si>
    <t>Cherry Mobile</t>
  </si>
  <si>
    <t>FREEBIES NAME</t>
  </si>
  <si>
    <t>DETAILS</t>
  </si>
  <si>
    <t>8 Freebies</t>
  </si>
  <si>
    <t>Mix And Match  Helmet</t>
  </si>
  <si>
    <t>Mix And Match  Action Cam</t>
  </si>
  <si>
    <t>Mix And Match  Cherry Mobile</t>
  </si>
  <si>
    <t>when there is out</t>
  </si>
  <si>
    <t>in freebies table</t>
  </si>
  <si>
    <t>FREEBIES INVENTORY</t>
  </si>
  <si>
    <t>ADD ONS INVENTORY</t>
  </si>
  <si>
    <t>FREEBIES AND ADD ONS MAIN INVENTORY</t>
  </si>
  <si>
    <t>get all the componen</t>
  </si>
  <si>
    <t>ts in that set and</t>
  </si>
  <si>
    <t>output a table here</t>
  </si>
  <si>
    <t xml:space="preserve">to be used as actual </t>
  </si>
  <si>
    <t>inventory</t>
  </si>
  <si>
    <t>Mouse, table, Laptop Bag, Laptop Brush, Laptop Stand, Charger, Mouse Pad, P47 Headphone</t>
  </si>
  <si>
    <t>Action Cam</t>
  </si>
  <si>
    <t>CURRENT STOCK</t>
  </si>
  <si>
    <t>PRICE</t>
  </si>
  <si>
    <t>FREEBIES</t>
  </si>
  <si>
    <t>PRINTER SET</t>
  </si>
  <si>
    <t>ADD ONS</t>
  </si>
  <si>
    <t>VGA, Laminator, Sheets</t>
  </si>
  <si>
    <t>CONTENT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</si>
</sst>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1" fontId="2" fillId="0" borderId="0" xfId="0" applyNumberFormat="1" applyFont="1"/>
    <xf numFmtId="0" fontId="0" fillId="0" borderId="1" xfId="0" applyBorder="1" applyAlignment="1">
      <alignment horizontal="left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1" fontId="0" fillId="0" borderId="5" xfId="0" applyNumberFormat="1" applyBorder="1" applyAlignment="1">
      <alignment horizontal="center"/>
    </xf>
    <xf numFmtId="0" fontId="1" fillId="0" borderId="6" xfId="0" applyFont="1" applyBorder="1" applyAlignment="1">
      <alignment horizontal="left"/>
    </xf>
    <xf numFmtId="1" fontId="0" fillId="0" borderId="8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/>
    <xf numFmtId="1" fontId="0" fillId="0" borderId="0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0" xfId="0" applyAlignment="1">
      <alignment horizontal="left" wrapText="1"/>
    </xf>
    <xf numFmtId="1" fontId="0" fillId="0" borderId="0" xfId="0" applyNumberFormat="1" applyAlignment="1">
      <alignment horizontal="left" wrapText="1"/>
    </xf>
    <xf numFmtId="1" fontId="2" fillId="0" borderId="0" xfId="0" applyNumberFormat="1" applyFont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54"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left" vertical="bottom" textRotation="0" wrapText="1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1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E4AD0DC-6E41-4139-AC18-0CCC8BBE421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A03E3D4-EE98-46C7-A9E7-68FC97BC7DE1}" autoFormatId="16" applyNumberFormats="0" applyBorderFormats="0" applyFontFormats="0" applyPatternFormats="0" applyAlignmentFormats="0" applyWidthHeightFormats="0">
  <queryTableRefresh nextId="14">
    <queryTableFields count="5">
      <queryTableField id="1" name="ID" tableColumnId="1"/>
      <queryTableField id="8" name="FREEBIES NAME" tableColumnId="2"/>
      <queryTableField id="10" name="PRICE" tableColumnId="4"/>
      <queryTableField id="11" name="TYPE" tableColumnId="5"/>
      <queryTableField id="9" name="DETAILS" tableColumnId="3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9B10892-250F-4ADB-ADD3-9EEB2933094B}" name="_TBL_INVENTORY_ADD_ONS" displayName="_TBL_INVENTORY_ADD_ONS" ref="A2:G47" tableType="queryTable" totalsRowShown="0">
  <autoFilter ref="A2:G47" xr:uid="{C9B10892-250F-4ADB-ADD3-9EEB2933094B}"/>
  <tableColumns count="7">
    <tableColumn id="1" xr3:uid="{503B598F-579D-44DA-8DC4-2B1F29F935F9}" uniqueName="1" name="ID" queryTableFieldId="1"/>
    <tableColumn id="2" xr3:uid="{93FEA06D-F155-4B44-AF83-80C84021889D}" uniqueName="2" name="NAME" queryTableFieldId="2" dataDxfId="53"/>
    <tableColumn id="3" xr3:uid="{72D63A58-4BF9-4348-9278-03658337BDE4}" uniqueName="3" name="TYPE" queryTableFieldId="3" dataDxfId="52"/>
    <tableColumn id="4" xr3:uid="{C1D1FE9A-E7D1-49CB-990A-521223F02F2F}" uniqueName="4" name="BRAND" queryTableFieldId="4" dataDxfId="51"/>
    <tableColumn id="5" xr3:uid="{6A522385-7131-4700-B14C-7A2CC7322CB4}" uniqueName="5" name="CODE" queryTableFieldId="5" dataDxfId="50"/>
    <tableColumn id="6" xr3:uid="{357B56B4-AAF6-43D4-AEAD-F93F1453D095}" uniqueName="6" name="VARIANT" queryTableFieldId="6" dataDxfId="49"/>
    <tableColumn id="7" xr3:uid="{A6335F81-8B2A-4D68-A3D4-C528C11BFB62}" uniqueName="7" name="SPECS" queryTableFieldId="7" dataDxfId="4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548F842-4FA7-440F-90B8-6E24EEC8F7B0}" name="_TBL_INVENTORY_FREEBIES_SET" displayName="_TBL_INVENTORY_FREEBIES_SET" ref="A1:E6" tableType="queryTable" totalsRowShown="0">
  <autoFilter ref="A1:E6" xr:uid="{33010FBF-BCFC-42C9-B7D9-CB7393173D03}"/>
  <tableColumns count="5">
    <tableColumn id="1" xr3:uid="{5299D878-FE73-47CF-A561-624DBCBB9775}" uniqueName="1" name="ID" queryTableFieldId="1"/>
    <tableColumn id="2" xr3:uid="{55FAB808-CA78-404D-AC74-7D7ECA5D5465}" uniqueName="2" name="FREEBIES NAME" queryTableFieldId="8" dataDxfId="47"/>
    <tableColumn id="4" xr3:uid="{DD65CFED-EE92-45DA-A0C5-582ADB4EA9B6}" uniqueName="4" name="PRICE" queryTableFieldId="10"/>
    <tableColumn id="5" xr3:uid="{BD832B89-B459-4522-8D4E-B4F2A23FA3ED}" uniqueName="5" name="TYPE" queryTableFieldId="11"/>
    <tableColumn id="3" xr3:uid="{8717FCC9-75CE-4B67-B926-5987A128C70E}" uniqueName="3" name="DETAILS" queryTableFieldId="9" dataDxfId="4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207D0A-9424-402F-BB3F-458432196C56}" name="_TBL_FREEBIES_BREAKDOWN" displayName="_TBL_FREEBIES_BREAKDOWN" ref="B2:H12" totalsRowCount="1" headerRowDxfId="45" dataDxfId="44">
  <autoFilter ref="B2:H11" xr:uid="{CCD5F1A0-C195-4E63-936A-43706ADC2989}"/>
  <tableColumns count="7">
    <tableColumn id="1" xr3:uid="{5CDACDCD-B7D4-42C8-B4FF-47907B56A404}" name="DATE" totalsRowFunction="custom" dataDxfId="43" totalsRowDxfId="42">
      <totalsRowFormula>_xlfn.CONCAT("COUNT: ", SUBTOTAL(103,_TBL_FREEBIES_BREAKDOWN[DATE]))</totalsRowFormula>
    </tableColumn>
    <tableColumn id="2" xr3:uid="{08580266-0DDD-4E86-9243-2AF1790ECE07}" name="INVENTORY ITEM" totalsRowLabel="TOTAL: " dataDxfId="41" totalsRowDxfId="40"/>
    <tableColumn id="5" xr3:uid="{CB8D2757-17B5-469D-953A-BEDD5875E951}" name="OUT" totalsRowFunction="sum" dataDxfId="39" totalsRowDxfId="38"/>
    <tableColumn id="7" xr3:uid="{BC557211-9C16-47D6-91D1-61EDD9A83964}" name="TOTAL" totalsRowFunction="sum" dataDxfId="37" totalsRowDxfId="36">
      <calculatedColumnFormula>IF(#REF!+_TBL_FREEBIES_BREAKDOWN[[#This Row],[OUT]]&lt;&gt; 0,#REF!+ _TBL_FREEBIES_BREAKDOWN[[#This Row],[OUT]], "")</calculatedColumnFormula>
    </tableColumn>
    <tableColumn id="8" xr3:uid="{4C3A2717-F384-4642-BCAC-B5866A114693}" name="BACKJOB" totalsRowFunction="sum" dataDxfId="35" totalsRowDxfId="34"/>
    <tableColumn id="10" xr3:uid="{C7D3AE44-6094-4DCE-B4E5-08594544FB4D}" name="REMARKS" dataDxfId="33" totalsRowDxfId="32"/>
    <tableColumn id="12" xr3:uid="{086DEEC2-01C5-475F-879A-B8A691B2E288}" name="BOX ID" dataDxfId="31" totalsRowDxfId="3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FREEBIES_INVENTORY" displayName="FREEBIES_INVENTORY" ref="B2:G12" totalsRowCount="1" headerRowDxfId="29" dataDxfId="28">
  <autoFilter ref="B2:G11" xr:uid="{11196D4F-0C08-44E6-8845-054A162CF400}"/>
  <tableColumns count="6">
    <tableColumn id="1" xr3:uid="{7E5944E0-EEF7-48BA-9C65-2A065AAFA2D9}" name="DATE" totalsRowFunction="custom" dataDxfId="27" totalsRowDxfId="5">
      <totalsRowFormula>_xlfn.CONCAT("COUNT: ", SUBTOTAL(103,FREEBIES_INVENTORY[DATE]))</totalsRowFormula>
    </tableColumn>
    <tableColumn id="2" xr3:uid="{6346439F-B17B-42E4-B169-E92F350D30A5}" name="INVENTORY ITEM" totalsRowLabel="TOTAL: " dataDxfId="26" totalsRowDxfId="4"/>
    <tableColumn id="5" xr3:uid="{20315BED-21B2-403E-9EB7-F0CC6C891D05}" name="OUT" totalsRowFunction="sum" dataDxfId="25" totalsRowDxfId="3"/>
    <tableColumn id="3" xr3:uid="{731708A8-A7BA-4BAF-AB14-D6A8E3EFB9F5}" name="CONTENT" dataDxfId="6" totalsRowDxfId="2">
      <calculatedColumnFormula>IFERROR(VLOOKUP(FREEBIES_INVENTORY[[#This Row],[INVENTORY ITEM]],_TBL_INVENTORY_FREEBIES_SET[[FREEBIES NAME]:[DETAILS]], 4),"")</calculatedColumnFormula>
    </tableColumn>
    <tableColumn id="10" xr3:uid="{1B6A8F81-4CD3-412F-B3A2-C032710C5771}" name="REMARKS" dataDxfId="24" totalsRowDxfId="1"/>
    <tableColumn id="12" xr3:uid="{161DBC59-E0E9-488B-9D75-AD60C50E18B7}" name="BOX ID" dataDxfId="23" totalsRow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CDFDCB-CE0D-4B06-940A-5F27DEC0B1EA}" name="_TBL_ADD_ONS_IN" displayName="_TBL_ADD_ONS_IN" ref="B2:H61" totalsRowCount="1" headerRowDxfId="22" dataDxfId="21">
  <autoFilter ref="B2:H60" xr:uid="{FECDFDCB-CE0D-4B06-940A-5F27DEC0B1EA}"/>
  <tableColumns count="7">
    <tableColumn id="1" xr3:uid="{7878D738-6F3F-43B6-9888-8FA33CEB6D3C}" name="DATE" totalsRowFunction="custom" dataDxfId="20" totalsRowDxfId="13">
      <totalsRowFormula>_xlfn.CONCAT("COUNT: ", SUBTOTAL(103,_TBL_ADD_ONS_IN[DATE]))</totalsRowFormula>
    </tableColumn>
    <tableColumn id="2" xr3:uid="{AE58DF75-011B-45FE-AEB1-2FE90FF38C27}" name="INVENTORY ITEM" totalsRowLabel="TOTAL: " dataDxfId="19" totalsRowDxfId="12"/>
    <tableColumn id="4" xr3:uid="{2D3AD1AC-A23C-4179-90D6-4D30DF3A3486}" name="IN" totalsRowFunction="sum" dataDxfId="18" totalsRowDxfId="11"/>
    <tableColumn id="3" xr3:uid="{8EE826D3-7362-496A-8409-90A13CD22D7D}" name="OUT" totalsRowFunction="sum" dataDxfId="17" totalsRowDxfId="10"/>
    <tableColumn id="7" xr3:uid="{E9FA0FF2-F0A4-4FB0-8D19-8025674EC1E2}" name="CURRENT STOCK" dataDxfId="16" totalsRowDxfId="9">
      <calculatedColumnFormula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calculatedColumnFormula>
    </tableColumn>
    <tableColumn id="10" xr3:uid="{B73131B1-576B-4ED8-9F38-D370C20634EC}" name="REMARKS" dataDxfId="15" totalsRowDxfId="8"/>
    <tableColumn id="12" xr3:uid="{5254B59C-16CD-4988-8B85-93BD8DEAC78E}" name="BOX ID" dataDxfId="14" totalsRow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2:J47"/>
  <sheetViews>
    <sheetView topLeftCell="A4" workbookViewId="0">
      <selection activeCell="B30" sqref="B30"/>
    </sheetView>
  </sheetViews>
  <sheetFormatPr defaultRowHeight="15" x14ac:dyDescent="0.25"/>
  <cols>
    <col min="1" max="1" width="5.140625" bestFit="1" customWidth="1"/>
    <col min="2" max="2" width="18.42578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1.28515625" bestFit="1" customWidth="1"/>
    <col min="7" max="7" width="8.5703125" bestFit="1" customWidth="1"/>
    <col min="10" max="10" width="49.28515625" customWidth="1"/>
  </cols>
  <sheetData>
    <row r="2" spans="1:1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16</v>
      </c>
      <c r="G2" t="s">
        <v>5</v>
      </c>
      <c r="J2" t="e" cm="1">
        <f t="array" aca="1" ref="J2" ca="1">_xlfn._xlws.FILTER(_TBL_INVENTORY_ADD_ONS[NAME], _TBL_INVENTORY_ADD_ONS[VARIANT] = "14'")</f>
        <v>#NAME?</v>
      </c>
    </row>
    <row r="3" spans="1:10" x14ac:dyDescent="0.25">
      <c r="A3">
        <v>53</v>
      </c>
      <c r="B3" t="s">
        <v>18</v>
      </c>
      <c r="C3" t="s">
        <v>19</v>
      </c>
      <c r="E3" t="s">
        <v>18</v>
      </c>
    </row>
    <row r="4" spans="1:10" x14ac:dyDescent="0.25">
      <c r="A4">
        <v>54</v>
      </c>
      <c r="B4" t="s">
        <v>20</v>
      </c>
      <c r="C4" t="s">
        <v>19</v>
      </c>
      <c r="E4" t="s">
        <v>20</v>
      </c>
    </row>
    <row r="5" spans="1:10" x14ac:dyDescent="0.25">
      <c r="A5">
        <v>55</v>
      </c>
      <c r="B5" t="s">
        <v>21</v>
      </c>
      <c r="C5" t="s">
        <v>19</v>
      </c>
      <c r="E5" t="s">
        <v>21</v>
      </c>
    </row>
    <row r="6" spans="1:10" x14ac:dyDescent="0.25">
      <c r="A6">
        <v>56</v>
      </c>
      <c r="B6" t="s">
        <v>22</v>
      </c>
      <c r="C6" t="s">
        <v>19</v>
      </c>
      <c r="E6" t="s">
        <v>22</v>
      </c>
    </row>
    <row r="7" spans="1:10" x14ac:dyDescent="0.25">
      <c r="A7">
        <v>57</v>
      </c>
      <c r="B7" t="s">
        <v>23</v>
      </c>
      <c r="C7" t="s">
        <v>19</v>
      </c>
      <c r="E7" t="s">
        <v>23</v>
      </c>
    </row>
    <row r="8" spans="1:10" x14ac:dyDescent="0.25">
      <c r="A8">
        <v>58</v>
      </c>
      <c r="B8" t="s">
        <v>24</v>
      </c>
      <c r="C8" t="s">
        <v>19</v>
      </c>
      <c r="E8" t="s">
        <v>24</v>
      </c>
    </row>
    <row r="9" spans="1:10" x14ac:dyDescent="0.25">
      <c r="A9">
        <v>59</v>
      </c>
      <c r="B9" t="s">
        <v>25</v>
      </c>
      <c r="C9" t="s">
        <v>19</v>
      </c>
      <c r="E9" t="s">
        <v>25</v>
      </c>
    </row>
    <row r="10" spans="1:10" x14ac:dyDescent="0.25">
      <c r="A10">
        <v>60</v>
      </c>
      <c r="B10" t="s">
        <v>26</v>
      </c>
      <c r="C10" t="s">
        <v>19</v>
      </c>
      <c r="E10" t="s">
        <v>26</v>
      </c>
    </row>
    <row r="11" spans="1:10" x14ac:dyDescent="0.25">
      <c r="A11">
        <v>61</v>
      </c>
      <c r="B11" t="s">
        <v>27</v>
      </c>
      <c r="C11" t="s">
        <v>19</v>
      </c>
      <c r="E11" t="s">
        <v>27</v>
      </c>
    </row>
    <row r="12" spans="1:10" x14ac:dyDescent="0.25">
      <c r="A12">
        <v>62</v>
      </c>
      <c r="B12" t="s">
        <v>28</v>
      </c>
      <c r="C12" t="s">
        <v>19</v>
      </c>
      <c r="E12" t="s">
        <v>28</v>
      </c>
    </row>
    <row r="13" spans="1:10" x14ac:dyDescent="0.25">
      <c r="A13">
        <v>63</v>
      </c>
      <c r="B13" t="s">
        <v>29</v>
      </c>
      <c r="C13" t="s">
        <v>19</v>
      </c>
      <c r="E13" t="s">
        <v>29</v>
      </c>
    </row>
    <row r="14" spans="1:10" x14ac:dyDescent="0.25">
      <c r="A14">
        <v>64</v>
      </c>
      <c r="B14" t="s">
        <v>30</v>
      </c>
      <c r="C14" t="s">
        <v>19</v>
      </c>
      <c r="E14" t="s">
        <v>30</v>
      </c>
    </row>
    <row r="15" spans="1:10" x14ac:dyDescent="0.25">
      <c r="A15">
        <v>65</v>
      </c>
      <c r="B15" t="s">
        <v>31</v>
      </c>
      <c r="C15" t="s">
        <v>19</v>
      </c>
      <c r="E15" t="s">
        <v>31</v>
      </c>
    </row>
    <row r="16" spans="1:10" x14ac:dyDescent="0.25">
      <c r="A16">
        <v>66</v>
      </c>
      <c r="B16" t="s">
        <v>32</v>
      </c>
      <c r="C16" t="s">
        <v>19</v>
      </c>
      <c r="E16" t="s">
        <v>32</v>
      </c>
    </row>
    <row r="17" spans="1:5" x14ac:dyDescent="0.25">
      <c r="A17">
        <v>67</v>
      </c>
      <c r="B17" t="s">
        <v>33</v>
      </c>
      <c r="C17" t="s">
        <v>19</v>
      </c>
      <c r="E17" t="s">
        <v>33</v>
      </c>
    </row>
    <row r="18" spans="1:5" x14ac:dyDescent="0.25">
      <c r="A18">
        <v>68</v>
      </c>
      <c r="B18" t="s">
        <v>34</v>
      </c>
      <c r="C18" t="s">
        <v>19</v>
      </c>
      <c r="E18" t="s">
        <v>34</v>
      </c>
    </row>
    <row r="19" spans="1:5" x14ac:dyDescent="0.25">
      <c r="A19">
        <v>69</v>
      </c>
      <c r="B19" t="s">
        <v>35</v>
      </c>
      <c r="C19" t="s">
        <v>19</v>
      </c>
      <c r="E19" t="s">
        <v>35</v>
      </c>
    </row>
    <row r="20" spans="1:5" x14ac:dyDescent="0.25">
      <c r="A20">
        <v>70</v>
      </c>
      <c r="B20" t="s">
        <v>36</v>
      </c>
      <c r="C20" t="s">
        <v>19</v>
      </c>
      <c r="E20" t="s">
        <v>36</v>
      </c>
    </row>
    <row r="21" spans="1:5" x14ac:dyDescent="0.25">
      <c r="A21">
        <v>71</v>
      </c>
      <c r="B21" t="s">
        <v>37</v>
      </c>
      <c r="C21" t="s">
        <v>19</v>
      </c>
      <c r="E21" t="s">
        <v>37</v>
      </c>
    </row>
    <row r="22" spans="1:5" x14ac:dyDescent="0.25">
      <c r="A22">
        <v>72</v>
      </c>
      <c r="B22" t="s">
        <v>38</v>
      </c>
      <c r="C22" t="s">
        <v>19</v>
      </c>
      <c r="E22" t="s">
        <v>38</v>
      </c>
    </row>
    <row r="23" spans="1:5" x14ac:dyDescent="0.25">
      <c r="A23">
        <v>73</v>
      </c>
      <c r="B23" t="s">
        <v>39</v>
      </c>
      <c r="C23" t="s">
        <v>19</v>
      </c>
      <c r="E23" t="s">
        <v>39</v>
      </c>
    </row>
    <row r="24" spans="1:5" x14ac:dyDescent="0.25">
      <c r="A24">
        <v>74</v>
      </c>
      <c r="B24" t="s">
        <v>40</v>
      </c>
      <c r="C24" t="s">
        <v>19</v>
      </c>
      <c r="E24" t="s">
        <v>40</v>
      </c>
    </row>
    <row r="25" spans="1:5" x14ac:dyDescent="0.25">
      <c r="A25">
        <v>75</v>
      </c>
      <c r="B25" t="s">
        <v>41</v>
      </c>
      <c r="C25" t="s">
        <v>19</v>
      </c>
      <c r="E25" t="s">
        <v>41</v>
      </c>
    </row>
    <row r="26" spans="1:5" x14ac:dyDescent="0.25">
      <c r="A26">
        <v>76</v>
      </c>
      <c r="B26" t="s">
        <v>42</v>
      </c>
      <c r="C26" t="s">
        <v>19</v>
      </c>
      <c r="E26" t="s">
        <v>42</v>
      </c>
    </row>
    <row r="27" spans="1:5" x14ac:dyDescent="0.25">
      <c r="A27">
        <v>77</v>
      </c>
      <c r="B27" t="s">
        <v>43</v>
      </c>
      <c r="C27" t="s">
        <v>19</v>
      </c>
      <c r="E27" t="s">
        <v>43</v>
      </c>
    </row>
    <row r="28" spans="1:5" x14ac:dyDescent="0.25">
      <c r="A28">
        <v>78</v>
      </c>
      <c r="B28" t="s">
        <v>44</v>
      </c>
      <c r="C28" t="s">
        <v>19</v>
      </c>
      <c r="E28" t="s">
        <v>44</v>
      </c>
    </row>
    <row r="29" spans="1:5" x14ac:dyDescent="0.25">
      <c r="A29">
        <v>79</v>
      </c>
      <c r="B29" t="s">
        <v>45</v>
      </c>
      <c r="C29" t="s">
        <v>19</v>
      </c>
      <c r="E29" t="s">
        <v>45</v>
      </c>
    </row>
    <row r="30" spans="1:5" x14ac:dyDescent="0.25">
      <c r="A30">
        <v>80</v>
      </c>
      <c r="B30" t="s">
        <v>46</v>
      </c>
      <c r="C30" t="s">
        <v>19</v>
      </c>
      <c r="E30" t="s">
        <v>46</v>
      </c>
    </row>
    <row r="31" spans="1:5" x14ac:dyDescent="0.25">
      <c r="A31">
        <v>81</v>
      </c>
      <c r="B31" t="s">
        <v>47</v>
      </c>
      <c r="C31" t="s">
        <v>19</v>
      </c>
      <c r="E31" t="s">
        <v>47</v>
      </c>
    </row>
    <row r="32" spans="1:5" x14ac:dyDescent="0.25">
      <c r="A32">
        <v>82</v>
      </c>
      <c r="B32" t="s">
        <v>48</v>
      </c>
      <c r="C32" t="s">
        <v>19</v>
      </c>
      <c r="E32" t="s">
        <v>48</v>
      </c>
    </row>
    <row r="33" spans="1:5" x14ac:dyDescent="0.25">
      <c r="A33">
        <v>83</v>
      </c>
      <c r="B33" t="s">
        <v>49</v>
      </c>
      <c r="C33" t="s">
        <v>19</v>
      </c>
      <c r="E33" t="s">
        <v>49</v>
      </c>
    </row>
    <row r="34" spans="1:5" x14ac:dyDescent="0.25">
      <c r="A34">
        <v>84</v>
      </c>
      <c r="B34" t="s">
        <v>50</v>
      </c>
      <c r="C34" t="s">
        <v>19</v>
      </c>
      <c r="E34" t="s">
        <v>50</v>
      </c>
    </row>
    <row r="35" spans="1:5" x14ac:dyDescent="0.25">
      <c r="A35">
        <v>85</v>
      </c>
      <c r="B35" t="s">
        <v>51</v>
      </c>
      <c r="C35" t="s">
        <v>19</v>
      </c>
      <c r="E35" t="s">
        <v>51</v>
      </c>
    </row>
    <row r="36" spans="1:5" x14ac:dyDescent="0.25">
      <c r="A36">
        <v>86</v>
      </c>
      <c r="B36" t="s">
        <v>52</v>
      </c>
      <c r="C36" t="s">
        <v>19</v>
      </c>
      <c r="E36" t="s">
        <v>52</v>
      </c>
    </row>
    <row r="37" spans="1:5" x14ac:dyDescent="0.25">
      <c r="A37">
        <v>87</v>
      </c>
      <c r="B37" t="s">
        <v>53</v>
      </c>
      <c r="C37" t="s">
        <v>19</v>
      </c>
      <c r="E37" t="s">
        <v>53</v>
      </c>
    </row>
    <row r="38" spans="1:5" x14ac:dyDescent="0.25">
      <c r="A38">
        <v>88</v>
      </c>
      <c r="B38" t="s">
        <v>54</v>
      </c>
      <c r="C38" t="s">
        <v>19</v>
      </c>
      <c r="E38" t="s">
        <v>54</v>
      </c>
    </row>
    <row r="39" spans="1:5" x14ac:dyDescent="0.25">
      <c r="A39">
        <v>89</v>
      </c>
      <c r="B39" t="s">
        <v>55</v>
      </c>
      <c r="C39" t="s">
        <v>19</v>
      </c>
      <c r="E39" t="s">
        <v>55</v>
      </c>
    </row>
    <row r="40" spans="1:5" x14ac:dyDescent="0.25">
      <c r="A40">
        <v>90</v>
      </c>
      <c r="B40" t="s">
        <v>56</v>
      </c>
      <c r="C40" t="s">
        <v>19</v>
      </c>
      <c r="E40" t="s">
        <v>56</v>
      </c>
    </row>
    <row r="41" spans="1:5" x14ac:dyDescent="0.25">
      <c r="A41">
        <v>91</v>
      </c>
      <c r="B41" t="s">
        <v>57</v>
      </c>
      <c r="C41" t="s">
        <v>19</v>
      </c>
      <c r="E41" t="s">
        <v>57</v>
      </c>
    </row>
    <row r="42" spans="1:5" x14ac:dyDescent="0.25">
      <c r="A42">
        <v>92</v>
      </c>
      <c r="B42" t="s">
        <v>58</v>
      </c>
      <c r="C42" t="s">
        <v>19</v>
      </c>
      <c r="E42" t="s">
        <v>58</v>
      </c>
    </row>
    <row r="43" spans="1:5" x14ac:dyDescent="0.25">
      <c r="A43">
        <v>93</v>
      </c>
      <c r="B43" t="s">
        <v>59</v>
      </c>
      <c r="C43" t="s">
        <v>19</v>
      </c>
      <c r="E43" t="s">
        <v>59</v>
      </c>
    </row>
    <row r="44" spans="1:5" x14ac:dyDescent="0.25">
      <c r="A44">
        <v>94</v>
      </c>
      <c r="B44" t="s">
        <v>60</v>
      </c>
      <c r="C44" t="s">
        <v>19</v>
      </c>
      <c r="E44" t="s">
        <v>60</v>
      </c>
    </row>
    <row r="45" spans="1:5" x14ac:dyDescent="0.25">
      <c r="A45">
        <v>95</v>
      </c>
      <c r="B45" t="s">
        <v>61</v>
      </c>
      <c r="C45" t="s">
        <v>19</v>
      </c>
      <c r="E45" t="s">
        <v>61</v>
      </c>
    </row>
    <row r="46" spans="1:5" x14ac:dyDescent="0.25">
      <c r="A46">
        <v>96</v>
      </c>
      <c r="B46" t="s">
        <v>62</v>
      </c>
      <c r="C46" t="s">
        <v>19</v>
      </c>
      <c r="E46" t="s">
        <v>62</v>
      </c>
    </row>
    <row r="47" spans="1:5" x14ac:dyDescent="0.25">
      <c r="A47">
        <v>97</v>
      </c>
      <c r="B47" t="s">
        <v>63</v>
      </c>
      <c r="C47" t="s">
        <v>19</v>
      </c>
      <c r="E47" t="s">
        <v>63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3259-E7E0-4B61-9898-A905AC898F21}">
  <sheetPr codeName="Sheet10"/>
  <dimension ref="A1:E6"/>
  <sheetViews>
    <sheetView workbookViewId="0">
      <selection activeCell="F16" sqref="F16"/>
    </sheetView>
  </sheetViews>
  <sheetFormatPr defaultRowHeight="15" x14ac:dyDescent="0.25"/>
  <cols>
    <col min="1" max="1" width="5.140625" bestFit="1" customWidth="1"/>
    <col min="2" max="2" width="28.140625" bestFit="1" customWidth="1"/>
    <col min="3" max="3" width="8.28515625" bestFit="1" customWidth="1"/>
    <col min="4" max="4" width="9.140625" bestFit="1" customWidth="1"/>
    <col min="5" max="5" width="81.140625" customWidth="1"/>
    <col min="6" max="6" width="14.5703125" bestFit="1" customWidth="1"/>
    <col min="7" max="7" width="8" bestFit="1" customWidth="1"/>
    <col min="8" max="8" width="9.5703125" bestFit="1" customWidth="1"/>
    <col min="9" max="9" width="14.5703125" bestFit="1" customWidth="1"/>
    <col min="10" max="10" width="11.28515625" bestFit="1" customWidth="1"/>
    <col min="11" max="11" width="8.5703125" bestFit="1" customWidth="1"/>
  </cols>
  <sheetData>
    <row r="1" spans="1:5" x14ac:dyDescent="0.25">
      <c r="A1" t="s">
        <v>0</v>
      </c>
      <c r="B1" t="s">
        <v>64</v>
      </c>
      <c r="C1" t="s">
        <v>83</v>
      </c>
      <c r="D1" t="s">
        <v>2</v>
      </c>
      <c r="E1" t="s">
        <v>65</v>
      </c>
    </row>
    <row r="2" spans="1:5" x14ac:dyDescent="0.25">
      <c r="A2">
        <v>1</v>
      </c>
      <c r="B2" t="s">
        <v>66</v>
      </c>
      <c r="D2" t="s">
        <v>84</v>
      </c>
      <c r="E2" t="s">
        <v>80</v>
      </c>
    </row>
    <row r="3" spans="1:5" x14ac:dyDescent="0.25">
      <c r="A3">
        <v>2</v>
      </c>
      <c r="B3" t="s">
        <v>67</v>
      </c>
      <c r="D3" t="s">
        <v>84</v>
      </c>
      <c r="E3" t="s">
        <v>62</v>
      </c>
    </row>
    <row r="4" spans="1:5" x14ac:dyDescent="0.25">
      <c r="A4">
        <v>3</v>
      </c>
      <c r="B4" t="s">
        <v>68</v>
      </c>
      <c r="D4" t="s">
        <v>84</v>
      </c>
      <c r="E4" t="s">
        <v>61</v>
      </c>
    </row>
    <row r="5" spans="1:5" x14ac:dyDescent="0.25">
      <c r="A5">
        <v>4</v>
      </c>
      <c r="B5" t="s">
        <v>69</v>
      </c>
      <c r="D5" t="s">
        <v>84</v>
      </c>
      <c r="E5" t="s">
        <v>63</v>
      </c>
    </row>
    <row r="6" spans="1:5" x14ac:dyDescent="0.25">
      <c r="A6">
        <v>5</v>
      </c>
      <c r="B6" s="35" t="s">
        <v>85</v>
      </c>
      <c r="C6">
        <v>2000</v>
      </c>
      <c r="D6" t="s">
        <v>86</v>
      </c>
      <c r="E6" s="35" t="s">
        <v>87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FBACC-E9BF-415E-9E50-EE7EC3141AE0}">
  <sheetPr codeName="Sheet12"/>
  <dimension ref="B1:H23"/>
  <sheetViews>
    <sheetView zoomScale="87" workbookViewId="0">
      <selection activeCell="C18" sqref="C18"/>
    </sheetView>
  </sheetViews>
  <sheetFormatPr defaultRowHeight="15" x14ac:dyDescent="0.25"/>
  <cols>
    <col min="2" max="2" width="18.42578125" customWidth="1"/>
    <col min="3" max="3" width="42.7109375" customWidth="1"/>
    <col min="4" max="4" width="15.140625" customWidth="1"/>
    <col min="5" max="5" width="17.42578125" customWidth="1"/>
    <col min="6" max="6" width="15" customWidth="1"/>
    <col min="7" max="7" width="55.5703125" customWidth="1"/>
    <col min="8" max="8" width="17.28515625" customWidth="1"/>
  </cols>
  <sheetData>
    <row r="1" spans="2:8" x14ac:dyDescent="0.25">
      <c r="C1" s="34" t="s">
        <v>74</v>
      </c>
      <c r="D1" s="34"/>
    </row>
    <row r="2" spans="2:8" ht="15.75" thickBot="1" x14ac:dyDescent="0.3">
      <c r="B2" s="1" t="s">
        <v>6</v>
      </c>
      <c r="C2" s="1" t="s">
        <v>7</v>
      </c>
      <c r="D2" s="1" t="s">
        <v>11</v>
      </c>
      <c r="E2" s="1" t="s">
        <v>9</v>
      </c>
      <c r="F2" s="1" t="s">
        <v>8</v>
      </c>
      <c r="G2" s="1" t="s">
        <v>12</v>
      </c>
      <c r="H2" s="1" t="s">
        <v>13</v>
      </c>
    </row>
    <row r="3" spans="2:8" x14ac:dyDescent="0.25">
      <c r="B3" s="3"/>
      <c r="C3" s="10" t="s">
        <v>17</v>
      </c>
      <c r="D3" s="11"/>
      <c r="E3" s="5"/>
      <c r="F3" s="16"/>
      <c r="G3" s="22"/>
      <c r="H3" s="17"/>
    </row>
    <row r="4" spans="2:8" x14ac:dyDescent="0.25">
      <c r="B4" s="3"/>
      <c r="C4" s="12" t="s">
        <v>17</v>
      </c>
      <c r="D4" s="13">
        <v>10</v>
      </c>
      <c r="E4" s="5"/>
      <c r="F4" s="18"/>
      <c r="G4" s="2"/>
      <c r="H4" s="19"/>
    </row>
    <row r="5" spans="2:8" x14ac:dyDescent="0.25">
      <c r="B5" s="3"/>
      <c r="C5" s="12" t="s">
        <v>22</v>
      </c>
      <c r="D5" s="13">
        <v>5</v>
      </c>
      <c r="E5" s="5"/>
      <c r="F5" s="18"/>
      <c r="G5" s="2"/>
      <c r="H5" s="19"/>
    </row>
    <row r="6" spans="2:8" x14ac:dyDescent="0.25">
      <c r="B6" s="3"/>
      <c r="C6" s="12" t="s">
        <v>23</v>
      </c>
      <c r="D6" s="13">
        <v>5</v>
      </c>
      <c r="E6" s="5"/>
      <c r="F6" s="18"/>
      <c r="G6" s="2"/>
      <c r="H6" s="19"/>
    </row>
    <row r="7" spans="2:8" x14ac:dyDescent="0.25">
      <c r="B7" s="3"/>
      <c r="C7" s="12"/>
      <c r="D7" s="13"/>
      <c r="E7" s="5"/>
      <c r="F7" s="18"/>
      <c r="G7" s="2"/>
      <c r="H7" s="19"/>
    </row>
    <row r="8" spans="2:8" x14ac:dyDescent="0.25">
      <c r="B8" s="3"/>
      <c r="C8" s="12"/>
      <c r="D8" s="13"/>
      <c r="E8" s="5"/>
      <c r="F8" s="18"/>
      <c r="G8" s="2"/>
      <c r="H8" s="19"/>
    </row>
    <row r="9" spans="2:8" x14ac:dyDescent="0.25">
      <c r="B9" s="3"/>
      <c r="C9" s="12"/>
      <c r="D9" s="13"/>
      <c r="E9" s="5"/>
      <c r="F9" s="18"/>
      <c r="G9" s="2"/>
      <c r="H9" s="19"/>
    </row>
    <row r="10" spans="2:8" x14ac:dyDescent="0.25">
      <c r="B10" s="3"/>
      <c r="C10" s="12"/>
      <c r="D10" s="13"/>
      <c r="E10" s="5"/>
      <c r="F10" s="18"/>
      <c r="G10" s="2"/>
      <c r="H10" s="19"/>
    </row>
    <row r="11" spans="2:8" ht="15.75" thickBot="1" x14ac:dyDescent="0.3">
      <c r="C11" s="24"/>
      <c r="D11" s="15"/>
      <c r="E11" s="5"/>
      <c r="F11" s="20"/>
      <c r="G11" s="23"/>
      <c r="H11" s="21"/>
    </row>
    <row r="12" spans="2:8" x14ac:dyDescent="0.25">
      <c r="B12" s="1" t="str">
        <f>_xlfn.CONCAT("COUNT: ", SUBTOTAL(103,_TBL_FREEBIES_BREAKDOWN[DATE]))</f>
        <v>COUNT: 0</v>
      </c>
      <c r="C12" s="7" t="s">
        <v>14</v>
      </c>
      <c r="D12" s="6">
        <f>SUBTOTAL(109,_TBL_FREEBIES_BREAKDOWN[OUT])</f>
        <v>20</v>
      </c>
      <c r="E12" s="6">
        <f>SUBTOTAL(109,_TBL_FREEBIES_BREAKDOWN[TOTAL])</f>
        <v>0</v>
      </c>
      <c r="F12" s="6">
        <f>SUBTOTAL(109,_TBL_FREEBIES_BREAKDOWN[BACKJOB])</f>
        <v>0</v>
      </c>
      <c r="G12" s="2"/>
      <c r="H12" s="4"/>
    </row>
    <row r="13" spans="2:8" x14ac:dyDescent="0.25">
      <c r="C13" s="8" t="s">
        <v>15</v>
      </c>
      <c r="D13" s="9">
        <f>SUM(_TBL_FREEBIES_BREAKDOWN[OUT])</f>
        <v>20</v>
      </c>
      <c r="E13" s="9">
        <f>SUM(_TBL_FREEBIES_BREAKDOWN[TOTAL])</f>
        <v>0</v>
      </c>
      <c r="F13" s="9">
        <f>SUM(_TBL_FREEBIES_BREAKDOWN[BACKJOB])</f>
        <v>0</v>
      </c>
    </row>
    <row r="16" spans="2:8" x14ac:dyDescent="0.25">
      <c r="B16" t="s">
        <v>70</v>
      </c>
    </row>
    <row r="17" spans="2:2" x14ac:dyDescent="0.25">
      <c r="B17" t="s">
        <v>71</v>
      </c>
    </row>
    <row r="18" spans="2:2" x14ac:dyDescent="0.25">
      <c r="B18" t="s">
        <v>75</v>
      </c>
    </row>
    <row r="19" spans="2:2" x14ac:dyDescent="0.25">
      <c r="B19" t="s">
        <v>76</v>
      </c>
    </row>
    <row r="20" spans="2:2" x14ac:dyDescent="0.25">
      <c r="B20" t="s">
        <v>77</v>
      </c>
    </row>
    <row r="22" spans="2:2" x14ac:dyDescent="0.25">
      <c r="B22" t="s">
        <v>78</v>
      </c>
    </row>
    <row r="23" spans="2:2" x14ac:dyDescent="0.25">
      <c r="B23" t="s">
        <v>79</v>
      </c>
    </row>
  </sheetData>
  <mergeCells count="1">
    <mergeCell ref="C1:D1"/>
  </mergeCells>
  <dataValidations count="1">
    <dataValidation type="list" showInputMessage="1" sqref="C3:C11" xr:uid="{2F130188-43E5-4BA6-A3D7-1757990F9E32}">
      <formula1>NAMES_ADD_ONS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G13"/>
  <sheetViews>
    <sheetView tabSelected="1" zoomScale="90" zoomScaleNormal="115" workbookViewId="0">
      <selection activeCell="D5" sqref="D5"/>
    </sheetView>
  </sheetViews>
  <sheetFormatPr defaultRowHeight="14.25" customHeight="1" x14ac:dyDescent="0.25"/>
  <cols>
    <col min="2" max="2" width="18.42578125" customWidth="1"/>
    <col min="3" max="3" width="42.7109375" customWidth="1"/>
    <col min="4" max="4" width="15.140625" customWidth="1"/>
    <col min="5" max="5" width="39.7109375" style="30" customWidth="1"/>
    <col min="6" max="6" width="73.140625" customWidth="1"/>
    <col min="7" max="7" width="17.28515625" customWidth="1"/>
  </cols>
  <sheetData>
    <row r="1" spans="2:7" ht="14.25" customHeight="1" x14ac:dyDescent="0.25">
      <c r="C1" s="34" t="s">
        <v>72</v>
      </c>
      <c r="D1" s="34"/>
    </row>
    <row r="2" spans="2:7" ht="14.25" customHeight="1" thickBot="1" x14ac:dyDescent="0.3">
      <c r="B2" s="1" t="s">
        <v>6</v>
      </c>
      <c r="C2" s="1" t="s">
        <v>7</v>
      </c>
      <c r="D2" s="1" t="s">
        <v>11</v>
      </c>
      <c r="E2" s="30" t="s">
        <v>88</v>
      </c>
      <c r="F2" s="1" t="s">
        <v>12</v>
      </c>
      <c r="G2" s="1" t="s">
        <v>13</v>
      </c>
    </row>
    <row r="3" spans="2:7" ht="14.25" customHeight="1" x14ac:dyDescent="0.25">
      <c r="B3" s="3"/>
      <c r="C3" s="10"/>
      <c r="D3" s="11"/>
      <c r="E3" s="31" t="str">
        <f>IFERROR(VLOOKUP(FREEBIES_INVENTORY[[#This Row],[INVENTORY ITEM]],_TBL_INVENTORY_FREEBIES_SET[[FREEBIES NAME]:[DETAILS]], 4),"")</f>
        <v/>
      </c>
      <c r="F3" s="16"/>
      <c r="G3" s="17"/>
    </row>
    <row r="4" spans="2:7" ht="14.25" customHeight="1" x14ac:dyDescent="0.25">
      <c r="B4" s="3"/>
      <c r="C4" s="12"/>
      <c r="D4" s="13"/>
      <c r="E4" s="31"/>
      <c r="F4" s="18"/>
      <c r="G4" s="19"/>
    </row>
    <row r="5" spans="2:7" ht="14.25" customHeight="1" x14ac:dyDescent="0.25">
      <c r="B5" s="3"/>
      <c r="C5" s="12"/>
      <c r="D5" s="13"/>
      <c r="E5" s="31" t="str">
        <f>IFERROR(VLOOKUP(FREEBIES_INVENTORY[[#This Row],[INVENTORY ITEM]],_TBL_INVENTORY_FREEBIES_SET[[FREEBIES NAME]:[DETAILS]], 4),"")</f>
        <v/>
      </c>
      <c r="F5" s="18"/>
      <c r="G5" s="19"/>
    </row>
    <row r="6" spans="2:7" ht="14.25" customHeight="1" x14ac:dyDescent="0.25">
      <c r="B6" s="3"/>
      <c r="C6" s="12"/>
      <c r="D6" s="13"/>
      <c r="E6" s="31" t="str">
        <f>IFERROR(VLOOKUP(FREEBIES_INVENTORY[[#This Row],[INVENTORY ITEM]],_TBL_INVENTORY_FREEBIES_SET[[FREEBIES NAME]:[DETAILS]], 4),"")</f>
        <v/>
      </c>
      <c r="F6" s="18"/>
      <c r="G6" s="19"/>
    </row>
    <row r="7" spans="2:7" ht="14.25" customHeight="1" x14ac:dyDescent="0.25">
      <c r="B7" s="3"/>
      <c r="C7" s="12"/>
      <c r="D7" s="13"/>
      <c r="E7" s="31" t="str">
        <f>IFERROR(VLOOKUP(FREEBIES_INVENTORY[[#This Row],[INVENTORY ITEM]],_TBL_INVENTORY_FREEBIES_SET[[FREEBIES NAME]:[DETAILS]], 4),"")</f>
        <v/>
      </c>
      <c r="F7" s="18"/>
      <c r="G7" s="19"/>
    </row>
    <row r="8" spans="2:7" ht="14.25" customHeight="1" x14ac:dyDescent="0.25">
      <c r="B8" s="3"/>
      <c r="C8" s="12"/>
      <c r="D8" s="13"/>
      <c r="E8" s="31" t="str">
        <f>IFERROR(VLOOKUP(FREEBIES_INVENTORY[[#This Row],[INVENTORY ITEM]],_TBL_INVENTORY_FREEBIES_SET[[FREEBIES NAME]:[DETAILS]], 4),"")</f>
        <v/>
      </c>
      <c r="F8" s="18"/>
      <c r="G8" s="19"/>
    </row>
    <row r="9" spans="2:7" ht="14.25" customHeight="1" x14ac:dyDescent="0.25">
      <c r="B9" s="3"/>
      <c r="C9" s="12"/>
      <c r="D9" s="13"/>
      <c r="E9" s="31" t="str">
        <f>IFERROR(VLOOKUP(FREEBIES_INVENTORY[[#This Row],[INVENTORY ITEM]],_TBL_INVENTORY_FREEBIES_SET[[FREEBIES NAME]:[DETAILS]], 4),"")</f>
        <v/>
      </c>
      <c r="F9" s="18"/>
      <c r="G9" s="19"/>
    </row>
    <row r="10" spans="2:7" ht="14.25" customHeight="1" x14ac:dyDescent="0.25">
      <c r="B10" s="3"/>
      <c r="C10" s="12"/>
      <c r="D10" s="13"/>
      <c r="E10" s="31" t="str">
        <f>IFERROR(VLOOKUP(FREEBIES_INVENTORY[[#This Row],[INVENTORY ITEM]],_TBL_INVENTORY_FREEBIES_SET[[FREEBIES NAME]:[DETAILS]], 4),"")</f>
        <v/>
      </c>
      <c r="F10" s="18"/>
      <c r="G10" s="19"/>
    </row>
    <row r="11" spans="2:7" ht="14.25" customHeight="1" thickBot="1" x14ac:dyDescent="0.3">
      <c r="B11" s="26"/>
      <c r="C11" s="14"/>
      <c r="D11" s="15"/>
      <c r="E11" s="31" t="str">
        <f>IFERROR(VLOOKUP(FREEBIES_INVENTORY[[#This Row],[INVENTORY ITEM]],_TBL_INVENTORY_FREEBIES_SET[[FREEBIES NAME]:[DETAILS]], 4),"")</f>
        <v/>
      </c>
      <c r="F11" s="20"/>
      <c r="G11" s="21"/>
    </row>
    <row r="12" spans="2:7" ht="14.25" customHeight="1" x14ac:dyDescent="0.25">
      <c r="B12" s="1" t="str">
        <f>_xlfn.CONCAT("COUNT: ", SUBTOTAL(103,FREEBIES_INVENTORY[DATE]))</f>
        <v>COUNT: 0</v>
      </c>
      <c r="C12" s="7" t="s">
        <v>14</v>
      </c>
      <c r="D12" s="6">
        <f>SUBTOTAL(109,FREEBIES_INVENTORY[OUT])</f>
        <v>0</v>
      </c>
      <c r="E12" s="31"/>
      <c r="F12" s="2"/>
      <c r="G12" s="4"/>
    </row>
    <row r="13" spans="2:7" ht="14.25" customHeight="1" x14ac:dyDescent="0.25">
      <c r="C13" s="8" t="s">
        <v>15</v>
      </c>
      <c r="D13" s="9">
        <f>SUM(FREEBIES_INVENTORY[OUT])</f>
        <v>0</v>
      </c>
      <c r="E13" s="32"/>
    </row>
  </sheetData>
  <mergeCells count="1">
    <mergeCell ref="C1:D1"/>
  </mergeCells>
  <dataValidations count="1">
    <dataValidation type="list" showInputMessage="1" sqref="C3:C11" xr:uid="{FC9EEEB7-5DE2-47D8-BC51-64C10AA3C30C}">
      <formula1>NAMES_FREEBIES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4B30B-EEBF-4B50-86F2-F83D96CF266C}">
  <sheetPr codeName="Sheet1"/>
  <dimension ref="B1:H62"/>
  <sheetViews>
    <sheetView zoomScaleNormal="100" workbookViewId="0">
      <selection activeCell="C23" sqref="C23"/>
    </sheetView>
  </sheetViews>
  <sheetFormatPr defaultRowHeight="15" x14ac:dyDescent="0.25"/>
  <cols>
    <col min="2" max="2" width="18.42578125" customWidth="1"/>
    <col min="3" max="3" width="42.7109375" customWidth="1"/>
    <col min="4" max="5" width="15.5703125" customWidth="1"/>
    <col min="6" max="6" width="17.42578125" customWidth="1"/>
    <col min="7" max="7" width="55.5703125" customWidth="1"/>
    <col min="8" max="8" width="17.28515625" customWidth="1"/>
  </cols>
  <sheetData>
    <row r="1" spans="2:8" x14ac:dyDescent="0.25">
      <c r="C1" s="34" t="s">
        <v>73</v>
      </c>
      <c r="D1" s="34"/>
      <c r="E1" s="25"/>
    </row>
    <row r="2" spans="2:8" ht="15.75" thickBot="1" x14ac:dyDescent="0.3">
      <c r="B2" s="1" t="s">
        <v>6</v>
      </c>
      <c r="C2" s="1" t="s">
        <v>7</v>
      </c>
      <c r="D2" s="1" t="s">
        <v>10</v>
      </c>
      <c r="E2" s="1" t="s">
        <v>11</v>
      </c>
      <c r="F2" s="1" t="s">
        <v>82</v>
      </c>
      <c r="G2" s="1" t="s">
        <v>12</v>
      </c>
      <c r="H2" s="1" t="s">
        <v>13</v>
      </c>
    </row>
    <row r="3" spans="2:8" x14ac:dyDescent="0.25">
      <c r="B3" s="3">
        <v>45780</v>
      </c>
      <c r="C3" s="10" t="s">
        <v>18</v>
      </c>
      <c r="D3" s="28">
        <v>3</v>
      </c>
      <c r="E3" s="11"/>
      <c r="F3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3</v>
      </c>
      <c r="G3" s="16"/>
      <c r="H3" s="17"/>
    </row>
    <row r="4" spans="2:8" x14ac:dyDescent="0.25">
      <c r="B4" s="3">
        <v>45780</v>
      </c>
      <c r="C4" s="12" t="s">
        <v>20</v>
      </c>
      <c r="D4" s="27">
        <v>99</v>
      </c>
      <c r="E4" s="13"/>
      <c r="F4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99</v>
      </c>
      <c r="G4" s="18"/>
      <c r="H4" s="19"/>
    </row>
    <row r="5" spans="2:8" x14ac:dyDescent="0.25">
      <c r="B5" s="3">
        <v>45780</v>
      </c>
      <c r="C5" s="12" t="s">
        <v>21</v>
      </c>
      <c r="D5" s="27">
        <v>18</v>
      </c>
      <c r="E5" s="13"/>
      <c r="F5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18</v>
      </c>
      <c r="G5" s="18"/>
      <c r="H5" s="19"/>
    </row>
    <row r="6" spans="2:8" x14ac:dyDescent="0.25">
      <c r="B6" s="3">
        <v>45780</v>
      </c>
      <c r="C6" s="12" t="s">
        <v>22</v>
      </c>
      <c r="D6" s="27">
        <v>63</v>
      </c>
      <c r="E6" s="13"/>
      <c r="F6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63</v>
      </c>
      <c r="G6" s="18"/>
      <c r="H6" s="19"/>
    </row>
    <row r="7" spans="2:8" x14ac:dyDescent="0.25">
      <c r="B7" s="3">
        <v>45780</v>
      </c>
      <c r="C7" s="12" t="s">
        <v>23</v>
      </c>
      <c r="D7" s="27">
        <v>77</v>
      </c>
      <c r="E7" s="13"/>
      <c r="F7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77</v>
      </c>
      <c r="G7" s="18"/>
      <c r="H7" s="19"/>
    </row>
    <row r="8" spans="2:8" x14ac:dyDescent="0.25">
      <c r="B8" s="3">
        <v>45780</v>
      </c>
      <c r="C8" s="12" t="s">
        <v>24</v>
      </c>
      <c r="D8" s="27">
        <v>51</v>
      </c>
      <c r="E8" s="13"/>
      <c r="F8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51</v>
      </c>
      <c r="G8" s="18"/>
      <c r="H8" s="19"/>
    </row>
    <row r="9" spans="2:8" x14ac:dyDescent="0.25">
      <c r="B9" s="3">
        <v>45780</v>
      </c>
      <c r="C9" s="12" t="s">
        <v>25</v>
      </c>
      <c r="D9" s="27">
        <v>77</v>
      </c>
      <c r="E9" s="13"/>
      <c r="F9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77</v>
      </c>
      <c r="G9" s="18"/>
      <c r="H9" s="19"/>
    </row>
    <row r="10" spans="2:8" x14ac:dyDescent="0.25">
      <c r="B10" s="3">
        <v>45780</v>
      </c>
      <c r="C10" s="12" t="s">
        <v>26</v>
      </c>
      <c r="D10" s="27">
        <v>16</v>
      </c>
      <c r="E10" s="13"/>
      <c r="F10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16</v>
      </c>
      <c r="G10" s="18"/>
      <c r="H10" s="19"/>
    </row>
    <row r="11" spans="2:8" x14ac:dyDescent="0.25">
      <c r="B11" s="3">
        <v>45780</v>
      </c>
      <c r="C11" s="12" t="s">
        <v>27</v>
      </c>
      <c r="D11" s="27">
        <v>33</v>
      </c>
      <c r="E11" s="13"/>
      <c r="F11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33</v>
      </c>
      <c r="G11" s="18"/>
      <c r="H11" s="19"/>
    </row>
    <row r="12" spans="2:8" x14ac:dyDescent="0.25">
      <c r="B12" s="3">
        <v>45780</v>
      </c>
      <c r="C12" s="12" t="s">
        <v>28</v>
      </c>
      <c r="D12" s="27">
        <v>150</v>
      </c>
      <c r="E12" s="13"/>
      <c r="F12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150</v>
      </c>
      <c r="G12" s="18"/>
      <c r="H12" s="19"/>
    </row>
    <row r="13" spans="2:8" x14ac:dyDescent="0.25">
      <c r="B13" s="3">
        <v>45780</v>
      </c>
      <c r="C13" s="12" t="s">
        <v>29</v>
      </c>
      <c r="D13" s="27">
        <v>60</v>
      </c>
      <c r="E13" s="13"/>
      <c r="F13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60</v>
      </c>
      <c r="G13" s="18"/>
      <c r="H13" s="19"/>
    </row>
    <row r="14" spans="2:8" x14ac:dyDescent="0.25">
      <c r="B14" s="3">
        <v>45780</v>
      </c>
      <c r="C14" s="12" t="s">
        <v>30</v>
      </c>
      <c r="D14" s="27">
        <v>71</v>
      </c>
      <c r="E14" s="13"/>
      <c r="F14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71</v>
      </c>
      <c r="G14" s="18"/>
      <c r="H14" s="19"/>
    </row>
    <row r="15" spans="2:8" x14ac:dyDescent="0.25">
      <c r="B15" s="3">
        <v>45780</v>
      </c>
      <c r="C15" s="12" t="s">
        <v>31</v>
      </c>
      <c r="D15" s="27">
        <v>264</v>
      </c>
      <c r="E15" s="13"/>
      <c r="F15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264</v>
      </c>
      <c r="G15" s="18"/>
      <c r="H15" s="19"/>
    </row>
    <row r="16" spans="2:8" x14ac:dyDescent="0.25">
      <c r="B16" s="3">
        <v>45780</v>
      </c>
      <c r="C16" s="12" t="s">
        <v>32</v>
      </c>
      <c r="D16" s="27">
        <v>64</v>
      </c>
      <c r="E16" s="13"/>
      <c r="F16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64</v>
      </c>
      <c r="G16" s="18"/>
      <c r="H16" s="19"/>
    </row>
    <row r="17" spans="2:8" x14ac:dyDescent="0.25">
      <c r="B17" s="3">
        <v>45780</v>
      </c>
      <c r="C17" s="12" t="s">
        <v>33</v>
      </c>
      <c r="D17" s="27">
        <v>199</v>
      </c>
      <c r="E17" s="13"/>
      <c r="F17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199</v>
      </c>
      <c r="G17" s="18"/>
      <c r="H17" s="19"/>
    </row>
    <row r="18" spans="2:8" x14ac:dyDescent="0.25">
      <c r="B18" s="3">
        <v>45780</v>
      </c>
      <c r="C18" s="12" t="s">
        <v>34</v>
      </c>
      <c r="D18" s="27">
        <v>42</v>
      </c>
      <c r="E18" s="13"/>
      <c r="F18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42</v>
      </c>
      <c r="G18" s="18"/>
      <c r="H18" s="19"/>
    </row>
    <row r="19" spans="2:8" x14ac:dyDescent="0.25">
      <c r="B19" s="3">
        <v>45780</v>
      </c>
      <c r="C19" s="12" t="s">
        <v>56</v>
      </c>
      <c r="D19" s="27">
        <v>178</v>
      </c>
      <c r="E19" s="13"/>
      <c r="F19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178</v>
      </c>
      <c r="G19" s="18"/>
      <c r="H19" s="19"/>
    </row>
    <row r="20" spans="2:8" x14ac:dyDescent="0.25">
      <c r="B20" s="3">
        <v>45780</v>
      </c>
      <c r="C20" s="12" t="s">
        <v>59</v>
      </c>
      <c r="D20" s="27">
        <v>11</v>
      </c>
      <c r="E20" s="13"/>
      <c r="F20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11</v>
      </c>
      <c r="G20" s="18"/>
      <c r="H20" s="19"/>
    </row>
    <row r="21" spans="2:8" x14ac:dyDescent="0.25">
      <c r="B21" s="3">
        <v>45780</v>
      </c>
      <c r="C21" s="12" t="s">
        <v>60</v>
      </c>
      <c r="D21" s="27">
        <v>32</v>
      </c>
      <c r="E21" s="13"/>
      <c r="F21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32</v>
      </c>
      <c r="G21" s="18"/>
      <c r="H21" s="19"/>
    </row>
    <row r="22" spans="2:8" x14ac:dyDescent="0.25">
      <c r="B22" s="3">
        <v>45780</v>
      </c>
      <c r="C22" s="12" t="s">
        <v>38</v>
      </c>
      <c r="D22" s="27">
        <v>45</v>
      </c>
      <c r="E22" s="13"/>
      <c r="F22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45</v>
      </c>
      <c r="G22" s="18"/>
      <c r="H22" s="19"/>
    </row>
    <row r="23" spans="2:8" x14ac:dyDescent="0.25">
      <c r="B23" s="3">
        <v>45780</v>
      </c>
      <c r="C23" s="12" t="s">
        <v>81</v>
      </c>
      <c r="D23" s="27">
        <v>19</v>
      </c>
      <c r="E23" s="13"/>
      <c r="F23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19</v>
      </c>
      <c r="G23" s="18"/>
      <c r="H23" s="19"/>
    </row>
    <row r="24" spans="2:8" x14ac:dyDescent="0.25">
      <c r="B24" s="3">
        <v>45780</v>
      </c>
      <c r="C24" s="12" t="s">
        <v>46</v>
      </c>
      <c r="D24" s="27">
        <v>59</v>
      </c>
      <c r="E24" s="13"/>
      <c r="F24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59</v>
      </c>
      <c r="G24" s="18"/>
      <c r="H24" s="19"/>
    </row>
    <row r="25" spans="2:8" x14ac:dyDescent="0.25">
      <c r="B25" s="3"/>
      <c r="C25" s="12"/>
      <c r="D25" s="27"/>
      <c r="E25" s="13"/>
      <c r="F25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25" s="18"/>
      <c r="H25" s="19"/>
    </row>
    <row r="26" spans="2:8" x14ac:dyDescent="0.25">
      <c r="B26" s="3"/>
      <c r="C26" s="12"/>
      <c r="D26" s="27"/>
      <c r="E26" s="13"/>
      <c r="F26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26" s="18"/>
      <c r="H26" s="19"/>
    </row>
    <row r="27" spans="2:8" x14ac:dyDescent="0.25">
      <c r="B27" s="3"/>
      <c r="C27" s="12"/>
      <c r="D27" s="27"/>
      <c r="E27" s="13"/>
      <c r="F27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27" s="18"/>
      <c r="H27" s="19"/>
    </row>
    <row r="28" spans="2:8" x14ac:dyDescent="0.25">
      <c r="B28" s="3"/>
      <c r="C28" s="12"/>
      <c r="D28" s="27"/>
      <c r="E28" s="13"/>
      <c r="F28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28" s="18"/>
      <c r="H28" s="19"/>
    </row>
    <row r="29" spans="2:8" x14ac:dyDescent="0.25">
      <c r="B29" s="3"/>
      <c r="C29" s="12"/>
      <c r="D29" s="27"/>
      <c r="E29" s="13"/>
      <c r="F29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29" s="18"/>
      <c r="H29" s="19"/>
    </row>
    <row r="30" spans="2:8" x14ac:dyDescent="0.25">
      <c r="B30" s="3"/>
      <c r="C30" s="12"/>
      <c r="D30" s="27"/>
      <c r="E30" s="13"/>
      <c r="F30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0" s="18"/>
      <c r="H30" s="19"/>
    </row>
    <row r="31" spans="2:8" x14ac:dyDescent="0.25">
      <c r="B31" s="3"/>
      <c r="C31" s="12"/>
      <c r="D31" s="27"/>
      <c r="E31" s="13"/>
      <c r="F31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1" s="18"/>
      <c r="H31" s="19"/>
    </row>
    <row r="32" spans="2:8" x14ac:dyDescent="0.25">
      <c r="B32" s="3"/>
      <c r="C32" s="12"/>
      <c r="D32" s="27"/>
      <c r="E32" s="13"/>
      <c r="F32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2" s="18"/>
      <c r="H32" s="19"/>
    </row>
    <row r="33" spans="2:8" x14ac:dyDescent="0.25">
      <c r="B33" s="3"/>
      <c r="C33" s="12"/>
      <c r="D33" s="27"/>
      <c r="E33" s="13"/>
      <c r="F33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3" s="18"/>
      <c r="H33" s="19"/>
    </row>
    <row r="34" spans="2:8" x14ac:dyDescent="0.25">
      <c r="B34" s="3"/>
      <c r="C34" s="12"/>
      <c r="D34" s="27"/>
      <c r="E34" s="13"/>
      <c r="F34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4" s="18"/>
      <c r="H34" s="19"/>
    </row>
    <row r="35" spans="2:8" x14ac:dyDescent="0.25">
      <c r="B35" s="3"/>
      <c r="C35" s="12"/>
      <c r="D35" s="27"/>
      <c r="E35" s="13"/>
      <c r="F35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5" s="18"/>
      <c r="H35" s="19"/>
    </row>
    <row r="36" spans="2:8" x14ac:dyDescent="0.25">
      <c r="B36" s="3"/>
      <c r="C36" s="12"/>
      <c r="D36" s="27"/>
      <c r="E36" s="13"/>
      <c r="F36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6" s="18"/>
      <c r="H36" s="19"/>
    </row>
    <row r="37" spans="2:8" x14ac:dyDescent="0.25">
      <c r="B37" s="3"/>
      <c r="C37" s="12"/>
      <c r="D37" s="27"/>
      <c r="E37" s="13"/>
      <c r="F37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7" s="18"/>
      <c r="H37" s="19"/>
    </row>
    <row r="38" spans="2:8" x14ac:dyDescent="0.25">
      <c r="B38" s="3"/>
      <c r="C38" s="12"/>
      <c r="D38" s="27"/>
      <c r="E38" s="13"/>
      <c r="F38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8" s="18"/>
      <c r="H38" s="19"/>
    </row>
    <row r="39" spans="2:8" x14ac:dyDescent="0.25">
      <c r="B39" s="3"/>
      <c r="C39" s="12"/>
      <c r="D39" s="27"/>
      <c r="E39" s="13"/>
      <c r="F39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9" s="18"/>
      <c r="H39" s="19"/>
    </row>
    <row r="40" spans="2:8" x14ac:dyDescent="0.25">
      <c r="B40" s="3"/>
      <c r="C40" s="12"/>
      <c r="D40" s="27"/>
      <c r="E40" s="13"/>
      <c r="F40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0" s="18"/>
      <c r="H40" s="19"/>
    </row>
    <row r="41" spans="2:8" x14ac:dyDescent="0.25">
      <c r="B41" s="3"/>
      <c r="C41" s="12"/>
      <c r="D41" s="27"/>
      <c r="E41" s="13"/>
      <c r="F41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1" s="18"/>
      <c r="H41" s="19"/>
    </row>
    <row r="42" spans="2:8" x14ac:dyDescent="0.25">
      <c r="B42" s="3"/>
      <c r="C42" s="12"/>
      <c r="D42" s="27"/>
      <c r="E42" s="13"/>
      <c r="F42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2" s="18"/>
      <c r="H42" s="19"/>
    </row>
    <row r="43" spans="2:8" x14ac:dyDescent="0.25">
      <c r="B43" s="3"/>
      <c r="C43" s="12"/>
      <c r="D43" s="27"/>
      <c r="E43" s="13"/>
      <c r="F43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3" s="18"/>
      <c r="H43" s="19"/>
    </row>
    <row r="44" spans="2:8" x14ac:dyDescent="0.25">
      <c r="B44" s="3"/>
      <c r="C44" s="12"/>
      <c r="D44" s="27"/>
      <c r="E44" s="13"/>
      <c r="F44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4" s="18"/>
      <c r="H44" s="19"/>
    </row>
    <row r="45" spans="2:8" x14ac:dyDescent="0.25">
      <c r="B45" s="3"/>
      <c r="C45" s="12"/>
      <c r="D45" s="27"/>
      <c r="E45" s="13"/>
      <c r="F45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5" s="18"/>
      <c r="H45" s="19"/>
    </row>
    <row r="46" spans="2:8" x14ac:dyDescent="0.25">
      <c r="B46" s="3"/>
      <c r="C46" s="12"/>
      <c r="D46" s="27"/>
      <c r="E46" s="13"/>
      <c r="F46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6" s="18"/>
      <c r="H46" s="19"/>
    </row>
    <row r="47" spans="2:8" x14ac:dyDescent="0.25">
      <c r="B47" s="3"/>
      <c r="C47" s="12"/>
      <c r="D47" s="27"/>
      <c r="E47" s="13"/>
      <c r="F47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7" s="18"/>
      <c r="H47" s="19"/>
    </row>
    <row r="48" spans="2:8" x14ac:dyDescent="0.25">
      <c r="B48" s="3"/>
      <c r="C48" s="12"/>
      <c r="D48" s="27"/>
      <c r="E48" s="13"/>
      <c r="F48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8" s="18"/>
      <c r="H48" s="19"/>
    </row>
    <row r="49" spans="2:8" x14ac:dyDescent="0.25">
      <c r="B49" s="3"/>
      <c r="C49" s="12"/>
      <c r="D49" s="27"/>
      <c r="E49" s="13"/>
      <c r="F49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9" s="18"/>
      <c r="H49" s="19"/>
    </row>
    <row r="50" spans="2:8" x14ac:dyDescent="0.25">
      <c r="B50" s="3"/>
      <c r="C50" s="12"/>
      <c r="D50" s="27"/>
      <c r="E50" s="13"/>
      <c r="F50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0" s="18"/>
      <c r="H50" s="19"/>
    </row>
    <row r="51" spans="2:8" x14ac:dyDescent="0.25">
      <c r="B51" s="3"/>
      <c r="C51" s="12"/>
      <c r="D51" s="27"/>
      <c r="E51" s="13"/>
      <c r="F51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1" s="18"/>
      <c r="H51" s="19"/>
    </row>
    <row r="52" spans="2:8" x14ac:dyDescent="0.25">
      <c r="B52" s="3"/>
      <c r="C52" s="12"/>
      <c r="D52" s="27"/>
      <c r="E52" s="13"/>
      <c r="F52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2" s="18"/>
      <c r="H52" s="19"/>
    </row>
    <row r="53" spans="2:8" x14ac:dyDescent="0.25">
      <c r="B53" s="3"/>
      <c r="C53" s="12"/>
      <c r="D53" s="27"/>
      <c r="E53" s="13"/>
      <c r="F53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3" s="18"/>
      <c r="H53" s="19"/>
    </row>
    <row r="54" spans="2:8" x14ac:dyDescent="0.25">
      <c r="B54" s="3"/>
      <c r="C54" s="12"/>
      <c r="D54" s="27"/>
      <c r="E54" s="13"/>
      <c r="F54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4" s="18"/>
      <c r="H54" s="19"/>
    </row>
    <row r="55" spans="2:8" x14ac:dyDescent="0.25">
      <c r="B55" s="3"/>
      <c r="C55" s="12"/>
      <c r="D55" s="27"/>
      <c r="E55" s="13"/>
      <c r="F55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5" s="18"/>
      <c r="H55" s="19"/>
    </row>
    <row r="56" spans="2:8" x14ac:dyDescent="0.25">
      <c r="B56" s="3"/>
      <c r="C56" s="12"/>
      <c r="D56" s="27"/>
      <c r="E56" s="13"/>
      <c r="F56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6" s="18"/>
      <c r="H56" s="19"/>
    </row>
    <row r="57" spans="2:8" ht="15" customHeight="1" x14ac:dyDescent="0.25">
      <c r="B57" s="3"/>
      <c r="C57" s="12"/>
      <c r="D57" s="27"/>
      <c r="E57" s="13"/>
      <c r="F57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7" s="18"/>
      <c r="H57" s="19"/>
    </row>
    <row r="58" spans="2:8" x14ac:dyDescent="0.25">
      <c r="B58" s="3"/>
      <c r="C58" s="12"/>
      <c r="D58" s="27"/>
      <c r="E58" s="13"/>
      <c r="F58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8" s="18"/>
      <c r="H58" s="19"/>
    </row>
    <row r="59" spans="2:8" x14ac:dyDescent="0.25">
      <c r="B59" s="3"/>
      <c r="C59" s="12"/>
      <c r="D59" s="27"/>
      <c r="E59" s="13"/>
      <c r="F59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9" s="18"/>
      <c r="H59" s="19"/>
    </row>
    <row r="60" spans="2:8" ht="15.75" thickBot="1" x14ac:dyDescent="0.3">
      <c r="C60" s="14"/>
      <c r="D60" s="29"/>
      <c r="E60" s="15"/>
      <c r="F60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60" s="20"/>
      <c r="H60" s="21"/>
    </row>
    <row r="61" spans="2:8" x14ac:dyDescent="0.25">
      <c r="B61" s="1" t="str">
        <f>_xlfn.CONCAT("COUNT: ", SUBTOTAL(103,_TBL_ADD_ONS_IN[DATE]))</f>
        <v>COUNT: 22</v>
      </c>
      <c r="C61" s="7" t="s">
        <v>14</v>
      </c>
      <c r="D61" s="6">
        <f>SUBTOTAL(109,_TBL_ADD_ONS_IN[IN])</f>
        <v>1631</v>
      </c>
      <c r="E61" s="6">
        <f>SUBTOTAL(109,_TBL_ADD_ONS_IN[OUT])</f>
        <v>0</v>
      </c>
      <c r="F61" s="6"/>
      <c r="G61" s="33"/>
      <c r="H61" s="4"/>
    </row>
    <row r="62" spans="2:8" x14ac:dyDescent="0.25">
      <c r="C62" s="8" t="s">
        <v>15</v>
      </c>
      <c r="D62" s="9">
        <f>SUM(_TBL_ADD_ONS_IN[IN])</f>
        <v>1631</v>
      </c>
      <c r="E62" s="9">
        <f>SUM(_TBL_ADD_ONS_IN[OUT])</f>
        <v>0</v>
      </c>
      <c r="F62" s="9"/>
    </row>
  </sheetData>
  <mergeCells count="1">
    <mergeCell ref="C1:D1"/>
  </mergeCells>
  <dataValidations count="1">
    <dataValidation type="list" showInputMessage="1" sqref="C3:C60" xr:uid="{42B3C7F4-B9AE-43B6-98E6-F832E12A2D94}">
      <formula1>NAMES_ADD_ONS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_TBL_INVENTORY_ADD_ONS</vt:lpstr>
      <vt:lpstr>_TBL_INVENTORY_FREEBIES_SET</vt:lpstr>
      <vt:lpstr>_TBL_FREEBIES_BREAKDOWN</vt:lpstr>
      <vt:lpstr>FREEBIES</vt:lpstr>
      <vt:lpstr>ADD ONS</vt:lpstr>
      <vt:lpstr>NAMES_ADD_ONS</vt:lpstr>
      <vt:lpstr>NAMES_FREEBIES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2025-05-03T08:47:03Z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ca1e728d-1ae6-44e5-a949-856146aa03ff</vt:lpwstr>
  </property>
</Properties>
</file>