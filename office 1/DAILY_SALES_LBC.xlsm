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3FA8D18E-5B85-48B9-948C-4F216B6E1394}" xr6:coauthVersionLast="47" xr6:coauthVersionMax="47" xr10:uidLastSave="{00000000-0000-0000-0000-000000000000}"/>
  <bookViews>
    <workbookView xWindow="-120" yWindow="-120" windowWidth="20730" windowHeight="1104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  <sheet name="Sheet2" sheetId="23" r:id="rId8"/>
    <sheet name="Sheet1" sheetId="22" r:id="rId9"/>
  </sheets>
  <definedNames>
    <definedName name="ExternalData_1" localSheetId="5" hidden="1">'_TBL_ADD_ONS'!$A$1:$C$8</definedName>
    <definedName name="ExternalData_1" localSheetId="1" hidden="1">'_TBL_EMPLOYEES'!$A$1:$Q$2</definedName>
    <definedName name="ExternalData_1" localSheetId="3" hidden="1">'_TBL_FREEBIES_SET'!$A$1:$E$6</definedName>
    <definedName name="ExternalData_2" localSheetId="0" hidden="1">'_TBL_INVENTORY'!$A$1:$G$53</definedName>
    <definedName name="ExternalData_2" localSheetId="4" hidden="1">_TBL_MAIN_PRODUCT!$A$1:$L$50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Q2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20" i="2"/>
  <c r="Q19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L3" i="2"/>
  <c r="L19" i="2"/>
  <c r="L2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G19" i="2"/>
  <c r="G20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3" i="2"/>
  <c r="P22" i="2" l="1"/>
  <c r="N22" i="2" l="1"/>
  <c r="P21" i="2"/>
  <c r="N21" i="2" l="1"/>
  <c r="R20" i="2"/>
  <c r="R19" i="2"/>
  <c r="G22" i="2" l="1"/>
  <c r="M19" i="2"/>
  <c r="M20" i="2"/>
  <c r="B21" i="2"/>
  <c r="Q21" i="2" l="1"/>
  <c r="O22" i="2"/>
  <c r="O21" i="2"/>
  <c r="M21" i="2"/>
  <c r="M22" i="2"/>
  <c r="L21" i="2"/>
  <c r="G21" i="2"/>
  <c r="L2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8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8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8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8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8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8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<sst xmlns="http://schemas.openxmlformats.org/spreadsheetml/2006/main" count="1061" uniqueCount="162">
  <si>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</si>
  <si>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</si>
  <si>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</si>
  <si>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</si>
  <si>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</si>
  <si>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</si>
  <si>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</si>
  <si>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</si>
  <si>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</si>
  <si>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</si>
  <si>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</si>
  <si>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</si>
  <si>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</si>
  <si>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</si>
  <si>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</si>
  <si>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</si>
  <si>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</si>
  <si>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</si>
  <si>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</si>
  <si>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</si>
  <si>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</si>
  <si>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</si>
  <si>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</si>
  <si>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</si>
  <si>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</si>
  <si>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</si>
  <si>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</si>
  <si>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</si>
  <si>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</si>
  <si>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</si>
  <si>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</si>
  <si>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</si>
  <si>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</si>
  <si>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</si>
  <si>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</si>
  <si>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</si>
  <si>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</si>
  <si>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</si>
  <si>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</si>
  <si>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</si>
  <si>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</si>
  <si>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</si>
  <si>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</si>
  <si>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</si>
  <si>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</si>
  <si>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</si>
  <si>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</si>
  <si>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</si>
  <si>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</si>
  <si>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</si>
  <si>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</si>
  <si>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</si>
  <si>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</si>
  <si>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</si>
  <si>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</si>
  <si>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</si>
  <si>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</si>
  <si>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</si>
  <si>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</si>
  <si>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</si>
  <si>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</si>
  <si>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</si>
  <si>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</si>
  <si>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</si>
  <si>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</si>
  <si>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</si>
  <si>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</si>
  <si>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</si>
  <si>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</si>
  <si>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</si>
  <si>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</si>
  <si>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</si>
  <si>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</si>
  <si>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</si>
  <si>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</si>
  <si>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</si>
  <si>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</si>
  <si>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</si>
  <si>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</si>
  <si>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</si>
  <si>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</si>
  <si>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</si>
  <si>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</si>
  <si>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</si>
  <si>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</si>
  <si>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</si>
  <si>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</si>
  <si>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</si>
  <si>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</si>
  <si>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</si>
  <si>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</si>
  <si>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</si>
  <si>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</si>
  <si>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</si>
  <si>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</si>
  <si>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</si>
  <si>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</si>
  <si>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</si>
  <si>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</si>
  <si>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</si>
  <si>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</si>
  <si>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</si>
  <si>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</si>
  <si>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</si>
  <si>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</si>
  <si>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</si>
  <si>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</si>
  <si>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</si>
  <si>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</si>
  <si>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</si>
  <si>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</si>
  <si>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</si>
  <si>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</si>
  <si>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</si>
  <si>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</si>
  <si>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</si>
  <si>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</si>
  <si>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</si>
  <si>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</si>
  <si>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</si>
  <si>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</si>
  <si>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</si>
  <si>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</si>
  <si>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</si>
  <si>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</si>
  <si>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</si>
  <si>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</si>
  <si>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</si>
  <si>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</si>
  <si>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</si>
  <si>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</si>
  <si>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</si>
  <si>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</si>
  <si>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</si>
  <si>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</si>
  <si>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</si>
  <si>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</si>
  <si>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</si>
  <si>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</si>
  <si>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</si>
  <si>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</si>
  <si>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</si>
  <si>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</si>
  <si>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DOWNPAYMENT</t>
  </si>
  <si>
    <t>BALANCE</t>
  </si>
  <si>
    <t>SHIPPING FEE</t>
  </si>
  <si>
    <t>RECEIVABLE</t>
  </si>
  <si>
    <t>Delivered</t>
  </si>
  <si>
    <t>Claimed</t>
  </si>
  <si>
    <t>Deposited</t>
  </si>
  <si>
    <t>PRINTER SET</t>
  </si>
  <si>
    <t>VGA, Laminator, Sheets</t>
  </si>
  <si>
    <t>ACER REGULAR 4 / 16</t>
  </si>
  <si>
    <t>ASUS REGULAR 4 / 16</t>
  </si>
  <si>
    <t>ASUS REGULAR 4 / 32</t>
  </si>
  <si>
    <t>PRICE</t>
  </si>
  <si>
    <t>FREEBIES</t>
  </si>
  <si>
    <t>Mouse, table, Laptop Bag, Laptop Brush, Laptop Stand, Charger, Mouse Pad, P47 Headphone</t>
  </si>
  <si>
    <t>ADD ONS</t>
  </si>
  <si>
    <t>G 2010</t>
  </si>
  <si>
    <t/>
  </si>
  <si>
    <t>S.Neckband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</si>
</sst>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0" xfId="0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" fillId="0" borderId="0" xfId="0" applyFont="1"/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14" fontId="0" fillId="0" borderId="5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6" xfId="0" applyNumberFormat="1" applyBorder="1"/>
    <xf numFmtId="14" fontId="0" fillId="0" borderId="3" xfId="0" applyNumberFormat="1" applyBorder="1" applyAlignment="1">
      <alignment horizontal="center"/>
    </xf>
    <xf numFmtId="14" fontId="0" fillId="0" borderId="0" xfId="0" applyNumberFormat="1"/>
    <xf numFmtId="14" fontId="0" fillId="0" borderId="8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</cellXfs>
  <cellStyles count="1">
    <cellStyle name="Normal" xfId="0" builtinId="0"/>
  </cellStyles>
  <dxfs count="43">
    <dxf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0"/>
      </font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2"/>
    <tableColumn id="3" xr3:uid="{076104D8-C9E8-451B-A965-B0F52E829B97}" uniqueName="3" name="TYPE" queryTableFieldId="3" dataDxfId="41"/>
    <tableColumn id="4" xr3:uid="{EED15770-5ACA-47A3-90AC-004FB47CC5A3}" uniqueName="4" name="BRAND" queryTableFieldId="4" dataDxfId="40"/>
    <tableColumn id="5" xr3:uid="{3006AD62-9893-4204-AD0A-4EF3B9BE605E}" uniqueName="5" name="CODE" queryTableFieldId="5" dataDxfId="39"/>
    <tableColumn id="7" xr3:uid="{DC21BDB8-8A69-4186-83FC-A99F4F8E7737}" uniqueName="7" name="VARIANT" queryTableFieldId="7"/>
    <tableColumn id="6" xr3:uid="{895EF583-4F50-4211-A9B8-9D6A9E4977E5}" uniqueName="6" name="SPECS" queryTableFieldId="6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7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6" tableType="queryTable" totalsRowShown="0">
  <autoFilter ref="A1:E6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05353834-7CE2-4991-9B28-5BE50F217B9A}" uniqueName="4" name="PRICE" queryTableFieldId="8"/>
    <tableColumn id="5" xr3:uid="{9203C50F-9AD7-47B3-A47F-9693C8F6EB2D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50" tableType="queryTable" totalsRowShown="0">
  <autoFilter ref="A1:L50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2E915B86-B103-4BD3-9881-8445712C13C5}" uniqueName="7" name="Column7" queryTableFieldId="7"/>
    <tableColumn id="8" xr3:uid="{9A5989E1-7127-472D-87BE-0C32EF26959A}" uniqueName="8" name="Column8" queryTableFieldId="8"/>
    <tableColumn id="9" xr3:uid="{ED09EA3D-B48B-4863-935C-E53FE5FAD35F}" uniqueName="9" name="Column9" queryTableFieldId="9"/>
    <tableColumn id="10" xr3:uid="{4F444D2A-8784-495C-AC1D-D037ADEFD28C}" uniqueName="10" name="Column10" queryTableFieldId="10"/>
    <tableColumn id="11" xr3:uid="{824CCD05-6CB5-41F8-B204-564B527CFF93}" uniqueName="11" name="Column11" queryTableFieldId="11"/>
    <tableColumn id="12" xr3:uid="{C75676F9-EDC8-4C4F-847D-CF135F1977E3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R21" totalsRowCount="1" headerRowDxfId="35" dataDxfId="34">
  <autoFilter ref="B2:R20" xr:uid="{11196D4F-0C08-44E6-8845-054A162CF400}"/>
  <tableColumns count="17">
    <tableColumn id="1" xr3:uid="{7E5944E0-EEF7-48BA-9C65-2A065AAFA2D9}" name="DATE" totalsRowFunction="custom" dataDxfId="33" totalsRowDxfId="32">
      <totalsRowFormula>_xlfn.CONCAT("COUNT: ", SUBTOTAL(103,_TBL_SALES[DATE]))</totalsRowFormula>
    </tableColumn>
    <tableColumn id="19" xr3:uid="{6BC3B3DA-772F-4E14-B1C6-A39753375201}" name="Delivered" dataDxfId="31" totalsRowDxfId="30">
      <calculatedColumnFormula>NOW</calculatedColumnFormula>
    </tableColumn>
    <tableColumn id="20" xr3:uid="{82FF3666-2A41-4250-979A-EE117C118F8F}" name="Claimed" dataDxfId="29" totalsRowDxfId="28"/>
    <tableColumn id="18" xr3:uid="{9ED063BC-1BA2-4035-BB32-6A5C0E06C960}" name="Deposited" dataDxfId="27" totalsRowDxfId="26"/>
    <tableColumn id="2" xr3:uid="{6346439F-B17B-42E4-B169-E92F350D30A5}" name="MAIN PRODUCT" totalsRowLabel="TOTAL: " dataDxfId="25" totalsRowDxfId="24"/>
    <tableColumn id="4" xr3:uid="{95CD9087-654C-4E2A-AF3A-261436977333}" name="PRICE DEFAULT" totalsRowFunction="sum" dataDxfId="23" totalsRowDxfId="22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1" totalsRowDxfId="20"/>
    <tableColumn id="11" xr3:uid="{9F9E45A1-7B2D-48FF-A185-8ED8FCD21D9D}" name="Add Ons 2" dataDxfId="19" totalsRowDxfId="18"/>
    <tableColumn id="9" xr3:uid="{631CE9C0-E0FE-462C-B49B-A25E944D45BA}" name="Add Ons 3" dataDxfId="17" totalsRowDxfId="16"/>
    <tableColumn id="14" xr3:uid="{4F652C77-A69B-4014-BFAE-0FAAD8498F77}" name="Freebies" dataDxfId="15" totalsRowDxfId="14"/>
    <tableColumn id="5" xr3:uid="{20315BED-21B2-403E-9EB7-F0CC6C891D05}" name="Add Ons Cost" totalsRowFunction="sum" dataDxfId="13" totalsRowDxfId="12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11" totalsRowDxfId="10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9" totalsRowDxfId="8"/>
    <tableColumn id="15" xr3:uid="{C850479C-9FBF-41B6-9481-67EEC0E365B5}" name="BALANCE" totalsRowFunction="sum" dataDxfId="7" totalsRowDxfId="6">
      <calculatedColumnFormula>IF(_TBL_SALES[[#This Row],[TOTAL PAYMEMT]] ="", "",IFERROR(_TBL_SALES[[#This Row],[TOTAL PAYMEMT]]-_TBL_SALES[[#This Row],[DOWNPAYMENT]],""))</calculatedColumnFormula>
    </tableColumn>
    <tableColumn id="17" xr3:uid="{DDC83FD6-C731-42D7-8829-E231821D2D53}" name="SHIPPING FEE" totalsRowFunction="sum" dataDxfId="5" totalsRowDxfId="4">
      <calculatedColumnFormula>612+477</calculatedColumnFormula>
    </tableColumn>
    <tableColumn id="12" xr3:uid="{D39A6313-D05B-4F52-BB42-9CB3C17B1ABB}" name="RECEIVABLE" totalsRowFunction="sum" dataDxfId="3" totalsRowDxfId="2">
      <calculatedColumnFormula>IFERROR(_TBL_SALES[[#This Row],[BALANCE]]+_TBL_SALES[[#This Row],[SHIPPING FEE]], "")</calculatedColumnFormula>
    </tableColumn>
    <tableColumn id="6" xr3:uid="{C248064F-C2EB-414B-92FA-814B8706B646}" name="BOX CONTENT" dataDxfId="1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152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153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154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6" x14ac:dyDescent="0.25">
      <c r="A49">
        <v>48</v>
      </c>
      <c r="B49" t="s">
        <v>105</v>
      </c>
      <c r="C49" t="s">
        <v>6</v>
      </c>
      <c r="D49" t="s">
        <v>105</v>
      </c>
    </row>
    <row r="50" spans="1:6" x14ac:dyDescent="0.25">
      <c r="A50">
        <v>49</v>
      </c>
      <c r="B50" t="s">
        <v>106</v>
      </c>
      <c r="C50" t="s">
        <v>6</v>
      </c>
      <c r="D50" t="s">
        <v>106</v>
      </c>
    </row>
    <row r="51" spans="1:6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6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6" x14ac:dyDescent="0.25">
      <c r="A53">
        <v>52</v>
      </c>
      <c r="B53" t="s">
        <v>109</v>
      </c>
      <c r="C53" t="s">
        <v>6</v>
      </c>
      <c r="D53" t="s">
        <v>109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152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153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154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159</v>
      </c>
      <c r="C60" t="s">
        <v>15</v>
      </c>
      <c r="E60" t="s">
        <v>159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E6"/>
  <sheetViews>
    <sheetView workbookViewId="0">
      <selection sqref="A1:D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81.14062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155</v>
      </c>
      <c r="D1" t="s">
        <v>2</v>
      </c>
      <c r="E1" t="s">
        <v>21</v>
      </c>
    </row>
    <row r="2" spans="1:5" x14ac:dyDescent="0.25">
      <c r="A2">
        <v>1</v>
      </c>
      <c r="B2" t="s">
        <v>124</v>
      </c>
      <c r="D2" t="s">
        <v>156</v>
      </c>
      <c r="E2" t="s">
        <v>157</v>
      </c>
    </row>
    <row r="3" spans="1:5" x14ac:dyDescent="0.25">
      <c r="A3">
        <v>2</v>
      </c>
      <c r="B3" t="s">
        <v>125</v>
      </c>
      <c r="D3" t="s">
        <v>156</v>
      </c>
      <c r="E3" t="s">
        <v>136</v>
      </c>
    </row>
    <row r="4" spans="1:5" x14ac:dyDescent="0.25">
      <c r="A4">
        <v>3</v>
      </c>
      <c r="B4" t="s">
        <v>126</v>
      </c>
      <c r="D4" t="s">
        <v>156</v>
      </c>
      <c r="E4" t="s">
        <v>137</v>
      </c>
    </row>
    <row r="5" spans="1:5" x14ac:dyDescent="0.25">
      <c r="A5">
        <v>4</v>
      </c>
      <c r="B5" t="s">
        <v>127</v>
      </c>
      <c r="D5" t="s">
        <v>156</v>
      </c>
      <c r="E5" t="s">
        <v>138</v>
      </c>
    </row>
    <row r="6" spans="1:5" x14ac:dyDescent="0.25">
      <c r="A6">
        <v>5</v>
      </c>
      <c r="B6" t="s">
        <v>150</v>
      </c>
      <c r="C6">
        <v>2000</v>
      </c>
      <c r="D6" t="s">
        <v>158</v>
      </c>
      <c r="E6" t="s">
        <v>151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L50"/>
  <sheetViews>
    <sheetView zoomScale="50" zoomScaleNormal="50" workbookViewId="0">
      <selection sqref="A1:L206"/>
    </sheetView>
  </sheetViews>
  <sheetFormatPr defaultRowHeight="15" x14ac:dyDescent="0.25"/>
  <cols>
    <col min="1" max="1" width="9.5703125" bestFit="1" customWidth="1"/>
    <col min="2" max="2" width="30.140625" bestFit="1" customWidth="1"/>
    <col min="3" max="3" width="26.42578125" bestFit="1" customWidth="1"/>
    <col min="4" max="4" width="30.140625" bestFit="1" customWidth="1"/>
    <col min="5" max="9" width="17.28515625" bestFit="1" customWidth="1"/>
    <col min="10" max="10" width="18.42578125" bestFit="1" customWidth="1"/>
    <col min="11" max="11" width="18.140625" bestFit="1" customWidth="1"/>
    <col min="12" max="12" width="18.425781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160</v>
      </c>
      <c r="F2" t="s">
        <v>160</v>
      </c>
      <c r="G2" t="s">
        <v>160</v>
      </c>
      <c r="H2" t="s">
        <v>160</v>
      </c>
      <c r="I2" t="s">
        <v>160</v>
      </c>
      <c r="J2" t="s">
        <v>160</v>
      </c>
      <c r="K2" t="s">
        <v>160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160</v>
      </c>
      <c r="F3" t="s">
        <v>160</v>
      </c>
      <c r="G3" t="s">
        <v>160</v>
      </c>
      <c r="H3" t="s">
        <v>160</v>
      </c>
      <c r="I3" t="s">
        <v>160</v>
      </c>
      <c r="J3" t="s">
        <v>160</v>
      </c>
      <c r="K3" t="s">
        <v>160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160</v>
      </c>
      <c r="F4" t="s">
        <v>160</v>
      </c>
      <c r="G4" t="s">
        <v>160</v>
      </c>
      <c r="H4" t="s">
        <v>160</v>
      </c>
      <c r="I4" t="s">
        <v>160</v>
      </c>
      <c r="J4" t="s">
        <v>160</v>
      </c>
      <c r="K4" t="s">
        <v>160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160</v>
      </c>
      <c r="F5" t="s">
        <v>160</v>
      </c>
      <c r="G5" t="s">
        <v>160</v>
      </c>
      <c r="H5" t="s">
        <v>160</v>
      </c>
      <c r="I5" t="s">
        <v>160</v>
      </c>
      <c r="J5" t="s">
        <v>160</v>
      </c>
      <c r="K5" t="s">
        <v>160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160</v>
      </c>
      <c r="F6" t="s">
        <v>160</v>
      </c>
      <c r="G6" t="s">
        <v>160</v>
      </c>
      <c r="H6" t="s">
        <v>160</v>
      </c>
      <c r="I6" t="s">
        <v>160</v>
      </c>
      <c r="J6" t="s">
        <v>160</v>
      </c>
      <c r="K6" t="s">
        <v>160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160</v>
      </c>
      <c r="F7" t="s">
        <v>160</v>
      </c>
      <c r="G7" t="s">
        <v>160</v>
      </c>
      <c r="H7" t="s">
        <v>160</v>
      </c>
      <c r="I7" t="s">
        <v>160</v>
      </c>
      <c r="J7" t="s">
        <v>160</v>
      </c>
      <c r="K7" t="s">
        <v>160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160</v>
      </c>
      <c r="F8" t="s">
        <v>160</v>
      </c>
      <c r="G8" t="s">
        <v>160</v>
      </c>
      <c r="H8" t="s">
        <v>160</v>
      </c>
      <c r="I8" t="s">
        <v>160</v>
      </c>
      <c r="J8" t="s">
        <v>160</v>
      </c>
      <c r="K8" t="s">
        <v>160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160</v>
      </c>
      <c r="F9" t="s">
        <v>160</v>
      </c>
      <c r="G9" t="s">
        <v>160</v>
      </c>
      <c r="H9" t="s">
        <v>160</v>
      </c>
      <c r="I9" t="s">
        <v>160</v>
      </c>
      <c r="J9" t="s">
        <v>160</v>
      </c>
      <c r="K9" t="s">
        <v>160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160</v>
      </c>
      <c r="K10" t="s">
        <v>160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160</v>
      </c>
      <c r="F11" t="s">
        <v>160</v>
      </c>
      <c r="G11" t="s">
        <v>160</v>
      </c>
      <c r="H11" t="s">
        <v>160</v>
      </c>
      <c r="I11" t="s">
        <v>160</v>
      </c>
      <c r="J11" t="s">
        <v>160</v>
      </c>
      <c r="K11" t="s">
        <v>160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160</v>
      </c>
      <c r="F12" t="s">
        <v>160</v>
      </c>
      <c r="G12" t="s">
        <v>160</v>
      </c>
      <c r="H12" t="s">
        <v>160</v>
      </c>
      <c r="I12" t="s">
        <v>160</v>
      </c>
      <c r="J12" t="s">
        <v>160</v>
      </c>
      <c r="K12" t="s">
        <v>160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160</v>
      </c>
      <c r="F13" t="s">
        <v>160</v>
      </c>
      <c r="G13" t="s">
        <v>160</v>
      </c>
      <c r="H13" t="s">
        <v>160</v>
      </c>
      <c r="I13" t="s">
        <v>160</v>
      </c>
      <c r="J13" t="s">
        <v>160</v>
      </c>
      <c r="K13" t="s">
        <v>160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160</v>
      </c>
      <c r="F14" t="s">
        <v>160</v>
      </c>
      <c r="G14" t="s">
        <v>160</v>
      </c>
      <c r="H14" t="s">
        <v>160</v>
      </c>
      <c r="I14" t="s">
        <v>160</v>
      </c>
      <c r="J14" t="s">
        <v>160</v>
      </c>
      <c r="K14" t="s">
        <v>160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160</v>
      </c>
      <c r="F15" t="s">
        <v>160</v>
      </c>
      <c r="G15" t="s">
        <v>160</v>
      </c>
      <c r="H15" t="s">
        <v>160</v>
      </c>
      <c r="I15" t="s">
        <v>160</v>
      </c>
      <c r="J15" t="s">
        <v>160</v>
      </c>
      <c r="K15" t="s">
        <v>160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160</v>
      </c>
      <c r="F16" t="s">
        <v>160</v>
      </c>
      <c r="G16" t="s">
        <v>160</v>
      </c>
      <c r="H16" t="s">
        <v>160</v>
      </c>
      <c r="I16" t="s">
        <v>160</v>
      </c>
      <c r="J16" t="s">
        <v>160</v>
      </c>
      <c r="K16" t="s">
        <v>160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160</v>
      </c>
      <c r="F17" t="s">
        <v>160</v>
      </c>
      <c r="G17" t="s">
        <v>160</v>
      </c>
      <c r="H17" t="s">
        <v>160</v>
      </c>
      <c r="I17" t="s">
        <v>160</v>
      </c>
      <c r="J17" t="s">
        <v>160</v>
      </c>
      <c r="K17" t="s">
        <v>160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160</v>
      </c>
      <c r="F18" t="s">
        <v>160</v>
      </c>
      <c r="G18" t="s">
        <v>160</v>
      </c>
      <c r="H18" t="s">
        <v>160</v>
      </c>
      <c r="I18" t="s">
        <v>160</v>
      </c>
      <c r="J18" t="s">
        <v>160</v>
      </c>
      <c r="K18" t="s">
        <v>160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160</v>
      </c>
      <c r="F19" t="s">
        <v>160</v>
      </c>
      <c r="G19" t="s">
        <v>160</v>
      </c>
      <c r="H19" t="s">
        <v>160</v>
      </c>
      <c r="I19" t="s">
        <v>160</v>
      </c>
      <c r="J19" t="s">
        <v>160</v>
      </c>
      <c r="K19" t="s">
        <v>160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160</v>
      </c>
      <c r="F20" t="s">
        <v>160</v>
      </c>
      <c r="G20" t="s">
        <v>160</v>
      </c>
      <c r="H20" t="s">
        <v>160</v>
      </c>
      <c r="I20" t="s">
        <v>160</v>
      </c>
      <c r="J20" t="s">
        <v>160</v>
      </c>
      <c r="K20" t="s">
        <v>160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160</v>
      </c>
      <c r="F21" t="s">
        <v>160</v>
      </c>
      <c r="G21" t="s">
        <v>160</v>
      </c>
      <c r="H21" t="s">
        <v>160</v>
      </c>
      <c r="I21" t="s">
        <v>160</v>
      </c>
      <c r="J21" t="s">
        <v>160</v>
      </c>
      <c r="K21" t="s">
        <v>160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160</v>
      </c>
      <c r="F22" t="s">
        <v>160</v>
      </c>
      <c r="G22" t="s">
        <v>160</v>
      </c>
      <c r="H22" t="s">
        <v>160</v>
      </c>
      <c r="I22" t="s">
        <v>160</v>
      </c>
      <c r="J22" t="s">
        <v>160</v>
      </c>
      <c r="K22" t="s">
        <v>160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160</v>
      </c>
      <c r="F23" t="s">
        <v>160</v>
      </c>
      <c r="G23" t="s">
        <v>160</v>
      </c>
      <c r="H23" t="s">
        <v>160</v>
      </c>
      <c r="I23" t="s">
        <v>160</v>
      </c>
      <c r="J23" t="s">
        <v>160</v>
      </c>
      <c r="K23" t="s">
        <v>160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160</v>
      </c>
      <c r="F24" t="s">
        <v>160</v>
      </c>
      <c r="G24" t="s">
        <v>160</v>
      </c>
      <c r="H24" t="s">
        <v>160</v>
      </c>
      <c r="I24" t="s">
        <v>160</v>
      </c>
      <c r="J24" t="s">
        <v>160</v>
      </c>
      <c r="K24" t="s">
        <v>160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160</v>
      </c>
      <c r="F25" t="s">
        <v>160</v>
      </c>
      <c r="G25" t="s">
        <v>160</v>
      </c>
      <c r="H25" t="s">
        <v>160</v>
      </c>
      <c r="I25" t="s">
        <v>160</v>
      </c>
      <c r="J25" t="s">
        <v>160</v>
      </c>
      <c r="K25" t="s">
        <v>160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160</v>
      </c>
      <c r="F26" t="s">
        <v>160</v>
      </c>
      <c r="G26" t="s">
        <v>160</v>
      </c>
      <c r="H26" t="s">
        <v>160</v>
      </c>
      <c r="I26" t="s">
        <v>160</v>
      </c>
      <c r="J26" t="s">
        <v>160</v>
      </c>
      <c r="K26" t="s">
        <v>160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160</v>
      </c>
      <c r="F27" t="s">
        <v>160</v>
      </c>
      <c r="G27" t="s">
        <v>160</v>
      </c>
      <c r="H27" t="s">
        <v>160</v>
      </c>
      <c r="I27" t="s">
        <v>160</v>
      </c>
      <c r="J27" t="s">
        <v>160</v>
      </c>
      <c r="K27" t="s">
        <v>160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160</v>
      </c>
      <c r="F28" t="s">
        <v>160</v>
      </c>
      <c r="G28" t="s">
        <v>160</v>
      </c>
      <c r="H28" t="s">
        <v>160</v>
      </c>
      <c r="I28" t="s">
        <v>160</v>
      </c>
      <c r="J28" t="s">
        <v>160</v>
      </c>
      <c r="K28" t="s">
        <v>160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160</v>
      </c>
      <c r="F29" t="s">
        <v>160</v>
      </c>
      <c r="G29" t="s">
        <v>160</v>
      </c>
      <c r="H29" t="s">
        <v>160</v>
      </c>
      <c r="I29" t="s">
        <v>160</v>
      </c>
      <c r="J29" t="s">
        <v>160</v>
      </c>
      <c r="K29" t="s">
        <v>160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160</v>
      </c>
      <c r="F30" t="s">
        <v>160</v>
      </c>
      <c r="G30" t="s">
        <v>160</v>
      </c>
      <c r="H30" t="s">
        <v>160</v>
      </c>
      <c r="I30" t="s">
        <v>160</v>
      </c>
      <c r="J30" t="s">
        <v>160</v>
      </c>
      <c r="K30" t="s">
        <v>160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160</v>
      </c>
      <c r="F31" t="s">
        <v>160</v>
      </c>
      <c r="G31" t="s">
        <v>160</v>
      </c>
      <c r="H31" t="s">
        <v>160</v>
      </c>
      <c r="I31" t="s">
        <v>160</v>
      </c>
      <c r="J31" t="s">
        <v>160</v>
      </c>
      <c r="K31" t="s">
        <v>160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160</v>
      </c>
      <c r="F32" t="s">
        <v>160</v>
      </c>
      <c r="G32" t="s">
        <v>160</v>
      </c>
      <c r="H32" t="s">
        <v>160</v>
      </c>
      <c r="I32" t="s">
        <v>160</v>
      </c>
      <c r="J32" t="s">
        <v>160</v>
      </c>
      <c r="K32" t="s">
        <v>160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160</v>
      </c>
      <c r="F33" t="s">
        <v>160</v>
      </c>
      <c r="G33" t="s">
        <v>160</v>
      </c>
      <c r="H33" t="s">
        <v>160</v>
      </c>
      <c r="I33" t="s">
        <v>160</v>
      </c>
      <c r="J33" t="s">
        <v>160</v>
      </c>
      <c r="K33" t="s">
        <v>160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160</v>
      </c>
      <c r="F34" t="s">
        <v>160</v>
      </c>
      <c r="G34" t="s">
        <v>160</v>
      </c>
      <c r="H34" t="s">
        <v>160</v>
      </c>
      <c r="I34" t="s">
        <v>160</v>
      </c>
      <c r="J34" t="s">
        <v>160</v>
      </c>
      <c r="K34" t="s">
        <v>160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160</v>
      </c>
      <c r="F35" t="s">
        <v>160</v>
      </c>
      <c r="G35" t="s">
        <v>160</v>
      </c>
      <c r="H35" t="s">
        <v>160</v>
      </c>
      <c r="I35" t="s">
        <v>160</v>
      </c>
      <c r="J35" t="s">
        <v>160</v>
      </c>
      <c r="K35" t="s">
        <v>160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160</v>
      </c>
      <c r="F36" t="s">
        <v>160</v>
      </c>
      <c r="G36" t="s">
        <v>160</v>
      </c>
      <c r="H36" t="s">
        <v>160</v>
      </c>
      <c r="I36" t="s">
        <v>160</v>
      </c>
      <c r="J36" t="s">
        <v>160</v>
      </c>
      <c r="K36" t="s">
        <v>160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160</v>
      </c>
      <c r="F37" t="s">
        <v>160</v>
      </c>
      <c r="G37" t="s">
        <v>160</v>
      </c>
      <c r="H37" t="s">
        <v>160</v>
      </c>
      <c r="I37" t="s">
        <v>160</v>
      </c>
      <c r="J37" t="s">
        <v>160</v>
      </c>
      <c r="K37" t="s">
        <v>160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160</v>
      </c>
      <c r="F38" t="s">
        <v>160</v>
      </c>
      <c r="G38" t="s">
        <v>160</v>
      </c>
      <c r="H38" t="s">
        <v>160</v>
      </c>
      <c r="I38" t="s">
        <v>160</v>
      </c>
      <c r="J38" t="s">
        <v>160</v>
      </c>
      <c r="K38" t="s">
        <v>160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160</v>
      </c>
      <c r="F39" t="s">
        <v>160</v>
      </c>
      <c r="G39" t="s">
        <v>160</v>
      </c>
      <c r="H39" t="s">
        <v>160</v>
      </c>
      <c r="I39" t="s">
        <v>160</v>
      </c>
      <c r="J39" t="s">
        <v>160</v>
      </c>
      <c r="K39" t="s">
        <v>160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160</v>
      </c>
      <c r="F40" t="s">
        <v>160</v>
      </c>
      <c r="G40" t="s">
        <v>160</v>
      </c>
      <c r="H40" t="s">
        <v>160</v>
      </c>
      <c r="I40" t="s">
        <v>160</v>
      </c>
      <c r="J40" t="s">
        <v>160</v>
      </c>
      <c r="K40" t="s">
        <v>160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160</v>
      </c>
      <c r="F41" t="s">
        <v>160</v>
      </c>
      <c r="G41" t="s">
        <v>160</v>
      </c>
      <c r="H41" t="s">
        <v>160</v>
      </c>
      <c r="I41" t="s">
        <v>160</v>
      </c>
      <c r="J41" t="s">
        <v>160</v>
      </c>
      <c r="K41" t="s">
        <v>160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160</v>
      </c>
      <c r="F42" t="s">
        <v>160</v>
      </c>
      <c r="G42" t="s">
        <v>160</v>
      </c>
      <c r="H42" t="s">
        <v>160</v>
      </c>
      <c r="I42" t="s">
        <v>160</v>
      </c>
      <c r="J42" t="s">
        <v>160</v>
      </c>
      <c r="K42" t="s">
        <v>160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160</v>
      </c>
      <c r="F43" t="s">
        <v>160</v>
      </c>
      <c r="G43" t="s">
        <v>160</v>
      </c>
      <c r="H43" t="s">
        <v>160</v>
      </c>
      <c r="I43" t="s">
        <v>160</v>
      </c>
      <c r="J43" t="s">
        <v>160</v>
      </c>
      <c r="K43" t="s">
        <v>160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160</v>
      </c>
      <c r="F44" t="s">
        <v>160</v>
      </c>
      <c r="G44" t="s">
        <v>160</v>
      </c>
      <c r="H44" t="s">
        <v>160</v>
      </c>
      <c r="I44" t="s">
        <v>160</v>
      </c>
      <c r="J44" t="s">
        <v>160</v>
      </c>
      <c r="K44" t="s">
        <v>160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160</v>
      </c>
      <c r="F45" t="s">
        <v>160</v>
      </c>
      <c r="G45" t="s">
        <v>160</v>
      </c>
      <c r="H45" t="s">
        <v>160</v>
      </c>
      <c r="I45" t="s">
        <v>160</v>
      </c>
      <c r="J45" t="s">
        <v>160</v>
      </c>
      <c r="K45" t="s">
        <v>160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160</v>
      </c>
      <c r="F46" t="s">
        <v>160</v>
      </c>
      <c r="G46" t="s">
        <v>160</v>
      </c>
      <c r="H46" t="s">
        <v>160</v>
      </c>
      <c r="I46" t="s">
        <v>160</v>
      </c>
      <c r="J46" t="s">
        <v>160</v>
      </c>
      <c r="K46" t="s">
        <v>160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160</v>
      </c>
      <c r="F47" t="s">
        <v>160</v>
      </c>
      <c r="G47" t="s">
        <v>160</v>
      </c>
      <c r="H47" t="s">
        <v>160</v>
      </c>
      <c r="I47" t="s">
        <v>160</v>
      </c>
      <c r="J47" t="s">
        <v>160</v>
      </c>
      <c r="K47" t="s">
        <v>160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160</v>
      </c>
      <c r="F48" t="s">
        <v>160</v>
      </c>
      <c r="G48" t="s">
        <v>160</v>
      </c>
      <c r="H48" t="s">
        <v>160</v>
      </c>
      <c r="I48" t="s">
        <v>160</v>
      </c>
      <c r="J48" t="s">
        <v>160</v>
      </c>
      <c r="K48" t="s">
        <v>160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160</v>
      </c>
      <c r="F49" t="s">
        <v>160</v>
      </c>
      <c r="G49" t="s">
        <v>160</v>
      </c>
      <c r="H49" t="s">
        <v>160</v>
      </c>
      <c r="I49" t="s">
        <v>160</v>
      </c>
      <c r="J49" t="s">
        <v>160</v>
      </c>
      <c r="K49" t="s">
        <v>160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161</v>
      </c>
      <c r="F50" t="s">
        <v>160</v>
      </c>
      <c r="G50" t="s">
        <v>160</v>
      </c>
      <c r="H50" t="s">
        <v>160</v>
      </c>
      <c r="I50" t="s">
        <v>160</v>
      </c>
      <c r="J50" t="s">
        <v>160</v>
      </c>
      <c r="K50" t="s">
        <v>160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134</v>
      </c>
      <c r="C2">
        <v>250</v>
      </c>
    </row>
    <row r="3" spans="1:3" x14ac:dyDescent="0.25">
      <c r="A3">
        <v>2</v>
      </c>
      <c r="B3" t="s">
        <v>139</v>
      </c>
      <c r="C3">
        <v>100</v>
      </c>
    </row>
    <row r="4" spans="1:3" x14ac:dyDescent="0.25">
      <c r="A4">
        <v>3</v>
      </c>
      <c r="B4" t="s">
        <v>140</v>
      </c>
      <c r="C4">
        <v>100</v>
      </c>
    </row>
    <row r="5" spans="1:3" x14ac:dyDescent="0.25">
      <c r="A5">
        <v>4</v>
      </c>
      <c r="B5" t="s">
        <v>141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R22"/>
  <sheetViews>
    <sheetView tabSelected="1" topLeftCell="F1" zoomScale="85" zoomScaleNormal="55" workbookViewId="0">
      <selection activeCell="H3" sqref="H3"/>
    </sheetView>
  </sheetViews>
  <sheetFormatPr defaultRowHeight="15" x14ac:dyDescent="0.25"/>
  <cols>
    <col min="2" max="2" width="18.42578125" customWidth="1"/>
    <col min="3" max="3" width="15.42578125" customWidth="1"/>
    <col min="4" max="4" width="13.5703125" customWidth="1"/>
    <col min="5" max="5" width="17.28515625" customWidth="1"/>
    <col min="6" max="6" width="41" customWidth="1"/>
    <col min="7" max="7" width="21.140625" customWidth="1"/>
    <col min="8" max="8" width="22.42578125" customWidth="1"/>
    <col min="9" max="9" width="18" customWidth="1"/>
    <col min="10" max="10" width="19.7109375" customWidth="1"/>
    <col min="11" max="11" width="18.7109375" bestFit="1" customWidth="1"/>
    <col min="12" max="13" width="15.5703125" bestFit="1" customWidth="1"/>
    <col min="14" max="14" width="18.85546875" customWidth="1"/>
    <col min="15" max="15" width="13" customWidth="1"/>
    <col min="16" max="16" width="12.42578125" customWidth="1"/>
    <col min="17" max="17" width="14" customWidth="1"/>
    <col min="18" max="18" width="185.7109375" bestFit="1" customWidth="1"/>
  </cols>
  <sheetData>
    <row r="1" spans="2:18" x14ac:dyDescent="0.25">
      <c r="C1" s="8" t="s">
        <v>18</v>
      </c>
      <c r="D1" s="8"/>
      <c r="E1" s="8"/>
      <c r="F1" s="8"/>
      <c r="G1" s="8"/>
    </row>
    <row r="2" spans="2:18" ht="15.75" thickBot="1" x14ac:dyDescent="0.3">
      <c r="B2" s="1" t="s">
        <v>9</v>
      </c>
      <c r="C2" s="1" t="s">
        <v>147</v>
      </c>
      <c r="D2" s="1" t="s">
        <v>148</v>
      </c>
      <c r="E2" t="s">
        <v>149</v>
      </c>
      <c r="F2" s="1" t="s">
        <v>135</v>
      </c>
      <c r="G2" s="1" t="s">
        <v>22</v>
      </c>
      <c r="H2" s="1" t="s">
        <v>51</v>
      </c>
      <c r="I2" s="1" t="s">
        <v>52</v>
      </c>
      <c r="J2" s="1" t="s">
        <v>53</v>
      </c>
      <c r="K2" s="1" t="s">
        <v>14</v>
      </c>
      <c r="L2" s="1" t="s">
        <v>128</v>
      </c>
      <c r="M2" s="1" t="s">
        <v>133</v>
      </c>
      <c r="N2" s="1" t="s">
        <v>143</v>
      </c>
      <c r="O2" s="1" t="s">
        <v>144</v>
      </c>
      <c r="P2" s="1" t="s">
        <v>145</v>
      </c>
      <c r="Q2" s="1" t="s">
        <v>146</v>
      </c>
      <c r="R2" s="1" t="s">
        <v>142</v>
      </c>
    </row>
    <row r="3" spans="2:18" x14ac:dyDescent="0.25">
      <c r="B3" s="2">
        <v>45787</v>
      </c>
      <c r="C3" s="25"/>
      <c r="D3" s="26"/>
      <c r="E3" s="27"/>
      <c r="F3" s="22" t="s">
        <v>57</v>
      </c>
      <c r="G3" s="5">
        <f xml:space="preserve"> _xlfn.IFNA( VLOOKUP(_TBL_SALES[[#This Row],[MAIN PRODUCT]], MAIN_PRODUCT[[PRODUCT NAME]:[DEFAULT PRICE]], 2), "")</f>
        <v>3990</v>
      </c>
      <c r="H3" s="11"/>
      <c r="I3" s="12"/>
      <c r="J3" s="12"/>
      <c r="K3" s="13" t="s">
        <v>124</v>
      </c>
      <c r="L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3" s="11">
        <v>3990</v>
      </c>
      <c r="N3" s="13">
        <v>500</v>
      </c>
      <c r="O3" s="5">
        <f>IF(_TBL_SALES[[#This Row],[TOTAL PAYMEMT]] ="", "",IFERROR(_TBL_SALES[[#This Row],[TOTAL PAYMEMT]]-_TBL_SALES[[#This Row],[DOWNPAYMENT]],""))</f>
        <v>3490</v>
      </c>
      <c r="P3" s="19">
        <v>400</v>
      </c>
      <c r="Q3" s="5">
        <f>IF(_TBL_SALES[[#This Row],[BALANCE]] = "", "", IFERROR(_TBL_SALES[[#This Row],[BALANCE]]+_TBL_SALES[[#This Row],[SHIPPING FEE]], ""))</f>
        <v>3890</v>
      </c>
      <c r="R3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32</v>
      </c>
    </row>
    <row r="4" spans="2:18" x14ac:dyDescent="0.25">
      <c r="B4" s="2">
        <v>45787</v>
      </c>
      <c r="C4" s="28"/>
      <c r="D4" s="2"/>
      <c r="E4" s="29"/>
      <c r="F4" s="23" t="s">
        <v>57</v>
      </c>
      <c r="G4" s="5">
        <f xml:space="preserve"> _xlfn.IFNA( VLOOKUP(_TBL_SALES[[#This Row],[MAIN PRODUCT]], MAIN_PRODUCT[[PRODUCT NAME]:[DEFAULT PRICE]], 2), "")</f>
        <v>3990</v>
      </c>
      <c r="H4" s="9"/>
      <c r="I4" s="5"/>
      <c r="J4" s="5"/>
      <c r="K4" s="10"/>
      <c r="L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4" s="9"/>
      <c r="N4" s="10"/>
      <c r="O4" s="5" t="str">
        <f>IF(_TBL_SALES[[#This Row],[TOTAL PAYMEMT]] ="", "",IFERROR(_TBL_SALES[[#This Row],[TOTAL PAYMEMT]]-_TBL_SALES[[#This Row],[DOWNPAYMENT]],""))</f>
        <v/>
      </c>
      <c r="P4" s="20"/>
      <c r="Q4" s="5" t="str">
        <f>IF(_TBL_SALES[[#This Row],[BALANCE]] = "", "", IFERROR(_TBL_SALES[[#This Row],[BALANCE]]+_TBL_SALES[[#This Row],[SHIPPING FEE]], ""))</f>
        <v/>
      </c>
      <c r="R4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8" x14ac:dyDescent="0.25">
      <c r="B5" s="2"/>
      <c r="C5" s="28"/>
      <c r="D5" s="2"/>
      <c r="E5" s="29"/>
      <c r="F5" s="23"/>
      <c r="G5" s="5" t="str">
        <f xml:space="preserve"> _xlfn.IFNA( VLOOKUP(_TBL_SALES[[#This Row],[MAIN PRODUCT]], MAIN_PRODUCT[[PRODUCT NAME]:[DEFAULT PRICE]], 2), "")</f>
        <v/>
      </c>
      <c r="H5" s="9"/>
      <c r="I5" s="5"/>
      <c r="J5" s="5"/>
      <c r="K5" s="10"/>
      <c r="L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5" s="9"/>
      <c r="N5" s="10"/>
      <c r="O5" s="5" t="str">
        <f>IF(_TBL_SALES[[#This Row],[TOTAL PAYMEMT]] ="", "",IFERROR(_TBL_SALES[[#This Row],[TOTAL PAYMEMT]]-_TBL_SALES[[#This Row],[DOWNPAYMENT]],""))</f>
        <v/>
      </c>
      <c r="P5" s="20"/>
      <c r="Q5" s="5" t="str">
        <f>IF(_TBL_SALES[[#This Row],[BALANCE]] = "", "", IFERROR(_TBL_SALES[[#This Row],[BALANCE]]+_TBL_SALES[[#This Row],[SHIPPING FEE]], ""))</f>
        <v/>
      </c>
      <c r="R5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8" x14ac:dyDescent="0.25">
      <c r="B6" s="2"/>
      <c r="C6" s="28"/>
      <c r="D6" s="2"/>
      <c r="E6" s="29"/>
      <c r="F6" s="23"/>
      <c r="G6" s="5" t="str">
        <f xml:space="preserve"> _xlfn.IFNA( VLOOKUP(_TBL_SALES[[#This Row],[MAIN PRODUCT]], MAIN_PRODUCT[[PRODUCT NAME]:[DEFAULT PRICE]], 2), "")</f>
        <v/>
      </c>
      <c r="H6" s="9"/>
      <c r="I6" s="5"/>
      <c r="J6" s="5"/>
      <c r="K6" s="10"/>
      <c r="L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6" s="9"/>
      <c r="N6" s="10"/>
      <c r="O6" s="5" t="str">
        <f>IF(_TBL_SALES[[#This Row],[TOTAL PAYMEMT]] ="", "",IFERROR(_TBL_SALES[[#This Row],[TOTAL PAYMEMT]]-_TBL_SALES[[#This Row],[DOWNPAYMENT]],""))</f>
        <v/>
      </c>
      <c r="P6" s="20"/>
      <c r="Q6" s="5" t="str">
        <f>IF(_TBL_SALES[[#This Row],[BALANCE]] = "", "", IFERROR(_TBL_SALES[[#This Row],[BALANCE]]+_TBL_SALES[[#This Row],[SHIPPING FEE]], ""))</f>
        <v/>
      </c>
      <c r="R6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8" x14ac:dyDescent="0.25">
      <c r="B7" s="2"/>
      <c r="C7" s="28"/>
      <c r="D7" s="2"/>
      <c r="E7" s="29"/>
      <c r="F7" s="23"/>
      <c r="G7" s="5" t="str">
        <f xml:space="preserve"> _xlfn.IFNA( VLOOKUP(_TBL_SALES[[#This Row],[MAIN PRODUCT]], MAIN_PRODUCT[[PRODUCT NAME]:[DEFAULT PRICE]], 2), "")</f>
        <v/>
      </c>
      <c r="H7" s="9"/>
      <c r="I7" s="5"/>
      <c r="J7" s="5"/>
      <c r="K7" s="10"/>
      <c r="L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7" s="9"/>
      <c r="N7" s="10"/>
      <c r="O7" s="5" t="str">
        <f>IF(_TBL_SALES[[#This Row],[TOTAL PAYMEMT]] ="", "",IFERROR(_TBL_SALES[[#This Row],[TOTAL PAYMEMT]]-_TBL_SALES[[#This Row],[DOWNPAYMENT]],""))</f>
        <v/>
      </c>
      <c r="P7" s="20"/>
      <c r="Q7" s="5" t="str">
        <f>IF(_TBL_SALES[[#This Row],[BALANCE]] = "", "", IFERROR(_TBL_SALES[[#This Row],[BALANCE]]+_TBL_SALES[[#This Row],[SHIPPING FEE]], ""))</f>
        <v/>
      </c>
      <c r="R7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8" x14ac:dyDescent="0.25">
      <c r="B8" s="2"/>
      <c r="C8" s="28"/>
      <c r="D8" s="2"/>
      <c r="E8" s="29"/>
      <c r="F8" s="23"/>
      <c r="G8" s="5" t="str">
        <f xml:space="preserve"> _xlfn.IFNA( VLOOKUP(_TBL_SALES[[#This Row],[MAIN PRODUCT]], MAIN_PRODUCT[[PRODUCT NAME]:[DEFAULT PRICE]], 2), "")</f>
        <v/>
      </c>
      <c r="H8" s="9"/>
      <c r="I8" s="5"/>
      <c r="J8" s="5"/>
      <c r="K8" s="10"/>
      <c r="L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8" s="9"/>
      <c r="N8" s="10"/>
      <c r="O8" s="5" t="str">
        <f>IF(_TBL_SALES[[#This Row],[TOTAL PAYMEMT]] ="", "",IFERROR(_TBL_SALES[[#This Row],[TOTAL PAYMEMT]]-_TBL_SALES[[#This Row],[DOWNPAYMENT]],""))</f>
        <v/>
      </c>
      <c r="P8" s="20"/>
      <c r="Q8" s="5" t="str">
        <f>IF(_TBL_SALES[[#This Row],[BALANCE]] = "", "", IFERROR(_TBL_SALES[[#This Row],[BALANCE]]+_TBL_SALES[[#This Row],[SHIPPING FEE]], ""))</f>
        <v/>
      </c>
      <c r="R8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8" x14ac:dyDescent="0.25">
      <c r="B9" s="2"/>
      <c r="C9" s="28"/>
      <c r="D9" s="2"/>
      <c r="E9" s="29"/>
      <c r="F9" s="23"/>
      <c r="G9" s="5" t="str">
        <f xml:space="preserve"> _xlfn.IFNA( VLOOKUP(_TBL_SALES[[#This Row],[MAIN PRODUCT]], MAIN_PRODUCT[[PRODUCT NAME]:[DEFAULT PRICE]], 2), "")</f>
        <v/>
      </c>
      <c r="H9" s="9"/>
      <c r="I9" s="5"/>
      <c r="J9" s="5"/>
      <c r="K9" s="10"/>
      <c r="L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9" s="9"/>
      <c r="N9" s="10"/>
      <c r="O9" s="5" t="str">
        <f>IF(_TBL_SALES[[#This Row],[TOTAL PAYMEMT]] ="", "",IFERROR(_TBL_SALES[[#This Row],[TOTAL PAYMEMT]]-_TBL_SALES[[#This Row],[DOWNPAYMENT]],""))</f>
        <v/>
      </c>
      <c r="P9" s="20"/>
      <c r="Q9" s="5" t="str">
        <f>IF(_TBL_SALES[[#This Row],[BALANCE]] = "", "", IFERROR(_TBL_SALES[[#This Row],[BALANCE]]+_TBL_SALES[[#This Row],[SHIPPING FEE]], ""))</f>
        <v/>
      </c>
      <c r="R9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8" x14ac:dyDescent="0.25">
      <c r="B10" s="2"/>
      <c r="C10" s="28"/>
      <c r="D10" s="2"/>
      <c r="E10" s="29"/>
      <c r="F10" s="23"/>
      <c r="G10" s="5" t="str">
        <f xml:space="preserve"> _xlfn.IFNA( VLOOKUP(_TBL_SALES[[#This Row],[MAIN PRODUCT]], MAIN_PRODUCT[[PRODUCT NAME]:[DEFAULT PRICE]], 2), "")</f>
        <v/>
      </c>
      <c r="H10" s="9"/>
      <c r="I10" s="5"/>
      <c r="J10" s="5"/>
      <c r="K10" s="10"/>
      <c r="L1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0" s="9"/>
      <c r="N10" s="10"/>
      <c r="O10" s="5" t="str">
        <f>IF(_TBL_SALES[[#This Row],[TOTAL PAYMEMT]] ="", "",IFERROR(_TBL_SALES[[#This Row],[TOTAL PAYMEMT]]-_TBL_SALES[[#This Row],[DOWNPAYMENT]],""))</f>
        <v/>
      </c>
      <c r="P10" s="20"/>
      <c r="Q10" s="5" t="str">
        <f>IF(_TBL_SALES[[#This Row],[BALANCE]] = "", "", IFERROR(_TBL_SALES[[#This Row],[BALANCE]]+_TBL_SALES[[#This Row],[SHIPPING FEE]], ""))</f>
        <v/>
      </c>
      <c r="R10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8" x14ac:dyDescent="0.25">
      <c r="B11" s="2"/>
      <c r="C11" s="28"/>
      <c r="D11" s="2"/>
      <c r="E11" s="29"/>
      <c r="F11" s="23"/>
      <c r="G11" s="5" t="str">
        <f xml:space="preserve"> _xlfn.IFNA( VLOOKUP(_TBL_SALES[[#This Row],[MAIN PRODUCT]], MAIN_PRODUCT[[PRODUCT NAME]:[DEFAULT PRICE]], 2), "")</f>
        <v/>
      </c>
      <c r="H11" s="9"/>
      <c r="I11" s="5"/>
      <c r="J11" s="5"/>
      <c r="K11" s="10"/>
      <c r="L11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1" s="9"/>
      <c r="N11" s="10"/>
      <c r="O11" s="5" t="str">
        <f>IF(_TBL_SALES[[#This Row],[TOTAL PAYMEMT]] ="", "",IFERROR(_TBL_SALES[[#This Row],[TOTAL PAYMEMT]]-_TBL_SALES[[#This Row],[DOWNPAYMENT]],""))</f>
        <v/>
      </c>
      <c r="P11" s="20"/>
      <c r="Q11" s="5" t="str">
        <f>IF(_TBL_SALES[[#This Row],[BALANCE]] = "", "", IFERROR(_TBL_SALES[[#This Row],[BALANCE]]+_TBL_SALES[[#This Row],[SHIPPING FEE]], ""))</f>
        <v/>
      </c>
      <c r="R11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8" x14ac:dyDescent="0.25">
      <c r="B12" s="2"/>
      <c r="C12" s="28"/>
      <c r="D12" s="2"/>
      <c r="E12" s="29"/>
      <c r="F12" s="23"/>
      <c r="G12" s="5" t="str">
        <f xml:space="preserve"> _xlfn.IFNA( VLOOKUP(_TBL_SALES[[#This Row],[MAIN PRODUCT]], MAIN_PRODUCT[[PRODUCT NAME]:[DEFAULT PRICE]], 2), "")</f>
        <v/>
      </c>
      <c r="H12" s="9"/>
      <c r="I12" s="5"/>
      <c r="J12" s="5"/>
      <c r="K12" s="10"/>
      <c r="L12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2" s="9"/>
      <c r="N12" s="10"/>
      <c r="O12" s="5" t="str">
        <f>IF(_TBL_SALES[[#This Row],[TOTAL PAYMEMT]] ="", "",IFERROR(_TBL_SALES[[#This Row],[TOTAL PAYMEMT]]-_TBL_SALES[[#This Row],[DOWNPAYMENT]],""))</f>
        <v/>
      </c>
      <c r="P12" s="20"/>
      <c r="Q12" s="5" t="str">
        <f>IF(_TBL_SALES[[#This Row],[BALANCE]] = "", "", IFERROR(_TBL_SALES[[#This Row],[BALANCE]]+_TBL_SALES[[#This Row],[SHIPPING FEE]], ""))</f>
        <v/>
      </c>
      <c r="R12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8" x14ac:dyDescent="0.25">
      <c r="B13" s="2"/>
      <c r="C13" s="28"/>
      <c r="D13" s="2"/>
      <c r="E13" s="29"/>
      <c r="F13" s="23"/>
      <c r="G13" s="5" t="str">
        <f xml:space="preserve"> _xlfn.IFNA( VLOOKUP(_TBL_SALES[[#This Row],[MAIN PRODUCT]], MAIN_PRODUCT[[PRODUCT NAME]:[DEFAULT PRICE]], 2), "")</f>
        <v/>
      </c>
      <c r="H13" s="9"/>
      <c r="I13" s="5"/>
      <c r="J13" s="5"/>
      <c r="K13" s="10"/>
      <c r="L1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3" s="9"/>
      <c r="N13" s="10"/>
      <c r="O13" s="5" t="str">
        <f>IF(_TBL_SALES[[#This Row],[TOTAL PAYMEMT]] ="", "",IFERROR(_TBL_SALES[[#This Row],[TOTAL PAYMEMT]]-_TBL_SALES[[#This Row],[DOWNPAYMENT]],""))</f>
        <v/>
      </c>
      <c r="P13" s="20"/>
      <c r="Q13" s="5" t="str">
        <f>IF(_TBL_SALES[[#This Row],[BALANCE]] = "", "", IFERROR(_TBL_SALES[[#This Row],[BALANCE]]+_TBL_SALES[[#This Row],[SHIPPING FEE]], ""))</f>
        <v/>
      </c>
      <c r="R13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8" x14ac:dyDescent="0.25">
      <c r="B14" s="2"/>
      <c r="C14" s="28"/>
      <c r="D14" s="2"/>
      <c r="E14" s="29"/>
      <c r="F14" s="23"/>
      <c r="G14" s="5" t="str">
        <f xml:space="preserve"> _xlfn.IFNA( VLOOKUP(_TBL_SALES[[#This Row],[MAIN PRODUCT]], MAIN_PRODUCT[[PRODUCT NAME]:[DEFAULT PRICE]], 2), "")</f>
        <v/>
      </c>
      <c r="H14" s="9"/>
      <c r="I14" s="5"/>
      <c r="J14" s="5"/>
      <c r="K14" s="10"/>
      <c r="L1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4" s="9"/>
      <c r="N14" s="10"/>
      <c r="O14" s="5" t="str">
        <f>IF(_TBL_SALES[[#This Row],[TOTAL PAYMEMT]] ="", "",IFERROR(_TBL_SALES[[#This Row],[TOTAL PAYMEMT]]-_TBL_SALES[[#This Row],[DOWNPAYMENT]],""))</f>
        <v/>
      </c>
      <c r="P14" s="20"/>
      <c r="Q14" s="5" t="str">
        <f>IF(_TBL_SALES[[#This Row],[BALANCE]] = "", "", IFERROR(_TBL_SALES[[#This Row],[BALANCE]]+_TBL_SALES[[#This Row],[SHIPPING FEE]], ""))</f>
        <v/>
      </c>
      <c r="R14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8" x14ac:dyDescent="0.25">
      <c r="B15" s="2"/>
      <c r="C15" s="28"/>
      <c r="D15" s="2"/>
      <c r="E15" s="29"/>
      <c r="F15" s="23"/>
      <c r="G15" s="5" t="str">
        <f xml:space="preserve"> _xlfn.IFNA( VLOOKUP(_TBL_SALES[[#This Row],[MAIN PRODUCT]], MAIN_PRODUCT[[PRODUCT NAME]:[DEFAULT PRICE]], 2), "")</f>
        <v/>
      </c>
      <c r="H15" s="9"/>
      <c r="I15" s="5"/>
      <c r="J15" s="5"/>
      <c r="K15" s="10"/>
      <c r="L1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5" s="9"/>
      <c r="N15" s="10"/>
      <c r="O15" s="5" t="str">
        <f>IF(_TBL_SALES[[#This Row],[TOTAL PAYMEMT]] ="", "",IFERROR(_TBL_SALES[[#This Row],[TOTAL PAYMEMT]]-_TBL_SALES[[#This Row],[DOWNPAYMENT]],""))</f>
        <v/>
      </c>
      <c r="P15" s="20"/>
      <c r="Q15" s="5" t="str">
        <f>IF(_TBL_SALES[[#This Row],[BALANCE]] = "", "", IFERROR(_TBL_SALES[[#This Row],[BALANCE]]+_TBL_SALES[[#This Row],[SHIPPING FEE]], ""))</f>
        <v/>
      </c>
      <c r="R15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8" x14ac:dyDescent="0.25">
      <c r="B16" s="2"/>
      <c r="C16" s="28"/>
      <c r="D16" s="2"/>
      <c r="E16" s="29"/>
      <c r="F16" s="23"/>
      <c r="G16" s="5" t="str">
        <f xml:space="preserve"> _xlfn.IFNA( VLOOKUP(_TBL_SALES[[#This Row],[MAIN PRODUCT]], MAIN_PRODUCT[[PRODUCT NAME]:[DEFAULT PRICE]], 2), "")</f>
        <v/>
      </c>
      <c r="H16" s="9"/>
      <c r="I16" s="5"/>
      <c r="J16" s="5"/>
      <c r="K16" s="10"/>
      <c r="L1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6" s="9"/>
      <c r="N16" s="10"/>
      <c r="O16" s="5" t="str">
        <f>IF(_TBL_SALES[[#This Row],[TOTAL PAYMEMT]] ="", "",IFERROR(_TBL_SALES[[#This Row],[TOTAL PAYMEMT]]-_TBL_SALES[[#This Row],[DOWNPAYMENT]],""))</f>
        <v/>
      </c>
      <c r="P16" s="20"/>
      <c r="Q16" s="5" t="str">
        <f>IF(_TBL_SALES[[#This Row],[BALANCE]] = "", "", IFERROR(_TBL_SALES[[#This Row],[BALANCE]]+_TBL_SALES[[#This Row],[SHIPPING FEE]], ""))</f>
        <v/>
      </c>
      <c r="R16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7" spans="2:18" x14ac:dyDescent="0.25">
      <c r="B17" s="2"/>
      <c r="C17" s="28"/>
      <c r="D17" s="2"/>
      <c r="E17" s="29"/>
      <c r="F17" s="23"/>
      <c r="G17" s="5" t="str">
        <f xml:space="preserve"> _xlfn.IFNA( VLOOKUP(_TBL_SALES[[#This Row],[MAIN PRODUCT]], MAIN_PRODUCT[[PRODUCT NAME]:[DEFAULT PRICE]], 2), "")</f>
        <v/>
      </c>
      <c r="H17" s="9"/>
      <c r="I17" s="5"/>
      <c r="J17" s="5"/>
      <c r="K17" s="10"/>
      <c r="L1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7" s="9"/>
      <c r="N17" s="10"/>
      <c r="O17" s="5" t="str">
        <f>IF(_TBL_SALES[[#This Row],[TOTAL PAYMEMT]] ="", "",IFERROR(_TBL_SALES[[#This Row],[TOTAL PAYMEMT]]-_TBL_SALES[[#This Row],[DOWNPAYMENT]],""))</f>
        <v/>
      </c>
      <c r="P17" s="20"/>
      <c r="Q17" s="5" t="str">
        <f>IF(_TBL_SALES[[#This Row],[BALANCE]] = "", "", IFERROR(_TBL_SALES[[#This Row],[BALANCE]]+_TBL_SALES[[#This Row],[SHIPPING FEE]], ""))</f>
        <v/>
      </c>
      <c r="R17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8" spans="2:18" x14ac:dyDescent="0.25">
      <c r="B18" s="2"/>
      <c r="C18" s="28"/>
      <c r="D18" s="2"/>
      <c r="E18" s="29"/>
      <c r="F18" s="23"/>
      <c r="G18" s="5" t="str">
        <f xml:space="preserve"> _xlfn.IFNA( VLOOKUP(_TBL_SALES[[#This Row],[MAIN PRODUCT]], MAIN_PRODUCT[[PRODUCT NAME]:[DEFAULT PRICE]], 2), "")</f>
        <v/>
      </c>
      <c r="H18" s="9"/>
      <c r="I18" s="5"/>
      <c r="J18" s="5"/>
      <c r="K18" s="10"/>
      <c r="L1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8" s="9"/>
      <c r="N18" s="10"/>
      <c r="O18" s="5" t="str">
        <f>IF(_TBL_SALES[[#This Row],[TOTAL PAYMEMT]] ="", "",IFERROR(_TBL_SALES[[#This Row],[TOTAL PAYMEMT]]-_TBL_SALES[[#This Row],[DOWNPAYMENT]],""))</f>
        <v/>
      </c>
      <c r="P18" s="20"/>
      <c r="Q18" s="5" t="str">
        <f>IF(_TBL_SALES[[#This Row],[BALANCE]] = "", "", IFERROR(_TBL_SALES[[#This Row],[BALANCE]]+_TBL_SALES[[#This Row],[SHIPPING FEE]], ""))</f>
        <v/>
      </c>
      <c r="R18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9" spans="2:18" x14ac:dyDescent="0.25">
      <c r="B19" s="2"/>
      <c r="C19" s="28"/>
      <c r="D19" s="2"/>
      <c r="E19" s="29"/>
      <c r="F19" s="23"/>
      <c r="G19" s="5" t="str">
        <f xml:space="preserve"> _xlfn.IFNA( VLOOKUP(_TBL_SALES[[#This Row],[MAIN PRODUCT]], MAIN_PRODUCT[[PRODUCT NAME]:[DEFAULT PRICE]], 2), "")</f>
        <v/>
      </c>
      <c r="H19" s="9"/>
      <c r="I19" s="5"/>
      <c r="J19" s="5"/>
      <c r="K19" s="10"/>
      <c r="L1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9" s="9" t="str">
        <f>IFERROR(_TBL_SALES[[#This Row],[Add Ons Cost]]+_TBL_SALES[[#This Row],[PRICE DEFAULT]], "")</f>
        <v/>
      </c>
      <c r="N19" s="10"/>
      <c r="O19" s="5" t="str">
        <f>IF(_TBL_SALES[[#This Row],[TOTAL PAYMEMT]] ="", "",IFERROR(_TBL_SALES[[#This Row],[TOTAL PAYMEMT]]-_TBL_SALES[[#This Row],[DOWNPAYMENT]],""))</f>
        <v/>
      </c>
      <c r="P19" s="20"/>
      <c r="Q19" s="5" t="str">
        <f>IF(_TBL_SALES[[#This Row],[BALANCE]] = "", "", IFERROR(_TBL_SALES[[#This Row],[BALANCE]]+_TBL_SALES[[#This Row],[SHIPPING FEE]], ""))</f>
        <v/>
      </c>
      <c r="R19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0" spans="2:18" ht="15.75" thickBot="1" x14ac:dyDescent="0.3">
      <c r="B20" s="2"/>
      <c r="C20" s="30"/>
      <c r="D20" s="31"/>
      <c r="E20" s="32"/>
      <c r="F20" s="24"/>
      <c r="G20" s="5" t="str">
        <f xml:space="preserve"> _xlfn.IFNA( VLOOKUP(_TBL_SALES[[#This Row],[MAIN PRODUCT]], MAIN_PRODUCT[[PRODUCT NAME]:[DEFAULT PRICE]], 2), "")</f>
        <v/>
      </c>
      <c r="H20" s="14"/>
      <c r="I20" s="15"/>
      <c r="J20" s="15"/>
      <c r="K20" s="16"/>
      <c r="L2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20" s="14" t="str">
        <f>IFERROR(_TBL_SALES[[#This Row],[Add Ons Cost]]+_TBL_SALES[[#This Row],[PRICE DEFAULT]], "")</f>
        <v/>
      </c>
      <c r="N20" s="16"/>
      <c r="O20" s="5" t="str">
        <f>IF(_TBL_SALES[[#This Row],[TOTAL PAYMEMT]] ="", "",IFERROR(_TBL_SALES[[#This Row],[TOTAL PAYMEMT]]-_TBL_SALES[[#This Row],[DOWNPAYMENT]],""))</f>
        <v/>
      </c>
      <c r="P20" s="21"/>
      <c r="Q20" s="5" t="str">
        <f>IF(_TBL_SALES[[#This Row],[BALANCE]] = "", "", IFERROR(_TBL_SALES[[#This Row],[BALANCE]]+_TBL_SALES[[#This Row],[SHIPPING FEE]], ""))</f>
        <v/>
      </c>
      <c r="R20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1" spans="2:18" x14ac:dyDescent="0.25">
      <c r="B21" s="1" t="str">
        <f>_xlfn.CONCAT("COUNT: ", SUBTOTAL(103,_TBL_SALES[DATE]))</f>
        <v>COUNT: 2</v>
      </c>
      <c r="C21" s="1"/>
      <c r="D21" s="1"/>
      <c r="E21" s="1"/>
      <c r="F21" s="3" t="s">
        <v>16</v>
      </c>
      <c r="G21" s="6">
        <f>SUBTOTAL(109,_TBL_SALES[PRICE DEFAULT])</f>
        <v>7980</v>
      </c>
      <c r="H21" s="6"/>
      <c r="I21" s="6"/>
      <c r="J21" s="6"/>
      <c r="K21" s="6"/>
      <c r="L21" s="6">
        <f>SUBTOTAL(109,_TBL_SALES[Add Ons Cost])</f>
        <v>0</v>
      </c>
      <c r="M21" s="6">
        <f>SUBTOTAL(109,_TBL_SALES[TOTAL PAYMEMT])</f>
        <v>3990</v>
      </c>
      <c r="N21" s="6">
        <f>SUBTOTAL(109,_TBL_SALES[DOWNPAYMENT])</f>
        <v>500</v>
      </c>
      <c r="O21" s="6">
        <f>SUBTOTAL(109,_TBL_SALES[BALANCE])</f>
        <v>3490</v>
      </c>
      <c r="P21" s="6">
        <f>SUBTOTAL(109,_TBL_SALES[SHIPPING FEE])</f>
        <v>400</v>
      </c>
      <c r="Q21" s="6">
        <f>SUBTOTAL(109,_TBL_SALES[RECEIVABLE])</f>
        <v>3890</v>
      </c>
      <c r="R21" s="3"/>
    </row>
    <row r="22" spans="2:18" s="18" customFormat="1" x14ac:dyDescent="0.25">
      <c r="F22" s="4" t="s">
        <v>17</v>
      </c>
      <c r="G22" s="7">
        <f>SUM(_TBL_SALES[PRICE DEFAULT])</f>
        <v>7980</v>
      </c>
      <c r="H22" s="7"/>
      <c r="I22" s="7"/>
      <c r="J22" s="7"/>
      <c r="L22" s="7">
        <f>SUM(_TBL_SALES[Add Ons Cost])</f>
        <v>0</v>
      </c>
      <c r="M22" s="7">
        <f>SUM(_TBL_SALES[TOTAL PAYMEMT])</f>
        <v>3990</v>
      </c>
      <c r="N22" s="7">
        <f>SUM(_TBL_SALES[DOWNPAYMENT])</f>
        <v>500</v>
      </c>
      <c r="O22" s="7">
        <f>SUM(_TBL_SALES[BALANCE])</f>
        <v>3490</v>
      </c>
      <c r="P22" s="7">
        <f>SUM(_TBL_SALES[SHIPPING FEE])</f>
        <v>400</v>
      </c>
      <c r="Q22" s="7">
        <f>SUM(_TBL_SALES[RECEIVABLE])</f>
        <v>3890</v>
      </c>
    </row>
  </sheetData>
  <dataConsolidate/>
  <phoneticPr fontId="2" type="noConversion"/>
  <conditionalFormatting sqref="C3:E3 C4:C20">
    <cfRule type="notContainsBlanks" dxfId="36" priority="4">
      <formula>LEN(TRIM(C3))&gt;0</formula>
    </cfRule>
  </conditionalFormatting>
  <dataValidations count="3">
    <dataValidation type="list" allowBlank="1" showInputMessage="1" showErrorMessage="1" sqref="F3:F20" xr:uid="{87F124BC-8AAB-4E60-BB58-EF61A224D365}">
      <formula1>NAMES_MAIN_PRODUCTS</formula1>
    </dataValidation>
    <dataValidation type="list" allowBlank="1" showInputMessage="1" showErrorMessage="1" sqref="K3:K20" xr:uid="{AA45CAC7-F0C3-40AC-ACFA-A82B546D9715}">
      <formula1>NAMES_FREEBIES_SET</formula1>
    </dataValidation>
    <dataValidation type="list" allowBlank="1" showInputMessage="1" showErrorMessage="1" sqref="H3:J20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BB5F0-2C80-4935-A6BE-23DB0E1EE5B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ED234-16A5-4EEB-9719-E1A126C10F8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Sheet2</vt:lpstr>
      <vt:lpstr>Sheet1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2025-05-10T02:17:08Z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