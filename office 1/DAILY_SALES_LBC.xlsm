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0F7395CB-846F-49CD-9E40-7F38600AA057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_TBL_ADD_ONS!$A$1:$C$7</definedName>
    <definedName name="ExternalData_1" localSheetId="1" hidden="1">_TBL_EMPLOYEES!$A$1:$Q$2</definedName>
    <definedName name="ExternalData_1" localSheetId="3" hidden="1">_TBL_FREEBIES_SET!$A$1:$D$6</definedName>
    <definedName name="ExternalData_2" localSheetId="0" hidden="1">_TBL_INVENTORY!$A$1:$G$50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I9" i="2"/>
  <c r="R9" i="2"/>
  <c r="D10" i="2"/>
  <c r="I10" i="2"/>
  <c r="R10" i="2"/>
  <c r="I4" i="2"/>
  <c r="I5" i="2"/>
  <c r="I6" i="2"/>
  <c r="I7" i="2"/>
  <c r="I8" i="2"/>
  <c r="I11" i="2"/>
  <c r="I12" i="2"/>
  <c r="D8" i="2"/>
  <c r="R8" i="2"/>
  <c r="J9" i="2" l="1"/>
  <c r="L9" i="2" s="1"/>
  <c r="N9" i="2" s="1"/>
  <c r="J8" i="2"/>
  <c r="L8" i="2" s="1"/>
  <c r="N8" i="2" s="1"/>
  <c r="J10" i="2"/>
  <c r="L10" i="2" s="1"/>
  <c r="N10" i="2" s="1"/>
  <c r="N14" i="2"/>
  <c r="L3" i="2" l="1"/>
  <c r="M3" i="2" l="1"/>
  <c r="M14" i="2" s="1"/>
  <c r="N3" i="2" l="1"/>
  <c r="K14" i="2"/>
  <c r="M13" i="2"/>
  <c r="K13" i="2" l="1"/>
  <c r="R12" i="2"/>
  <c r="R3" i="2"/>
  <c r="R4" i="2"/>
  <c r="R5" i="2"/>
  <c r="R6" i="2"/>
  <c r="R7" i="2"/>
  <c r="R11" i="2"/>
  <c r="I3" i="2"/>
  <c r="D3" i="2" l="1"/>
  <c r="D4" i="2"/>
  <c r="D5" i="2"/>
  <c r="J5" i="2" s="1"/>
  <c r="L5" i="2" s="1"/>
  <c r="N5" i="2" s="1"/>
  <c r="D6" i="2"/>
  <c r="D7" i="2"/>
  <c r="D11" i="2"/>
  <c r="D12" i="2"/>
  <c r="J4" i="2" l="1"/>
  <c r="L4" i="2" s="1"/>
  <c r="N4" i="2" s="1"/>
  <c r="J11" i="2"/>
  <c r="L11" i="2" s="1"/>
  <c r="N11" i="2" s="1"/>
  <c r="J12" i="2"/>
  <c r="L12" i="2" s="1"/>
  <c r="N12" i="2" s="1"/>
  <c r="J7" i="2"/>
  <c r="L7" i="2" s="1"/>
  <c r="N7" i="2" s="1"/>
  <c r="J6" i="2"/>
  <c r="L6" i="2" s="1"/>
  <c r="N6" i="2" s="1"/>
  <c r="B13" i="2"/>
  <c r="L14" i="2" l="1"/>
  <c r="L13" i="2"/>
  <c r="J13" i="2"/>
  <c r="J14" i="2"/>
  <c r="I13" i="2"/>
  <c r="D13" i="2"/>
  <c r="D14" i="2"/>
  <c r="N1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<sst xmlns="http://schemas.openxmlformats.org/spreadsheetml/2006/main" count="593" uniqueCount="156">
  <si>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</si>
  <si>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</si>
  <si>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</si>
  <si>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</si>
  <si>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</si>
  <si>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</si>
  <si>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</si>
  <si>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</si>
  <si>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</si>
  <si>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</si>
  <si>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</si>
  <si>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</si>
  <si>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</si>
  <si>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</si>
  <si>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</si>
  <si>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</si>
  <si>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</si>
  <si>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</si>
  <si>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</si>
  <si>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</si>
  <si>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</si>
  <si>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</si>
  <si>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</si>
  <si>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</si>
  <si>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</si>
  <si>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</si>
  <si>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</si>
  <si>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</si>
  <si>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</si>
  <si>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</si>
  <si>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</si>
  <si>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</si>
  <si>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</si>
  <si>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</si>
  <si>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</si>
  <si>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</si>
  <si>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</si>
  <si>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</si>
  <si>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</si>
  <si>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</si>
  <si>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</si>
  <si>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</si>
  <si>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</si>
  <si>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</si>
  <si>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</si>
  <si>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</si>
  <si>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</si>
  <si>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</si>
  <si>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</si>
  <si>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</si>
  <si>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</si>
  <si>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</si>
  <si>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</si>
  <si>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</si>
  <si>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</si>
  <si>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</si>
  <si>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</si>
  <si>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</si>
  <si>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</si>
  <si>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</si>
  <si>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</si>
  <si>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</si>
  <si>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</si>
  <si>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</si>
  <si>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</si>
  <si>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</si>
  <si>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</si>
  <si>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</si>
  <si>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</si>
  <si>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</si>
  <si>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</si>
  <si>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</si>
  <si>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</si>
  <si>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</si>
  <si>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</si>
  <si>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</si>
  <si>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</si>
  <si>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</si>
  <si>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</si>
  <si>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</si>
  <si>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</si>
  <si>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</si>
  <si>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</si>
  <si>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</si>
  <si>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</si>
  <si>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</si>
  <si>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</si>
  <si>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</si>
  <si>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</si>
  <si>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</si>
  <si>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</si>
  <si>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</si>
  <si>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</si>
  <si>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</si>
  <si>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</si>
  <si>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</si>
  <si>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</si>
  <si>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</si>
  <si>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</si>
  <si>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</si>
  <si>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</si>
  <si>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</si>
  <si>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</si>
  <si>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</si>
  <si>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</si>
  <si>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</si>
  <si>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</si>
  <si>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</si>
  <si>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</si>
  <si>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</si>
  <si>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</si>
  <si>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</si>
  <si>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</si>
  <si>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</si>
  <si>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</si>
  <si>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</si>
  <si>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</si>
  <si>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</si>
  <si>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</si>
  <si>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</si>
  <si>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</si>
  <si>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</si>
  <si>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</si>
  <si>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</si>
  <si>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</si>
  <si>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</si>
  <si>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</si>
  <si>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</si>
  <si>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</si>
  <si>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</si>
  <si>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</si>
  <si>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</si>
  <si>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</si>
  <si>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</si>
  <si>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Computer Table</t>
  </si>
  <si>
    <t>P47 Headphone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</si>
  <si>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</si>
  <si>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</si>
  <si>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</si>
  <si>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</si>
  <si>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</si>
  <si>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</si>
  <si>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</si>
  <si>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</si>
  <si>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DOWNPAYMENT</t>
  </si>
  <si>
    <t>BALANCE</t>
  </si>
  <si>
    <t>SHIPPING FEE</t>
  </si>
  <si>
    <t>RECEIVABLE</t>
  </si>
  <si>
    <t>_</t>
  </si>
  <si>
    <t>Delivered</t>
  </si>
  <si>
    <t>Claimed</t>
  </si>
  <si>
    <t>Deposited</t>
  </si>
  <si>
    <t>COST</t>
  </si>
  <si>
    <t>Mouse, Laptop Table, Laptop Bag, Laptop Brush, Laptop Stand, Charger, Mouse Pad, P47 Headphone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</si>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</sst>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" fillId="0" borderId="0" xfId="0" applyFont="1"/>
    <xf numFmtId="164" fontId="1" fillId="0" borderId="0" xfId="0" applyNumberFormat="1" applyFont="1" applyAlignment="1">
      <alignment horizontal="right"/>
    </xf>
    <xf numFmtId="164" fontId="0" fillId="0" borderId="1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7" xfId="0" applyBorder="1"/>
    <xf numFmtId="0" fontId="0" fillId="0" borderId="4" xfId="0" applyBorder="1"/>
    <xf numFmtId="0" fontId="0" fillId="0" borderId="10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41">
    <dxf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8">
    <queryTableFields count="4">
      <queryTableField id="4" name="ID" tableColumnId="1"/>
      <queryTableField id="2" name="FREEBIES NAME" tableColumnId="2"/>
      <queryTableField id="6" name="COST" tableColumnId="4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0"/>
    <tableColumn id="3" xr3:uid="{076104D8-C9E8-451B-A965-B0F52E829B97}" uniqueName="3" name="TYPE" queryTableFieldId="3" dataDxfId="39"/>
    <tableColumn id="4" xr3:uid="{EED15770-5ACA-47A3-90AC-004FB47CC5A3}" uniqueName="4" name="BRAND" queryTableFieldId="4" dataDxfId="38"/>
    <tableColumn id="5" xr3:uid="{3006AD62-9893-4204-AD0A-4EF3B9BE605E}" uniqueName="5" name="CODE" queryTableFieldId="5" dataDxfId="37"/>
    <tableColumn id="7" xr3:uid="{DC21BDB8-8A69-4186-83FC-A99F4F8E7737}" uniqueName="7" name="VARIANT" queryTableFieldId="7"/>
    <tableColumn id="6" xr3:uid="{895EF583-4F50-4211-A9B8-9D6A9E4977E5}" uniqueName="6" name="SPECS" queryTableFieldId="6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5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D6" tableType="queryTable" totalsRowShown="0">
  <autoFilter ref="A1:D6" xr:uid="{4662DD68-3559-4E05-8449-0F73B97BBCEC}"/>
  <tableColumns count="4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8E5AEC16-10AF-47C8-BD84-D51B36E2EF61}" uniqueName="4" name="COST" queryTableFieldId="6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7" tableType="queryTable" totalsRowShown="0">
  <autoFilter ref="A1:C7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R13" totalsRowCount="1" headerRowDxfId="34" dataDxfId="33">
  <autoFilter ref="B2:R12" xr:uid="{11196D4F-0C08-44E6-8845-054A162CF400}"/>
  <tableColumns count="17">
    <tableColumn id="1" xr3:uid="{7E5944E0-EEF7-48BA-9C65-2A065AAFA2D9}" name="DATE" totalsRowFunction="custom" dataDxfId="32" totalsRowDxfId="31">
      <totalsRowFormula>_xlfn.CONCAT("COUNT: ", SUBTOTAL(103,_TBL_SALES[DATE]))</totalsRowFormula>
    </tableColumn>
    <tableColumn id="2" xr3:uid="{6346439F-B17B-42E4-B169-E92F350D30A5}" name="MAIN PRODUCT" totalsRowLabel="TOTAL: " dataDxfId="30" totalsRowDxfId="29"/>
    <tableColumn id="4" xr3:uid="{95CD9087-654C-4E2A-AF3A-261436977333}" name="PRICE DEFAULT" totalsRowFunction="sum" dataDxfId="28" totalsRowDxfId="27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6" totalsRowDxfId="25"/>
    <tableColumn id="11" xr3:uid="{9F9E45A1-7B2D-48FF-A185-8ED8FCD21D9D}" name="Add Ons 2" dataDxfId="24" totalsRowDxfId="23"/>
    <tableColumn id="9" xr3:uid="{631CE9C0-E0FE-462C-B49B-A25E944D45BA}" name="Add Ons 3" dataDxfId="22" totalsRowDxfId="21"/>
    <tableColumn id="14" xr3:uid="{4F652C77-A69B-4014-BFAE-0FAAD8498F77}" name="Freebies" dataDxfId="20" totalsRowDxfId="19"/>
    <tableColumn id="5" xr3:uid="{20315BED-21B2-403E-9EB7-F0CC6C891D05}" name="Add Ons Cost" totalsRowFunction="sum" dataDxfId="18" totalsRowDxfId="17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16" totalsRowDxfId="15">
      <calculatedColumnFormula>IFERROR(_TBL_SALES[[#This Row],[Add Ons Cost]]+_TBL_SALES[[#This Row],[PRICE DEFAULT]], "")</calculatedColumnFormula>
    </tableColumn>
    <tableColumn id="10" xr3:uid="{554F7E14-2764-4859-B5B0-438596119897}" name="DOWNPAYMENT" totalsRowFunction="sum" dataDxfId="14" totalsRowDxfId="13"/>
    <tableColumn id="15" xr3:uid="{C850479C-9FBF-41B6-9481-67EEC0E365B5}" name="BALANCE" totalsRowFunction="sum" dataDxfId="12" totalsRowDxfId="11">
      <calculatedColumnFormula>IFERROR(_TBL_SALES[[#This Row],[TOTAL PAYMEMT]]-_TBL_SALES[[#This Row],[DOWNPAYMENT]],"")</calculatedColumnFormula>
    </tableColumn>
    <tableColumn id="17" xr3:uid="{DDC83FD6-C731-42D7-8829-E231821D2D53}" name="SHIPPING FEE" totalsRowFunction="sum" dataDxfId="10" totalsRowDxfId="9">
      <calculatedColumnFormula>612+477</calculatedColumnFormula>
    </tableColumn>
    <tableColumn id="12" xr3:uid="{D39A6313-D05B-4F52-BB42-9CB3C17B1ABB}" name="RECEIVABLE" totalsRowFunction="custom" dataDxfId="8" totalsRowDxfId="7">
      <calculatedColumnFormula>IFERROR(_TBL_SALES[[#This Row],[BALANCE]]+_TBL_SALES[[#This Row],[SHIPPING FEE]], "")</calculatedColumnFormula>
      <totalsRowFormula>SUBTOTAL(109,_TBL_SALES[Deposited])</totalsRowFormula>
    </tableColumn>
    <tableColumn id="8" xr3:uid="{0EDC5731-02B6-4C31-8202-B7A25ECA05D5}" name="Delivered" dataDxfId="6" totalsRowDxfId="5"/>
    <tableColumn id="7" xr3:uid="{E18DA7A4-7033-4243-977B-154A0C0639A8}" name="Claimed" dataDxfId="4" totalsRowDxfId="3"/>
    <tableColumn id="16" xr3:uid="{AAF5316C-68C7-4641-A1F9-D0F755A5EB50}" name="Deposited" dataDxfId="2"/>
    <tableColumn id="6" xr3:uid="{C248064F-C2EB-414B-92FA-814B8706B646}" name="BOX CONTENT" dataDxfId="1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D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customWidth="1"/>
    <col min="5" max="5" width="81.140625" bestFit="1" customWidth="1"/>
  </cols>
  <sheetData>
    <row r="1" spans="1:4" x14ac:dyDescent="0.25">
      <c r="A1" t="s">
        <v>0</v>
      </c>
      <c r="B1" t="s">
        <v>123</v>
      </c>
      <c r="C1" t="s">
        <v>152</v>
      </c>
      <c r="D1" t="s">
        <v>21</v>
      </c>
    </row>
    <row r="2" spans="1:4" x14ac:dyDescent="0.25">
      <c r="A2">
        <v>1</v>
      </c>
      <c r="B2" t="s">
        <v>124</v>
      </c>
      <c r="C2">
        <v>0</v>
      </c>
      <c r="D2" t="s">
        <v>153</v>
      </c>
    </row>
    <row r="3" spans="1:4" x14ac:dyDescent="0.25">
      <c r="A3">
        <v>2</v>
      </c>
      <c r="B3" t="s">
        <v>125</v>
      </c>
      <c r="C3">
        <v>0</v>
      </c>
      <c r="D3" t="s">
        <v>137</v>
      </c>
    </row>
    <row r="4" spans="1:4" x14ac:dyDescent="0.25">
      <c r="A4">
        <v>3</v>
      </c>
      <c r="B4" t="s">
        <v>126</v>
      </c>
      <c r="C4">
        <v>0</v>
      </c>
      <c r="D4" t="s">
        <v>138</v>
      </c>
    </row>
    <row r="5" spans="1:4" x14ac:dyDescent="0.25">
      <c r="A5">
        <v>4</v>
      </c>
      <c r="B5" t="s">
        <v>127</v>
      </c>
      <c r="C5">
        <v>0</v>
      </c>
      <c r="D5" t="s">
        <v>139</v>
      </c>
    </row>
    <row r="6" spans="1:4" x14ac:dyDescent="0.25">
      <c r="A6">
        <v>5</v>
      </c>
      <c r="B6" t="s">
        <v>154</v>
      </c>
      <c r="D6" t="s">
        <v>155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7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134</v>
      </c>
      <c r="C2">
        <v>250</v>
      </c>
    </row>
    <row r="3" spans="1:3" x14ac:dyDescent="0.25">
      <c r="A3">
        <v>2</v>
      </c>
      <c r="B3" t="s">
        <v>140</v>
      </c>
      <c r="C3">
        <v>100</v>
      </c>
    </row>
    <row r="4" spans="1:3" x14ac:dyDescent="0.25">
      <c r="A4">
        <v>3</v>
      </c>
      <c r="B4" t="s">
        <v>141</v>
      </c>
      <c r="C4">
        <v>100</v>
      </c>
    </row>
    <row r="5" spans="1:3" x14ac:dyDescent="0.25">
      <c r="A5">
        <v>4</v>
      </c>
      <c r="B5" t="s">
        <v>142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R17"/>
  <sheetViews>
    <sheetView tabSelected="1" zoomScale="85" zoomScaleNormal="55" workbookViewId="0">
      <selection activeCell="G17" sqref="G17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18.7109375" bestFit="1" customWidth="1"/>
    <col min="12" max="13" width="15.5703125" bestFit="1" customWidth="1"/>
    <col min="14" max="14" width="18.85546875" customWidth="1"/>
    <col min="15" max="15" width="13" customWidth="1"/>
    <col min="16" max="16" width="12.42578125" customWidth="1"/>
    <col min="17" max="17" width="14" customWidth="1"/>
    <col min="18" max="18" width="185.7109375" bestFit="1" customWidth="1"/>
  </cols>
  <sheetData>
    <row r="1" spans="2:18" x14ac:dyDescent="0.25">
      <c r="C1" s="30" t="s">
        <v>18</v>
      </c>
      <c r="D1" s="30"/>
      <c r="E1" s="10"/>
      <c r="F1" s="10"/>
      <c r="G1" s="10"/>
    </row>
    <row r="2" spans="2:18" ht="15.75" thickBot="1" x14ac:dyDescent="0.3">
      <c r="B2" s="1" t="s">
        <v>9</v>
      </c>
      <c r="C2" s="1" t="s">
        <v>136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144</v>
      </c>
      <c r="L2" s="1" t="s">
        <v>145</v>
      </c>
      <c r="M2" s="1" t="s">
        <v>146</v>
      </c>
      <c r="N2" s="1" t="s">
        <v>147</v>
      </c>
      <c r="O2" s="1" t="s">
        <v>149</v>
      </c>
      <c r="P2" s="1" t="s">
        <v>150</v>
      </c>
      <c r="Q2" t="s">
        <v>151</v>
      </c>
      <c r="R2" s="1" t="s">
        <v>143</v>
      </c>
    </row>
    <row r="3" spans="2:18" x14ac:dyDescent="0.25">
      <c r="B3" s="2">
        <v>45766</v>
      </c>
      <c r="C3" s="8" t="s">
        <v>44</v>
      </c>
      <c r="D3" s="5">
        <f xml:space="preserve"> _xlfn.IFNA( VLOOKUP(_TBL_SALES[[#This Row],[MAIN PRODUCT]], MAIN_PRODUCT[[PRODUCT NAME]:[DEFAULT PRICE]], 2), "")</f>
        <v>3990</v>
      </c>
      <c r="E3" s="15" t="s">
        <v>132</v>
      </c>
      <c r="F3" s="16"/>
      <c r="G3" s="16"/>
      <c r="H3" s="17" t="s">
        <v>124</v>
      </c>
      <c r="I3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300</v>
      </c>
      <c r="J3" s="15">
        <v>9990</v>
      </c>
      <c r="K3" s="17">
        <v>1500</v>
      </c>
      <c r="L3" s="5">
        <f>IFERROR(_TBL_SALES[[#This Row],[TOTAL PAYMEMT]]-_TBL_SALES[[#This Row],[DOWNPAYMENT]],"")</f>
        <v>8490</v>
      </c>
      <c r="M3" s="24">
        <f t="shared" ref="M3" si="0">612+477</f>
        <v>1089</v>
      </c>
      <c r="N3" s="5">
        <f>IFERROR(_TBL_SALES[[#This Row],[BALANCE]]+_TBL_SALES[[#This Row],[SHIPPING FEE]], "")</f>
        <v>9579</v>
      </c>
      <c r="O3" s="15"/>
      <c r="P3" s="16"/>
      <c r="Q3" s="27"/>
      <c r="R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,Webcam ,0</v>
      </c>
    </row>
    <row r="4" spans="2:18" x14ac:dyDescent="0.25">
      <c r="B4" s="2">
        <v>45766</v>
      </c>
      <c r="C4" s="8" t="s">
        <v>56</v>
      </c>
      <c r="D4" s="5">
        <f xml:space="preserve"> _xlfn.IFNA( VLOOKUP(_TBL_SALES[[#This Row],[MAIN PRODUCT]], MAIN_PRODUCT[[PRODUCT NAME]:[DEFAULT PRICE]], 2), "")</f>
        <v>3990</v>
      </c>
      <c r="E4" s="13" t="s">
        <v>134</v>
      </c>
      <c r="F4" s="12"/>
      <c r="G4" s="12"/>
      <c r="H4" s="14"/>
      <c r="I4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4" s="13">
        <f>IFERROR(_TBL_SALES[[#This Row],[Add Ons Cost]]+_TBL_SALES[[#This Row],[PRICE DEFAULT]], "")</f>
        <v>4240</v>
      </c>
      <c r="K4" s="14"/>
      <c r="L4" s="5">
        <f>IFERROR(_TBL_SALES[[#This Row],[TOTAL PAYMEMT]]-_TBL_SALES[[#This Row],[DOWNPAYMENT]],"")</f>
        <v>4240</v>
      </c>
      <c r="M4" s="25"/>
      <c r="N4" s="5">
        <f>IFERROR(_TBL_SALES[[#This Row],[BALANCE]]+_TBL_SALES[[#This Row],[SHIPPING FEE]], "")</f>
        <v>4240</v>
      </c>
      <c r="O4" s="13"/>
      <c r="P4" s="12"/>
      <c r="Q4" s="28"/>
      <c r="R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8" x14ac:dyDescent="0.25">
      <c r="B5" s="2">
        <v>45766</v>
      </c>
      <c r="C5" s="8" t="s">
        <v>135</v>
      </c>
      <c r="D5" s="5">
        <f xml:space="preserve"> _xlfn.IFNA( VLOOKUP(_TBL_SALES[[#This Row],[MAIN PRODUCT]], MAIN_PRODUCT[[PRODUCT NAME]:[DEFAULT PRICE]], 2), "")</f>
        <v>6000</v>
      </c>
      <c r="E5" s="13" t="s">
        <v>140</v>
      </c>
      <c r="F5" s="12"/>
      <c r="G5" s="12"/>
      <c r="H5" s="14"/>
      <c r="I5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5" s="13">
        <f>IFERROR(_TBL_SALES[[#This Row],[Add Ons Cost]]+_TBL_SALES[[#This Row],[PRICE DEFAULT]], "")</f>
        <v>6100</v>
      </c>
      <c r="K5" s="14"/>
      <c r="L5" s="5">
        <f>IFERROR(_TBL_SALES[[#This Row],[TOTAL PAYMEMT]]-_TBL_SALES[[#This Row],[DOWNPAYMENT]],"")</f>
        <v>6100</v>
      </c>
      <c r="M5" s="25"/>
      <c r="N5" s="5">
        <f>IFERROR(_TBL_SALES[[#This Row],[BALANCE]]+_TBL_SALES[[#This Row],[SHIPPING FEE]], "")</f>
        <v>6100</v>
      </c>
      <c r="O5" s="13"/>
      <c r="P5" s="12"/>
      <c r="Q5" s="28"/>
      <c r="R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8" x14ac:dyDescent="0.25">
      <c r="B6" s="2">
        <v>45773</v>
      </c>
      <c r="C6" s="8" t="s">
        <v>44</v>
      </c>
      <c r="D6" s="5">
        <f xml:space="preserve"> _xlfn.IFNA( VLOOKUP(_TBL_SALES[[#This Row],[MAIN PRODUCT]], MAIN_PRODUCT[[PRODUCT NAME]:[DEFAULT PRICE]], 2), "")</f>
        <v>3990</v>
      </c>
      <c r="E6" s="13"/>
      <c r="F6" s="12"/>
      <c r="G6" s="12"/>
      <c r="H6" s="14" t="s">
        <v>124</v>
      </c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13" t="str">
        <f>IFERROR(_TBL_SALES[[#This Row],[Add Ons Cost]]+_TBL_SALES[[#This Row],[PRICE DEFAULT]], "")</f>
        <v/>
      </c>
      <c r="K6" s="14"/>
      <c r="L6" s="5" t="str">
        <f>IFERROR(_TBL_SALES[[#This Row],[TOTAL PAYMEMT]]-_TBL_SALES[[#This Row],[DOWNPAYMENT]],"")</f>
        <v/>
      </c>
      <c r="M6" s="25"/>
      <c r="N6" s="5" t="str">
        <f>IFERROR(_TBL_SALES[[#This Row],[BALANCE]]+_TBL_SALES[[#This Row],[SHIPPING FEE]], "")</f>
        <v/>
      </c>
      <c r="O6" s="13"/>
      <c r="P6" s="12"/>
      <c r="Q6" s="28"/>
      <c r="R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,0</v>
      </c>
    </row>
    <row r="7" spans="2:18" x14ac:dyDescent="0.25">
      <c r="B7" s="2">
        <v>45763</v>
      </c>
      <c r="C7" s="8" t="s">
        <v>44</v>
      </c>
      <c r="D7" s="5">
        <f xml:space="preserve"> _xlfn.IFNA( VLOOKUP(_TBL_SALES[[#This Row],[MAIN PRODUCT]], MAIN_PRODUCT[[PRODUCT NAME]:[DEFAULT PRICE]], 2), "")</f>
        <v>3990</v>
      </c>
      <c r="E7" s="13" t="s">
        <v>140</v>
      </c>
      <c r="F7" s="12"/>
      <c r="G7" s="12"/>
      <c r="H7" s="14" t="s">
        <v>124</v>
      </c>
      <c r="I7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7" s="13">
        <f>IFERROR(_TBL_SALES[[#This Row],[Add Ons Cost]]+_TBL_SALES[[#This Row],[PRICE DEFAULT]], "")</f>
        <v>4090</v>
      </c>
      <c r="K7" s="14"/>
      <c r="L7" s="5">
        <f>IFERROR(_TBL_SALES[[#This Row],[TOTAL PAYMEMT]]-_TBL_SALES[[#This Row],[DOWNPAYMENT]],"")</f>
        <v>4090</v>
      </c>
      <c r="M7" s="25"/>
      <c r="N7" s="5">
        <f>IFERROR(_TBL_SALES[[#This Row],[BALANCE]]+_TBL_SALES[[#This Row],[SHIPPING FEE]], "")</f>
        <v>4090</v>
      </c>
      <c r="O7" s="13"/>
      <c r="P7" s="12"/>
      <c r="Q7" s="28"/>
      <c r="R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,Keyboard/Mouse ,0</v>
      </c>
    </row>
    <row r="8" spans="2:18" x14ac:dyDescent="0.25">
      <c r="B8" s="2">
        <v>45774</v>
      </c>
      <c r="C8" s="8" t="s">
        <v>56</v>
      </c>
      <c r="D8" s="5">
        <f xml:space="preserve"> _xlfn.IFNA( VLOOKUP(_TBL_SALES[[#This Row],[MAIN PRODUCT]], MAIN_PRODUCT[[PRODUCT NAME]:[DEFAULT PRICE]], 2), "")</f>
        <v>3990</v>
      </c>
      <c r="E8" s="13" t="s">
        <v>134</v>
      </c>
      <c r="F8" s="12"/>
      <c r="G8" s="12"/>
      <c r="H8" s="14" t="s">
        <v>125</v>
      </c>
      <c r="I8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8" s="13">
        <f>IFERROR(_TBL_SALES[[#This Row],[Add Ons Cost]]+_TBL_SALES[[#This Row],[PRICE DEFAULT]], "")</f>
        <v>4240</v>
      </c>
      <c r="K8" s="14"/>
      <c r="L8" s="5">
        <f>IFERROR(_TBL_SALES[[#This Row],[TOTAL PAYMEMT]]-_TBL_SALES[[#This Row],[DOWNPAYMENT]],"")</f>
        <v>4240</v>
      </c>
      <c r="M8" s="25"/>
      <c r="N8" s="5">
        <f>IFERROR(_TBL_SALES[[#This Row],[BALANCE]]+_TBL_SALES[[#This Row],[SHIPPING FEE]], "")</f>
        <v>4240</v>
      </c>
      <c r="O8" s="13"/>
      <c r="P8" s="12"/>
      <c r="Q8" s="14"/>
      <c r="R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16 ,Computer Table ,0</v>
      </c>
    </row>
    <row r="9" spans="2:18" x14ac:dyDescent="0.25">
      <c r="B9" s="2">
        <v>45774</v>
      </c>
      <c r="C9" s="8" t="s">
        <v>44</v>
      </c>
      <c r="D9" s="5">
        <f xml:space="preserve"> _xlfn.IFNA( VLOOKUP(_TBL_SALES[[#This Row],[MAIN PRODUCT]], MAIN_PRODUCT[[PRODUCT NAME]:[DEFAULT PRICE]], 2), "")</f>
        <v>3990</v>
      </c>
      <c r="E9" s="13"/>
      <c r="F9" s="12"/>
      <c r="G9" s="12"/>
      <c r="H9" s="14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13" t="str">
        <f>IFERROR(_TBL_SALES[[#This Row],[Add Ons Cost]]+_TBL_SALES[[#This Row],[PRICE DEFAULT]], "")</f>
        <v/>
      </c>
      <c r="K9" s="14"/>
      <c r="L9" s="5" t="str">
        <f>IFERROR(_TBL_SALES[[#This Row],[TOTAL PAYMEMT]]-_TBL_SALES[[#This Row],[DOWNPAYMENT]],"")</f>
        <v/>
      </c>
      <c r="M9" s="25"/>
      <c r="N9" s="5" t="str">
        <f>IFERROR(_TBL_SALES[[#This Row],[BALANCE]]+_TBL_SALES[[#This Row],[SHIPPING FEE]], "")</f>
        <v/>
      </c>
      <c r="O9" s="13"/>
      <c r="P9" s="12"/>
      <c r="Q9" s="14"/>
      <c r="R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8" x14ac:dyDescent="0.25">
      <c r="B10" s="2">
        <v>45774</v>
      </c>
      <c r="C10" s="8" t="s">
        <v>54</v>
      </c>
      <c r="D10" s="5">
        <f xml:space="preserve"> _xlfn.IFNA( VLOOKUP(_TBL_SALES[[#This Row],[MAIN PRODUCT]], MAIN_PRODUCT[[PRODUCT NAME]:[DEFAULT PRICE]], 2), "")</f>
        <v>6000</v>
      </c>
      <c r="E10" s="13"/>
      <c r="F10" s="12"/>
      <c r="G10" s="12"/>
      <c r="H10" s="14"/>
      <c r="I10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0" s="13" t="str">
        <f>IFERROR(_TBL_SALES[[#This Row],[Add Ons Cost]]+_TBL_SALES[[#This Row],[PRICE DEFAULT]], "")</f>
        <v/>
      </c>
      <c r="K10" s="14"/>
      <c r="L10" s="5" t="str">
        <f>IFERROR(_TBL_SALES[[#This Row],[TOTAL PAYMEMT]]-_TBL_SALES[[#This Row],[DOWNPAYMENT]],"")</f>
        <v/>
      </c>
      <c r="M10" s="25"/>
      <c r="N10" s="5" t="str">
        <f>IFERROR(_TBL_SALES[[#This Row],[BALANCE]]+_TBL_SALES[[#This Row],[SHIPPING FEE]], "")</f>
        <v/>
      </c>
      <c r="O10" s="13"/>
      <c r="P10" s="12"/>
      <c r="Q10" s="14"/>
      <c r="R10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8" x14ac:dyDescent="0.25">
      <c r="B11" s="2"/>
      <c r="C11" s="8"/>
      <c r="D11" s="5" t="str">
        <f xml:space="preserve"> _xlfn.IFNA( VLOOKUP(_TBL_SALES[[#This Row],[MAIN PRODUCT]], MAIN_PRODUCT[[PRODUCT NAME]:[DEFAULT PRICE]], 2), "")</f>
        <v/>
      </c>
      <c r="E11" s="13"/>
      <c r="F11" s="12"/>
      <c r="G11" s="12"/>
      <c r="H11" s="14"/>
      <c r="I11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1" s="13" t="str">
        <f>IFERROR(_TBL_SALES[[#This Row],[Add Ons Cost]]+_TBL_SALES[[#This Row],[PRICE DEFAULT]], "")</f>
        <v/>
      </c>
      <c r="K11" s="14"/>
      <c r="L11" s="5" t="str">
        <f>IFERROR(_TBL_SALES[[#This Row],[TOTAL PAYMEMT]]-_TBL_SALES[[#This Row],[DOWNPAYMENT]],"")</f>
        <v/>
      </c>
      <c r="M11" s="25"/>
      <c r="N11" s="5" t="str">
        <f>IFERROR(_TBL_SALES[[#This Row],[BALANCE]]+_TBL_SALES[[#This Row],[SHIPPING FEE]], "")</f>
        <v/>
      </c>
      <c r="O11" s="13"/>
      <c r="P11" s="12"/>
      <c r="Q11" s="28"/>
      <c r="R11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8" ht="15.75" thickBot="1" x14ac:dyDescent="0.3">
      <c r="B12" s="2"/>
      <c r="C12" s="9"/>
      <c r="D12" s="5" t="str">
        <f xml:space="preserve"> _xlfn.IFNA( VLOOKUP(_TBL_SALES[[#This Row],[MAIN PRODUCT]], MAIN_PRODUCT[[PRODUCT NAME]:[DEFAULT PRICE]], 2), "")</f>
        <v/>
      </c>
      <c r="E12" s="18"/>
      <c r="F12" s="19"/>
      <c r="G12" s="19"/>
      <c r="H12" s="20"/>
      <c r="I12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12" s="18" t="str">
        <f>IFERROR(_TBL_SALES[[#This Row],[Add Ons Cost]]+_TBL_SALES[[#This Row],[PRICE DEFAULT]], "")</f>
        <v/>
      </c>
      <c r="K12" s="20"/>
      <c r="L12" s="5" t="str">
        <f>IFERROR(_TBL_SALES[[#This Row],[TOTAL PAYMEMT]]-_TBL_SALES[[#This Row],[DOWNPAYMENT]],"")</f>
        <v/>
      </c>
      <c r="M12" s="26"/>
      <c r="N12" s="5" t="str">
        <f>IFERROR(_TBL_SALES[[#This Row],[BALANCE]]+_TBL_SALES[[#This Row],[SHIPPING FEE]], "")</f>
        <v/>
      </c>
      <c r="O12" s="18"/>
      <c r="P12" s="19"/>
      <c r="Q12" s="29"/>
      <c r="R12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8" x14ac:dyDescent="0.25">
      <c r="B13" s="1" t="str">
        <f>_xlfn.CONCAT("COUNT: ", SUBTOTAL(103,_TBL_SALES[DATE]))</f>
        <v>COUNT: 8</v>
      </c>
      <c r="C13" s="3" t="s">
        <v>16</v>
      </c>
      <c r="D13" s="6">
        <f>SUBTOTAL(109,_TBL_SALES[PRICE DEFAULT])</f>
        <v>35940</v>
      </c>
      <c r="E13" s="6"/>
      <c r="F13" s="6"/>
      <c r="G13" s="6"/>
      <c r="H13" s="6"/>
      <c r="I13" s="6">
        <f>SUBTOTAL(109,_TBL_SALES[Add Ons Cost])</f>
        <v>1000</v>
      </c>
      <c r="J13" s="6">
        <f>SUBTOTAL(109,_TBL_SALES[TOTAL PAYMEMT])</f>
        <v>28660</v>
      </c>
      <c r="K13" s="6">
        <f>SUBTOTAL(109,_TBL_SALES[DOWNPAYMENT])</f>
        <v>1500</v>
      </c>
      <c r="L13" s="6">
        <f>SUBTOTAL(109,_TBL_SALES[BALANCE])</f>
        <v>27160</v>
      </c>
      <c r="M13" s="6">
        <f>SUBTOTAL(109,_TBL_SALES[SHIPPING FEE])</f>
        <v>1089</v>
      </c>
      <c r="N13" s="6">
        <f>SUBTOTAL(109,_TBL_SALES[Deposited])</f>
        <v>0</v>
      </c>
      <c r="O13" s="6"/>
      <c r="P13" s="6"/>
      <c r="R13" s="3"/>
    </row>
    <row r="14" spans="2:18" s="22" customFormat="1" x14ac:dyDescent="0.25">
      <c r="C14" s="4" t="s">
        <v>17</v>
      </c>
      <c r="D14" s="7">
        <f>SUM(_TBL_SALES[Add Ons Cost])</f>
        <v>1000</v>
      </c>
      <c r="E14" s="7"/>
      <c r="F14" s="7"/>
      <c r="G14" s="7"/>
      <c r="J14" s="7">
        <f>SUM(_TBL_SALES[TOTAL PAYMEMT])</f>
        <v>28660</v>
      </c>
      <c r="K14" s="7">
        <f>SUM(_TBL_SALES[DOWNPAYMENT])</f>
        <v>1500</v>
      </c>
      <c r="L14" s="7">
        <f>SUM(_TBL_SALES[BALANCE])</f>
        <v>27160</v>
      </c>
      <c r="M14" s="7">
        <f>SUM(_TBL_SALES[SHIPPING FEE])</f>
        <v>1089</v>
      </c>
      <c r="N14" s="23">
        <f>SUM(_TBL_SALES[Deposited])</f>
        <v>0</v>
      </c>
      <c r="O14" s="7"/>
      <c r="P14" s="7"/>
    </row>
    <row r="17" spans="9:9" x14ac:dyDescent="0.25">
      <c r="I17" t="s">
        <v>148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12" xr:uid="{87F124BC-8AAB-4E60-BB58-EF61A224D365}">
      <formula1>NAMES_MAIN_PRODUCTS</formula1>
    </dataValidation>
    <dataValidation type="list" allowBlank="1" showInputMessage="1" showErrorMessage="1" sqref="H3:H12" xr:uid="{AA45CAC7-F0C3-40AC-ACFA-A82B546D9715}">
      <formula1>NAMES_FREEBIES_SET</formula1>
    </dataValidation>
    <dataValidation type="list" allowBlank="1" showInputMessage="1" showErrorMessage="1" sqref="E3:G12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2025-04-27T10:08:58Z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