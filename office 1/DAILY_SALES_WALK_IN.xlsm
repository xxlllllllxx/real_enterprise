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0B1E17DB-AF0C-4E8A-AC2A-B02F18B43B77}" xr6:coauthVersionLast="36" xr6:coauthVersionMax="47" xr10:uidLastSave="{00000000-0000-0000-0000-000000000000}"/>
  <bookViews>
    <workbookView xWindow="-120" yWindow="-120" windowWidth="20730" windowHeight="1104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_TBL_ADD_ONS!$A$1:$C$8</definedName>
    <definedName name="ExternalData_1" localSheetId="1" hidden="1">_TBL_EMPLOYEES!$A$1:$Q$2</definedName>
    <definedName name="ExternalData_1" localSheetId="3" hidden="1">_TBL_FREEBIES_SET!$A$1:$E$6</definedName>
    <definedName name="ExternalData_2" localSheetId="0" hidden="1">_TBL_INVENTORY!$A$1:$G$53</definedName>
    <definedName name="ExternalData_2" localSheetId="4" hidden="1">_TBL_MAIN_PRODUCT!$A$1:$L$50</definedName>
    <definedName name="ExternalData_2" localSheetId="2" hidden="1">_TBL_MAIN_PRODUCTS!$A$1:$G$63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7" i="2"/>
  <c r="J7" i="2" s="1"/>
  <c r="D8" i="2"/>
  <c r="D9" i="2"/>
  <c r="J9" i="2" s="1"/>
  <c r="D10" i="2"/>
  <c r="I6" i="2"/>
  <c r="J6" i="2" s="1"/>
  <c r="I7" i="2"/>
  <c r="I8" i="2"/>
  <c r="J8" i="2" s="1"/>
  <c r="I9" i="2"/>
  <c r="I10" i="2"/>
  <c r="J10" i="2" s="1"/>
  <c r="M6" i="2"/>
  <c r="M7" i="2"/>
  <c r="M8" i="2"/>
  <c r="M9" i="2"/>
  <c r="M10" i="2"/>
  <c r="D4" i="2"/>
  <c r="I4" i="2"/>
  <c r="M4" i="2"/>
  <c r="I5" i="2"/>
  <c r="I11" i="2"/>
  <c r="I12" i="2"/>
  <c r="I13" i="2"/>
  <c r="I14" i="2"/>
  <c r="I15" i="2"/>
  <c r="I16" i="2"/>
  <c r="I17" i="2"/>
  <c r="I18" i="2"/>
  <c r="I19" i="2"/>
  <c r="D11" i="2"/>
  <c r="D12" i="2"/>
  <c r="D13" i="2"/>
  <c r="D14" i="2"/>
  <c r="M11" i="2"/>
  <c r="M12" i="2"/>
  <c r="M13" i="2"/>
  <c r="M14" i="2"/>
  <c r="J14" i="2" l="1"/>
  <c r="J12" i="2"/>
  <c r="J4" i="2"/>
  <c r="J13" i="2"/>
  <c r="J11" i="2"/>
  <c r="M19" i="2"/>
  <c r="M3" i="2"/>
  <c r="M5" i="2"/>
  <c r="M15" i="2"/>
  <c r="M16" i="2"/>
  <c r="M17" i="2"/>
  <c r="M18" i="2"/>
  <c r="I3" i="2"/>
  <c r="K21" i="2" l="1"/>
  <c r="L21" i="2"/>
  <c r="K20" i="2"/>
  <c r="L20" i="2"/>
  <c r="D5" i="2" l="1"/>
  <c r="D15" i="2"/>
  <c r="J15" i="2" s="1"/>
  <c r="D16" i="2"/>
  <c r="D17" i="2"/>
  <c r="D18" i="2"/>
  <c r="D19" i="2"/>
  <c r="J5" i="2" l="1"/>
  <c r="J18" i="2"/>
  <c r="J19" i="2"/>
  <c r="J17" i="2"/>
  <c r="J16" i="2"/>
  <c r="J3" i="2"/>
  <c r="B20" i="2"/>
  <c r="J20" i="2" l="1"/>
  <c r="J21" i="2"/>
  <c r="I20" i="2"/>
  <c r="D20" i="2"/>
  <c r="D2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<sst xmlns="http://schemas.openxmlformats.org/spreadsheetml/2006/main" count="1055" uniqueCount="157">
  <si>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</si>
  <si>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</si>
  <si>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</si>
  <si>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</si>
  <si>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</si>
  <si>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</si>
  <si>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</si>
  <si>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</si>
  <si>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</si>
  <si>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</si>
  <si>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</si>
  <si>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</si>
  <si>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</si>
  <si>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</si>
  <si>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</si>
  <si>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</si>
  <si>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</si>
  <si>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</si>
  <si>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</si>
  <si>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</si>
  <si>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</si>
  <si>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</si>
  <si>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</si>
  <si>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</si>
  <si>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</si>
  <si>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</si>
  <si>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</si>
  <si>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</si>
  <si>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</si>
  <si>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</si>
  <si>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</si>
  <si>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</si>
  <si>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</si>
  <si>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</si>
  <si>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</si>
  <si>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</si>
  <si>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</si>
  <si>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</si>
  <si>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</si>
  <si>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</si>
  <si>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</si>
  <si>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</si>
  <si>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</si>
  <si>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</si>
  <si>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</si>
  <si>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</si>
  <si>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</si>
  <si>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</si>
  <si>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</si>
  <si>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</si>
  <si>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</si>
  <si>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</si>
  <si>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</si>
  <si>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</si>
  <si>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</si>
  <si>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</si>
  <si>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</si>
  <si>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</si>
  <si>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</si>
  <si>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</si>
  <si>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</si>
  <si>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</si>
  <si>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</si>
  <si>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</si>
  <si>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</si>
  <si>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</si>
  <si>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</si>
  <si>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</si>
  <si>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</si>
  <si>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</si>
  <si>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</si>
  <si>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</si>
  <si>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</si>
  <si>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</si>
  <si>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</si>
  <si>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</si>
  <si>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</si>
  <si>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</si>
  <si>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</si>
  <si>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</si>
  <si>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</si>
  <si>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</si>
  <si>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</si>
  <si>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</si>
  <si>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</si>
  <si>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</si>
  <si>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</si>
  <si>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</si>
  <si>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</si>
  <si>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</si>
  <si>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</si>
  <si>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</si>
  <si>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</si>
  <si>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</si>
  <si>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</si>
  <si>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</si>
  <si>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</si>
  <si>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</si>
  <si>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</si>
  <si>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</si>
  <si>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</si>
  <si>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</si>
  <si>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</si>
  <si>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</si>
  <si>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</si>
  <si>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</si>
  <si>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</si>
  <si>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</si>
  <si>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</si>
  <si>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</si>
  <si>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</si>
  <si>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</si>
  <si>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</si>
  <si>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</si>
  <si>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</si>
  <si>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</si>
  <si>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</si>
  <si>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</si>
  <si>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</si>
  <si>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</si>
  <si>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</si>
  <si>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</si>
  <si>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</si>
  <si>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</si>
  <si>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</si>
  <si>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</si>
  <si>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</si>
  <si>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</si>
  <si>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</si>
  <si>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</si>
  <si>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</si>
  <si>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</si>
  <si>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</si>
  <si>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</si>
  <si>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CASH</t>
  </si>
  <si>
    <t>GCASH/BANK</t>
  </si>
  <si>
    <t>Computer Table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</si>
  <si>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</si>
  <si>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</si>
  <si>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</si>
  <si>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</si>
  <si>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</si>
  <si>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</si>
  <si>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</si>
  <si>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</si>
  <si>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PRINTER SET</t>
  </si>
  <si>
    <t>VGA, Laminator, Sheets</t>
  </si>
  <si>
    <t>ACER REGULAR 4 / 16</t>
  </si>
  <si>
    <t>ASUS REGULAR 4 / 16</t>
  </si>
  <si>
    <t>ASUS REGULAR 4 / 32</t>
  </si>
  <si>
    <t>G 2010</t>
  </si>
  <si>
    <t/>
  </si>
  <si>
    <t>S.Neckband</t>
  </si>
  <si>
    <t>PRICE</t>
  </si>
  <si>
    <t>FREEBIES</t>
  </si>
  <si>
    <t>Mouse, table, Laptop Bag, Laptop Brush, Laptop Stand, Charger, Mouse Pad, P47 Headphone</t>
  </si>
  <si>
    <t>ADD 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</si>
</sst>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 applyAlignment="1">
      <alignment horizontal="center"/>
    </xf>
  </cellXfs>
  <cellStyles count="1">
    <cellStyle name="Normal" xfId="0" builtinId="0"/>
  </cellStyles>
  <dxfs count="32"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12">
    <queryTableFields count="5">
      <queryTableField id="4" name="ID" tableColumnId="1"/>
      <queryTableField id="2" name="FREEBIES NAME" tableColumnId="2"/>
      <queryTableField id="8" name="PRICE" tableColumnId="4"/>
      <queryTableField id="9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3" tableType="queryTable" totalsRowShown="0">
  <autoFilter ref="A1:G53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1"/>
    <tableColumn id="3" xr3:uid="{076104D8-C9E8-451B-A965-B0F52E829B97}" uniqueName="3" name="TYPE" queryTableFieldId="3" dataDxfId="30"/>
    <tableColumn id="4" xr3:uid="{EED15770-5ACA-47A3-90AC-004FB47CC5A3}" uniqueName="4" name="BRAND" queryTableFieldId="4" dataDxfId="29"/>
    <tableColumn id="5" xr3:uid="{3006AD62-9893-4204-AD0A-4EF3B9BE605E}" uniqueName="5" name="CODE" queryTableFieldId="5" dataDxfId="28"/>
    <tableColumn id="7" xr3:uid="{DC21BDB8-8A69-4186-83FC-A99F4F8E7737}" uniqueName="7" name="VARIANT" queryTableFieldId="7"/>
    <tableColumn id="6" xr3:uid="{895EF583-4F50-4211-A9B8-9D6A9E4977E5}" uniqueName="6" name="SPECS" queryTableFieldId="6" dataDxf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6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63" tableType="queryTable" totalsRowShown="0">
  <autoFilter ref="A1:G63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E6" tableType="queryTable" totalsRowShown="0">
  <autoFilter ref="A1:E6" xr:uid="{4662DD68-3559-4E05-8449-0F73B97BBCEC}"/>
  <tableColumns count="5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D908D405-B987-40A1-AAD5-53A32387C160}" uniqueName="4" name="PRICE" queryTableFieldId="8"/>
    <tableColumn id="5" xr3:uid="{9A1F5A78-9423-4E57-A343-5FABABD6CFB2}" uniqueName="5" name="TYPE" queryTableFieldId="9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L50" tableType="queryTable" totalsRowShown="0">
  <autoFilter ref="A1:L50" xr:uid="{100A8E24-FACC-4FF2-B7A4-85C3427EAA66}"/>
  <tableColumns count="12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  <tableColumn id="7" xr3:uid="{B067DE62-BC6F-4269-B2B5-265D0A3439EC}" uniqueName="7" name="Column7" queryTableFieldId="7"/>
    <tableColumn id="8" xr3:uid="{3C6BACA1-D08A-4D17-AA74-5F5DCB2692D5}" uniqueName="8" name="Column8" queryTableFieldId="8"/>
    <tableColumn id="9" xr3:uid="{4D9A8EF4-4C84-46AA-9497-5A7A466CA422}" uniqueName="9" name="Column9" queryTableFieldId="9"/>
    <tableColumn id="10" xr3:uid="{C9679E22-67FA-4287-9030-FC2EC257F6E7}" uniqueName="10" name="Column10" queryTableFieldId="10"/>
    <tableColumn id="11" xr3:uid="{242DD05E-6326-49C9-948A-A798FE77A3B5}" uniqueName="11" name="Column11" queryTableFieldId="11"/>
    <tableColumn id="12" xr3:uid="{5F05BCEB-3D5C-4DFF-B2D2-06F5A9B8536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8" tableType="queryTable" totalsRowShown="0">
  <autoFilter ref="A1:C8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M20" totalsRowCount="1" headerRowDxfId="25" dataDxfId="24">
  <autoFilter ref="B2:M19" xr:uid="{11196D4F-0C08-44E6-8845-054A162CF400}"/>
  <tableColumns count="12">
    <tableColumn id="1" xr3:uid="{7E5944E0-EEF7-48BA-9C65-2A065AAFA2D9}" name="DATE" totalsRowFunction="custom" dataDxfId="23" totalsRowDxfId="11">
      <totalsRowFormula>_xlfn.CONCAT("COUNT: ", SUBTOTAL(103,_TBL_SALES[DATE]))</totalsRowFormula>
    </tableColumn>
    <tableColumn id="2" xr3:uid="{6346439F-B17B-42E4-B169-E92F350D30A5}" name="MAIN PRODUCT" totalsRowLabel="TOTAL: " dataDxfId="22" totalsRowDxfId="10"/>
    <tableColumn id="4" xr3:uid="{95CD9087-654C-4E2A-AF3A-261436977333}" name="PRICE DEFAULT" totalsRowFunction="sum" dataDxfId="21" totalsRowDxfId="9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0" totalsRowDxfId="8"/>
    <tableColumn id="11" xr3:uid="{9F9E45A1-7B2D-48FF-A185-8ED8FCD21D9D}" name="Add Ons 2" dataDxfId="19" totalsRowDxfId="7"/>
    <tableColumn id="9" xr3:uid="{631CE9C0-E0FE-462C-B49B-A25E944D45BA}" name="Add Ons 3" dataDxfId="18" totalsRowDxfId="6"/>
    <tableColumn id="14" xr3:uid="{4F652C77-A69B-4014-BFAE-0FAAD8498F77}" name="Freebies" dataDxfId="17" totalsRowDxfId="5"/>
    <tableColumn id="5" xr3:uid="{20315BED-21B2-403E-9EB7-F0CC6C891D05}" name="Add Ons Cost" totalsRowFunction="sum" dataDxfId="16" totalsRowDxfId="4">
      <calculatedColumnFormula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calculatedColumnFormula>
    </tableColumn>
    <tableColumn id="3" xr3:uid="{0C6F7D0D-2B13-4E91-997A-E759C7E54BFB}" name="TOTAL PAYMEMT" totalsRowFunction="sum" dataDxfId="15" totalsRowDxfId="3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13" totalsRowDxfId="2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12" totalsRowDxfId="1"/>
    <tableColumn id="6" xr3:uid="{C248064F-C2EB-414B-92FA-814B8706B646}" name="BOX CONTENT" dataDxfId="14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3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147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148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149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6" x14ac:dyDescent="0.25">
      <c r="A49">
        <v>48</v>
      </c>
      <c r="B49" t="s">
        <v>105</v>
      </c>
      <c r="C49" t="s">
        <v>6</v>
      </c>
      <c r="D49" t="s">
        <v>105</v>
      </c>
    </row>
    <row r="50" spans="1:6" x14ac:dyDescent="0.25">
      <c r="A50">
        <v>49</v>
      </c>
      <c r="B50" t="s">
        <v>106</v>
      </c>
      <c r="C50" t="s">
        <v>6</v>
      </c>
      <c r="D50" t="s">
        <v>106</v>
      </c>
    </row>
    <row r="51" spans="1:6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6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6" x14ac:dyDescent="0.25">
      <c r="A53">
        <v>52</v>
      </c>
      <c r="B53" t="s">
        <v>109</v>
      </c>
      <c r="C53" t="s">
        <v>6</v>
      </c>
      <c r="D53" t="s">
        <v>109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63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147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148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149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7" x14ac:dyDescent="0.25">
      <c r="A49">
        <v>48</v>
      </c>
      <c r="B49" t="s">
        <v>105</v>
      </c>
      <c r="C49" t="s">
        <v>6</v>
      </c>
      <c r="D49" t="s">
        <v>105</v>
      </c>
    </row>
    <row r="50" spans="1:7" x14ac:dyDescent="0.25">
      <c r="A50">
        <v>49</v>
      </c>
      <c r="B50" t="s">
        <v>106</v>
      </c>
      <c r="C50" t="s">
        <v>6</v>
      </c>
      <c r="D50" t="s">
        <v>106</v>
      </c>
    </row>
    <row r="51" spans="1:7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7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7" x14ac:dyDescent="0.25">
      <c r="A53">
        <v>52</v>
      </c>
      <c r="B53" t="s">
        <v>109</v>
      </c>
      <c r="C53" t="s">
        <v>6</v>
      </c>
      <c r="D53" t="s">
        <v>109</v>
      </c>
    </row>
    <row r="54" spans="1:7" x14ac:dyDescent="0.25">
      <c r="A54">
        <v>98</v>
      </c>
      <c r="B54" t="s">
        <v>110</v>
      </c>
      <c r="C54" t="s">
        <v>13</v>
      </c>
      <c r="E54" t="s">
        <v>111</v>
      </c>
      <c r="F54" t="s">
        <v>99</v>
      </c>
      <c r="G54" t="s">
        <v>112</v>
      </c>
    </row>
    <row r="55" spans="1:7" x14ac:dyDescent="0.25">
      <c r="A55">
        <v>99</v>
      </c>
      <c r="B55" t="s">
        <v>113</v>
      </c>
      <c r="C55" t="s">
        <v>13</v>
      </c>
      <c r="E55" t="s">
        <v>114</v>
      </c>
      <c r="F55" t="s">
        <v>115</v>
      </c>
    </row>
    <row r="56" spans="1:7" x14ac:dyDescent="0.25">
      <c r="A56">
        <v>100</v>
      </c>
      <c r="B56" t="s">
        <v>116</v>
      </c>
      <c r="C56" t="s">
        <v>13</v>
      </c>
      <c r="E56" t="s">
        <v>116</v>
      </c>
    </row>
    <row r="57" spans="1:7" x14ac:dyDescent="0.25">
      <c r="A57">
        <v>101</v>
      </c>
      <c r="B57" t="s">
        <v>117</v>
      </c>
      <c r="C57" t="s">
        <v>15</v>
      </c>
      <c r="E57" t="s">
        <v>117</v>
      </c>
    </row>
    <row r="58" spans="1:7" x14ac:dyDescent="0.25">
      <c r="A58">
        <v>102</v>
      </c>
      <c r="B58" t="s">
        <v>118</v>
      </c>
      <c r="C58" t="s">
        <v>15</v>
      </c>
      <c r="E58" t="s">
        <v>118</v>
      </c>
    </row>
    <row r="59" spans="1:7" x14ac:dyDescent="0.25">
      <c r="A59">
        <v>103</v>
      </c>
      <c r="B59" t="s">
        <v>119</v>
      </c>
      <c r="C59" t="s">
        <v>15</v>
      </c>
      <c r="E59" t="s">
        <v>119</v>
      </c>
    </row>
    <row r="60" spans="1:7" x14ac:dyDescent="0.25">
      <c r="A60">
        <v>104</v>
      </c>
      <c r="B60" t="s">
        <v>150</v>
      </c>
      <c r="C60" t="s">
        <v>15</v>
      </c>
      <c r="E60" t="s">
        <v>150</v>
      </c>
    </row>
    <row r="61" spans="1:7" x14ac:dyDescent="0.25">
      <c r="A61">
        <v>105</v>
      </c>
      <c r="B61" t="s">
        <v>120</v>
      </c>
      <c r="C61" t="s">
        <v>15</v>
      </c>
      <c r="E61" t="s">
        <v>120</v>
      </c>
    </row>
    <row r="62" spans="1:7" x14ac:dyDescent="0.25">
      <c r="A62">
        <v>106</v>
      </c>
      <c r="B62" t="s">
        <v>121</v>
      </c>
      <c r="C62" t="s">
        <v>15</v>
      </c>
      <c r="E62" t="s">
        <v>121</v>
      </c>
    </row>
    <row r="63" spans="1:7" x14ac:dyDescent="0.25">
      <c r="A63">
        <v>107</v>
      </c>
      <c r="B63" t="s">
        <v>122</v>
      </c>
      <c r="C63" t="s">
        <v>15</v>
      </c>
      <c r="E63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sheetPr codeName="Sheet1"/>
  <dimension ref="A1:E6"/>
  <sheetViews>
    <sheetView workbookViewId="0">
      <selection activeCell="C3" sqref="C3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.28515625" bestFit="1" customWidth="1"/>
    <col min="4" max="4" width="9.140625" bestFit="1" customWidth="1"/>
    <col min="5" max="5" width="81.140625" bestFit="1" customWidth="1"/>
    <col min="6" max="6" width="81.140625" customWidth="1"/>
    <col min="7" max="7" width="81.140625" bestFit="1" customWidth="1"/>
  </cols>
  <sheetData>
    <row r="1" spans="1:5" x14ac:dyDescent="0.25">
      <c r="A1" t="s">
        <v>0</v>
      </c>
      <c r="B1" t="s">
        <v>123</v>
      </c>
      <c r="C1" t="s">
        <v>153</v>
      </c>
      <c r="D1" t="s">
        <v>2</v>
      </c>
      <c r="E1" t="s">
        <v>21</v>
      </c>
    </row>
    <row r="2" spans="1:5" x14ac:dyDescent="0.25">
      <c r="A2">
        <v>1</v>
      </c>
      <c r="B2" t="s">
        <v>124</v>
      </c>
      <c r="D2" t="s">
        <v>154</v>
      </c>
      <c r="E2" t="s">
        <v>155</v>
      </c>
    </row>
    <row r="3" spans="1:5" x14ac:dyDescent="0.25">
      <c r="A3">
        <v>2</v>
      </c>
      <c r="B3" t="s">
        <v>125</v>
      </c>
      <c r="D3" t="s">
        <v>154</v>
      </c>
      <c r="E3" t="s">
        <v>138</v>
      </c>
    </row>
    <row r="4" spans="1:5" x14ac:dyDescent="0.25">
      <c r="A4">
        <v>3</v>
      </c>
      <c r="B4" t="s">
        <v>126</v>
      </c>
      <c r="D4" t="s">
        <v>154</v>
      </c>
      <c r="E4" t="s">
        <v>139</v>
      </c>
    </row>
    <row r="5" spans="1:5" x14ac:dyDescent="0.25">
      <c r="A5">
        <v>4</v>
      </c>
      <c r="B5" t="s">
        <v>127</v>
      </c>
      <c r="D5" t="s">
        <v>154</v>
      </c>
      <c r="E5" t="s">
        <v>140</v>
      </c>
    </row>
    <row r="6" spans="1:5" x14ac:dyDescent="0.25">
      <c r="A6">
        <v>5</v>
      </c>
      <c r="B6" t="s">
        <v>145</v>
      </c>
      <c r="C6">
        <v>2000</v>
      </c>
      <c r="D6" t="s">
        <v>156</v>
      </c>
      <c r="E6" t="s">
        <v>146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sheetPr codeName="Sheet3"/>
  <dimension ref="A1:L50"/>
  <sheetViews>
    <sheetView topLeftCell="A13" workbookViewId="0">
      <selection activeCell="D15" sqref="D1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16.7109375" bestFit="1" customWidth="1"/>
    <col min="4" max="4" width="27.5703125" bestFit="1" customWidth="1"/>
    <col min="5" max="5" width="11.42578125" bestFit="1" customWidth="1"/>
    <col min="6" max="9" width="11.140625" bestFit="1" customWidth="1"/>
    <col min="10" max="12" width="12.140625" bestFit="1" customWidth="1"/>
  </cols>
  <sheetData>
    <row r="1" spans="1:12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</row>
    <row r="2" spans="1:12" x14ac:dyDescent="0.25">
      <c r="A2">
        <v>1</v>
      </c>
      <c r="B2" t="s">
        <v>55</v>
      </c>
      <c r="C2">
        <v>3990</v>
      </c>
      <c r="D2" t="s">
        <v>55</v>
      </c>
      <c r="E2" t="s">
        <v>151</v>
      </c>
      <c r="F2" t="s">
        <v>151</v>
      </c>
      <c r="G2" t="s">
        <v>151</v>
      </c>
      <c r="H2" t="s">
        <v>151</v>
      </c>
      <c r="I2" t="s">
        <v>151</v>
      </c>
      <c r="J2" t="s">
        <v>151</v>
      </c>
      <c r="K2" t="s">
        <v>151</v>
      </c>
    </row>
    <row r="3" spans="1:12" x14ac:dyDescent="0.25">
      <c r="A3">
        <v>2</v>
      </c>
      <c r="B3" t="s">
        <v>56</v>
      </c>
      <c r="C3">
        <v>3990</v>
      </c>
      <c r="D3" t="s">
        <v>56</v>
      </c>
      <c r="E3" t="s">
        <v>151</v>
      </c>
      <c r="F3" t="s">
        <v>151</v>
      </c>
      <c r="G3" t="s">
        <v>151</v>
      </c>
      <c r="H3" t="s">
        <v>151</v>
      </c>
      <c r="I3" t="s">
        <v>151</v>
      </c>
      <c r="J3" t="s">
        <v>151</v>
      </c>
      <c r="K3" t="s">
        <v>151</v>
      </c>
    </row>
    <row r="4" spans="1:12" x14ac:dyDescent="0.25">
      <c r="A4">
        <v>3</v>
      </c>
      <c r="B4" t="s">
        <v>57</v>
      </c>
      <c r="C4">
        <v>3990</v>
      </c>
      <c r="D4" t="s">
        <v>57</v>
      </c>
      <c r="E4" t="s">
        <v>151</v>
      </c>
      <c r="F4" t="s">
        <v>151</v>
      </c>
      <c r="G4" t="s">
        <v>151</v>
      </c>
      <c r="H4" t="s">
        <v>151</v>
      </c>
      <c r="I4" t="s">
        <v>151</v>
      </c>
      <c r="J4" t="s">
        <v>151</v>
      </c>
      <c r="K4" t="s">
        <v>151</v>
      </c>
    </row>
    <row r="5" spans="1:12" x14ac:dyDescent="0.25">
      <c r="A5">
        <v>4</v>
      </c>
      <c r="B5" t="s">
        <v>44</v>
      </c>
      <c r="C5">
        <v>3990</v>
      </c>
      <c r="D5" t="s">
        <v>44</v>
      </c>
      <c r="E5" t="s">
        <v>151</v>
      </c>
      <c r="F5" t="s">
        <v>151</v>
      </c>
      <c r="G5" t="s">
        <v>151</v>
      </c>
      <c r="H5" t="s">
        <v>151</v>
      </c>
      <c r="I5" t="s">
        <v>151</v>
      </c>
      <c r="J5" t="s">
        <v>151</v>
      </c>
      <c r="K5" t="s">
        <v>151</v>
      </c>
    </row>
    <row r="6" spans="1:12" x14ac:dyDescent="0.25">
      <c r="A6">
        <v>5</v>
      </c>
      <c r="B6" t="s">
        <v>58</v>
      </c>
      <c r="C6">
        <v>3990</v>
      </c>
      <c r="D6" t="s">
        <v>58</v>
      </c>
      <c r="E6" t="s">
        <v>151</v>
      </c>
      <c r="F6" t="s">
        <v>151</v>
      </c>
      <c r="G6" t="s">
        <v>151</v>
      </c>
      <c r="H6" t="s">
        <v>151</v>
      </c>
      <c r="I6" t="s">
        <v>151</v>
      </c>
      <c r="J6" t="s">
        <v>151</v>
      </c>
      <c r="K6" t="s">
        <v>151</v>
      </c>
    </row>
    <row r="7" spans="1:12" x14ac:dyDescent="0.25">
      <c r="A7">
        <v>6</v>
      </c>
      <c r="B7" t="s">
        <v>59</v>
      </c>
      <c r="C7">
        <v>3990</v>
      </c>
      <c r="D7" t="s">
        <v>59</v>
      </c>
      <c r="E7" t="s">
        <v>151</v>
      </c>
      <c r="F7" t="s">
        <v>151</v>
      </c>
      <c r="G7" t="s">
        <v>151</v>
      </c>
      <c r="H7" t="s">
        <v>151</v>
      </c>
      <c r="I7" t="s">
        <v>151</v>
      </c>
      <c r="J7" t="s">
        <v>151</v>
      </c>
      <c r="K7" t="s">
        <v>151</v>
      </c>
    </row>
    <row r="8" spans="1:12" x14ac:dyDescent="0.25">
      <c r="A8">
        <v>7</v>
      </c>
      <c r="B8" t="s">
        <v>61</v>
      </c>
      <c r="C8">
        <v>3990</v>
      </c>
      <c r="D8" t="s">
        <v>61</v>
      </c>
      <c r="E8" t="s">
        <v>151</v>
      </c>
      <c r="F8" t="s">
        <v>151</v>
      </c>
      <c r="G8" t="s">
        <v>151</v>
      </c>
      <c r="H8" t="s">
        <v>151</v>
      </c>
      <c r="I8" t="s">
        <v>151</v>
      </c>
      <c r="J8" t="s">
        <v>151</v>
      </c>
      <c r="K8" t="s">
        <v>151</v>
      </c>
    </row>
    <row r="9" spans="1:12" x14ac:dyDescent="0.25">
      <c r="A9">
        <v>8</v>
      </c>
      <c r="B9" t="s">
        <v>62</v>
      </c>
      <c r="C9">
        <v>3990</v>
      </c>
      <c r="D9" t="s">
        <v>62</v>
      </c>
      <c r="E9" t="s">
        <v>151</v>
      </c>
      <c r="F9" t="s">
        <v>151</v>
      </c>
      <c r="G9" t="s">
        <v>151</v>
      </c>
      <c r="H9" t="s">
        <v>151</v>
      </c>
      <c r="I9" t="s">
        <v>151</v>
      </c>
      <c r="J9" t="s">
        <v>151</v>
      </c>
      <c r="K9" t="s">
        <v>151</v>
      </c>
    </row>
    <row r="10" spans="1:12" x14ac:dyDescent="0.25">
      <c r="A10">
        <v>9</v>
      </c>
      <c r="B10" t="s">
        <v>45</v>
      </c>
      <c r="C10">
        <v>3990</v>
      </c>
      <c r="D10" t="s">
        <v>45</v>
      </c>
      <c r="E10" t="s">
        <v>151</v>
      </c>
      <c r="F10" t="s">
        <v>151</v>
      </c>
      <c r="G10" t="s">
        <v>151</v>
      </c>
      <c r="H10" t="s">
        <v>151</v>
      </c>
      <c r="I10" t="s">
        <v>151</v>
      </c>
      <c r="J10" t="s">
        <v>151</v>
      </c>
      <c r="K10" t="s">
        <v>151</v>
      </c>
    </row>
    <row r="11" spans="1:12" x14ac:dyDescent="0.25">
      <c r="A11">
        <v>10</v>
      </c>
      <c r="B11" t="s">
        <v>63</v>
      </c>
      <c r="C11">
        <v>3990</v>
      </c>
      <c r="D11" t="s">
        <v>63</v>
      </c>
      <c r="E11" t="s">
        <v>151</v>
      </c>
      <c r="F11" t="s">
        <v>151</v>
      </c>
      <c r="G11" t="s">
        <v>151</v>
      </c>
      <c r="H11" t="s">
        <v>151</v>
      </c>
      <c r="I11" t="s">
        <v>151</v>
      </c>
      <c r="J11" t="s">
        <v>151</v>
      </c>
      <c r="K11" t="s">
        <v>151</v>
      </c>
    </row>
    <row r="12" spans="1:12" x14ac:dyDescent="0.25">
      <c r="A12">
        <v>11</v>
      </c>
      <c r="B12" t="s">
        <v>64</v>
      </c>
      <c r="C12">
        <v>3990</v>
      </c>
      <c r="D12" t="s">
        <v>64</v>
      </c>
      <c r="E12" t="s">
        <v>151</v>
      </c>
      <c r="F12" t="s">
        <v>151</v>
      </c>
      <c r="G12" t="s">
        <v>151</v>
      </c>
      <c r="H12" t="s">
        <v>151</v>
      </c>
      <c r="I12" t="s">
        <v>151</v>
      </c>
      <c r="J12" t="s">
        <v>151</v>
      </c>
      <c r="K12" t="s">
        <v>151</v>
      </c>
    </row>
    <row r="13" spans="1:12" x14ac:dyDescent="0.25">
      <c r="A13">
        <v>12</v>
      </c>
      <c r="B13" t="s">
        <v>65</v>
      </c>
      <c r="C13">
        <v>3990</v>
      </c>
      <c r="D13" t="s">
        <v>65</v>
      </c>
      <c r="E13" t="s">
        <v>151</v>
      </c>
      <c r="F13" t="s">
        <v>151</v>
      </c>
      <c r="G13" t="s">
        <v>151</v>
      </c>
      <c r="H13" t="s">
        <v>151</v>
      </c>
      <c r="I13" t="s">
        <v>151</v>
      </c>
      <c r="J13" t="s">
        <v>151</v>
      </c>
      <c r="K13" t="s">
        <v>151</v>
      </c>
    </row>
    <row r="14" spans="1:12" x14ac:dyDescent="0.25">
      <c r="A14">
        <v>13</v>
      </c>
      <c r="B14" t="s">
        <v>66</v>
      </c>
      <c r="C14">
        <v>3990</v>
      </c>
      <c r="D14" t="s">
        <v>66</v>
      </c>
      <c r="E14" t="s">
        <v>151</v>
      </c>
      <c r="F14" t="s">
        <v>151</v>
      </c>
      <c r="G14" t="s">
        <v>151</v>
      </c>
      <c r="H14" t="s">
        <v>151</v>
      </c>
      <c r="I14" t="s">
        <v>151</v>
      </c>
      <c r="J14" t="s">
        <v>151</v>
      </c>
      <c r="K14" t="s">
        <v>151</v>
      </c>
    </row>
    <row r="15" spans="1:12" x14ac:dyDescent="0.25">
      <c r="A15">
        <v>14</v>
      </c>
      <c r="B15" t="s">
        <v>67</v>
      </c>
      <c r="C15">
        <v>3990</v>
      </c>
      <c r="D15" t="s">
        <v>67</v>
      </c>
      <c r="E15" t="s">
        <v>151</v>
      </c>
      <c r="F15" t="s">
        <v>151</v>
      </c>
      <c r="G15" t="s">
        <v>151</v>
      </c>
      <c r="H15" t="s">
        <v>151</v>
      </c>
      <c r="I15" t="s">
        <v>151</v>
      </c>
      <c r="J15" t="s">
        <v>151</v>
      </c>
      <c r="K15" t="s">
        <v>151</v>
      </c>
    </row>
    <row r="16" spans="1:12" x14ac:dyDescent="0.25">
      <c r="A16">
        <v>15</v>
      </c>
      <c r="B16" t="s">
        <v>68</v>
      </c>
      <c r="C16">
        <v>3990</v>
      </c>
      <c r="D16" t="s">
        <v>68</v>
      </c>
      <c r="E16" t="s">
        <v>151</v>
      </c>
      <c r="F16" t="s">
        <v>151</v>
      </c>
      <c r="G16" t="s">
        <v>151</v>
      </c>
      <c r="H16" t="s">
        <v>151</v>
      </c>
      <c r="I16" t="s">
        <v>151</v>
      </c>
      <c r="J16" t="s">
        <v>151</v>
      </c>
      <c r="K16" t="s">
        <v>151</v>
      </c>
    </row>
    <row r="17" spans="1:11" x14ac:dyDescent="0.25">
      <c r="A17">
        <v>16</v>
      </c>
      <c r="B17" t="s">
        <v>69</v>
      </c>
      <c r="C17">
        <v>3990</v>
      </c>
      <c r="D17" t="s">
        <v>69</v>
      </c>
      <c r="E17" t="s">
        <v>151</v>
      </c>
      <c r="F17" t="s">
        <v>151</v>
      </c>
      <c r="G17" t="s">
        <v>151</v>
      </c>
      <c r="H17" t="s">
        <v>151</v>
      </c>
      <c r="I17" t="s">
        <v>151</v>
      </c>
      <c r="J17" t="s">
        <v>151</v>
      </c>
      <c r="K17" t="s">
        <v>151</v>
      </c>
    </row>
    <row r="18" spans="1:11" x14ac:dyDescent="0.25">
      <c r="A18">
        <v>17</v>
      </c>
      <c r="B18" t="s">
        <v>70</v>
      </c>
      <c r="C18">
        <v>3990</v>
      </c>
      <c r="D18" t="s">
        <v>70</v>
      </c>
      <c r="E18" t="s">
        <v>151</v>
      </c>
      <c r="F18" t="s">
        <v>151</v>
      </c>
      <c r="G18" t="s">
        <v>151</v>
      </c>
      <c r="H18" t="s">
        <v>151</v>
      </c>
      <c r="I18" t="s">
        <v>151</v>
      </c>
      <c r="J18" t="s">
        <v>151</v>
      </c>
      <c r="K18" t="s">
        <v>151</v>
      </c>
    </row>
    <row r="19" spans="1:11" x14ac:dyDescent="0.25">
      <c r="A19">
        <v>18</v>
      </c>
      <c r="B19" t="s">
        <v>71</v>
      </c>
      <c r="C19">
        <v>3990</v>
      </c>
      <c r="D19" t="s">
        <v>71</v>
      </c>
      <c r="E19" t="s">
        <v>151</v>
      </c>
      <c r="F19" t="s">
        <v>151</v>
      </c>
      <c r="G19" t="s">
        <v>151</v>
      </c>
      <c r="H19" t="s">
        <v>151</v>
      </c>
      <c r="I19" t="s">
        <v>151</v>
      </c>
      <c r="J19" t="s">
        <v>151</v>
      </c>
      <c r="K19" t="s">
        <v>151</v>
      </c>
    </row>
    <row r="20" spans="1:11" x14ac:dyDescent="0.25">
      <c r="A20">
        <v>19</v>
      </c>
      <c r="B20" t="s">
        <v>47</v>
      </c>
      <c r="C20">
        <v>3990</v>
      </c>
      <c r="D20" t="s">
        <v>47</v>
      </c>
      <c r="E20" t="s">
        <v>151</v>
      </c>
      <c r="F20" t="s">
        <v>151</v>
      </c>
      <c r="G20" t="s">
        <v>151</v>
      </c>
      <c r="H20" t="s">
        <v>151</v>
      </c>
      <c r="I20" t="s">
        <v>151</v>
      </c>
      <c r="J20" t="s">
        <v>151</v>
      </c>
      <c r="K20" t="s">
        <v>151</v>
      </c>
    </row>
    <row r="21" spans="1:11" x14ac:dyDescent="0.25">
      <c r="A21">
        <v>20</v>
      </c>
      <c r="B21" t="s">
        <v>72</v>
      </c>
      <c r="C21">
        <v>3990</v>
      </c>
      <c r="D21" t="s">
        <v>72</v>
      </c>
      <c r="E21" t="s">
        <v>151</v>
      </c>
      <c r="F21" t="s">
        <v>151</v>
      </c>
      <c r="G21" t="s">
        <v>151</v>
      </c>
      <c r="H21" t="s">
        <v>151</v>
      </c>
      <c r="I21" t="s">
        <v>151</v>
      </c>
      <c r="J21" t="s">
        <v>151</v>
      </c>
      <c r="K21" t="s">
        <v>151</v>
      </c>
    </row>
    <row r="22" spans="1:11" x14ac:dyDescent="0.25">
      <c r="A22">
        <v>21</v>
      </c>
      <c r="B22" t="s">
        <v>73</v>
      </c>
      <c r="C22">
        <v>3990</v>
      </c>
      <c r="D22" t="s">
        <v>73</v>
      </c>
      <c r="E22" t="s">
        <v>151</v>
      </c>
      <c r="F22" t="s">
        <v>151</v>
      </c>
      <c r="G22" t="s">
        <v>151</v>
      </c>
      <c r="H22" t="s">
        <v>151</v>
      </c>
      <c r="I22" t="s">
        <v>151</v>
      </c>
      <c r="J22" t="s">
        <v>151</v>
      </c>
      <c r="K22" t="s">
        <v>151</v>
      </c>
    </row>
    <row r="23" spans="1:11" x14ac:dyDescent="0.25">
      <c r="A23">
        <v>22</v>
      </c>
      <c r="B23" t="s">
        <v>75</v>
      </c>
      <c r="C23">
        <v>3990</v>
      </c>
      <c r="D23" t="s">
        <v>75</v>
      </c>
      <c r="E23" t="s">
        <v>151</v>
      </c>
      <c r="F23" t="s">
        <v>151</v>
      </c>
      <c r="G23" t="s">
        <v>151</v>
      </c>
      <c r="H23" t="s">
        <v>151</v>
      </c>
      <c r="I23" t="s">
        <v>151</v>
      </c>
      <c r="J23" t="s">
        <v>151</v>
      </c>
      <c r="K23" t="s">
        <v>151</v>
      </c>
    </row>
    <row r="24" spans="1:11" x14ac:dyDescent="0.25">
      <c r="A24">
        <v>23</v>
      </c>
      <c r="B24" t="s">
        <v>77</v>
      </c>
      <c r="C24">
        <v>3990</v>
      </c>
      <c r="D24" t="s">
        <v>77</v>
      </c>
      <c r="E24" t="s">
        <v>151</v>
      </c>
      <c r="F24" t="s">
        <v>151</v>
      </c>
      <c r="G24" t="s">
        <v>151</v>
      </c>
      <c r="H24" t="s">
        <v>151</v>
      </c>
      <c r="I24" t="s">
        <v>151</v>
      </c>
      <c r="J24" t="s">
        <v>151</v>
      </c>
      <c r="K24" t="s">
        <v>151</v>
      </c>
    </row>
    <row r="25" spans="1:11" x14ac:dyDescent="0.25">
      <c r="A25">
        <v>24</v>
      </c>
      <c r="B25" t="s">
        <v>78</v>
      </c>
      <c r="C25">
        <v>3990</v>
      </c>
      <c r="D25" t="s">
        <v>78</v>
      </c>
      <c r="E25" t="s">
        <v>151</v>
      </c>
      <c r="F25" t="s">
        <v>151</v>
      </c>
      <c r="G25" t="s">
        <v>151</v>
      </c>
      <c r="H25" t="s">
        <v>151</v>
      </c>
      <c r="I25" t="s">
        <v>151</v>
      </c>
      <c r="J25" t="s">
        <v>151</v>
      </c>
      <c r="K25" t="s">
        <v>151</v>
      </c>
    </row>
    <row r="26" spans="1:11" x14ac:dyDescent="0.25">
      <c r="A26">
        <v>25</v>
      </c>
      <c r="B26" t="s">
        <v>79</v>
      </c>
      <c r="C26">
        <v>3990</v>
      </c>
      <c r="D26" t="s">
        <v>79</v>
      </c>
      <c r="E26" t="s">
        <v>151</v>
      </c>
      <c r="F26" t="s">
        <v>151</v>
      </c>
      <c r="G26" t="s">
        <v>151</v>
      </c>
      <c r="H26" t="s">
        <v>151</v>
      </c>
      <c r="I26" t="s">
        <v>151</v>
      </c>
      <c r="J26" t="s">
        <v>151</v>
      </c>
      <c r="K26" t="s">
        <v>151</v>
      </c>
    </row>
    <row r="27" spans="1:11" x14ac:dyDescent="0.25">
      <c r="A27">
        <v>26</v>
      </c>
      <c r="B27" t="s">
        <v>80</v>
      </c>
      <c r="C27">
        <v>3990</v>
      </c>
      <c r="D27" t="s">
        <v>80</v>
      </c>
      <c r="E27" t="s">
        <v>151</v>
      </c>
      <c r="F27" t="s">
        <v>151</v>
      </c>
      <c r="G27" t="s">
        <v>151</v>
      </c>
      <c r="H27" t="s">
        <v>151</v>
      </c>
      <c r="I27" t="s">
        <v>151</v>
      </c>
      <c r="J27" t="s">
        <v>151</v>
      </c>
      <c r="K27" t="s">
        <v>151</v>
      </c>
    </row>
    <row r="28" spans="1:11" x14ac:dyDescent="0.25">
      <c r="A28">
        <v>27</v>
      </c>
      <c r="B28" t="s">
        <v>81</v>
      </c>
      <c r="C28">
        <v>3990</v>
      </c>
      <c r="D28" t="s">
        <v>81</v>
      </c>
      <c r="E28" t="s">
        <v>151</v>
      </c>
      <c r="F28" t="s">
        <v>151</v>
      </c>
      <c r="G28" t="s">
        <v>151</v>
      </c>
      <c r="H28" t="s">
        <v>151</v>
      </c>
      <c r="I28" t="s">
        <v>151</v>
      </c>
      <c r="J28" t="s">
        <v>151</v>
      </c>
      <c r="K28" t="s">
        <v>151</v>
      </c>
    </row>
    <row r="29" spans="1:11" x14ac:dyDescent="0.25">
      <c r="A29">
        <v>28</v>
      </c>
      <c r="B29" t="s">
        <v>83</v>
      </c>
      <c r="C29">
        <v>3990</v>
      </c>
      <c r="D29" t="s">
        <v>83</v>
      </c>
      <c r="E29" t="s">
        <v>151</v>
      </c>
      <c r="F29" t="s">
        <v>151</v>
      </c>
      <c r="G29" t="s">
        <v>151</v>
      </c>
      <c r="H29" t="s">
        <v>151</v>
      </c>
      <c r="I29" t="s">
        <v>151</v>
      </c>
      <c r="J29" t="s">
        <v>151</v>
      </c>
      <c r="K29" t="s">
        <v>151</v>
      </c>
    </row>
    <row r="30" spans="1:11" x14ac:dyDescent="0.25">
      <c r="A30">
        <v>29</v>
      </c>
      <c r="B30" t="s">
        <v>84</v>
      </c>
      <c r="C30">
        <v>3990</v>
      </c>
      <c r="D30" t="s">
        <v>84</v>
      </c>
      <c r="E30" t="s">
        <v>151</v>
      </c>
      <c r="F30" t="s">
        <v>151</v>
      </c>
      <c r="G30" t="s">
        <v>151</v>
      </c>
      <c r="H30" t="s">
        <v>151</v>
      </c>
      <c r="I30" t="s">
        <v>151</v>
      </c>
      <c r="J30" t="s">
        <v>151</v>
      </c>
      <c r="K30" t="s">
        <v>151</v>
      </c>
    </row>
    <row r="31" spans="1:11" x14ac:dyDescent="0.25">
      <c r="A31">
        <v>30</v>
      </c>
      <c r="B31" t="s">
        <v>85</v>
      </c>
      <c r="C31">
        <v>3990</v>
      </c>
      <c r="D31" t="s">
        <v>85</v>
      </c>
      <c r="E31" t="s">
        <v>151</v>
      </c>
      <c r="F31" t="s">
        <v>151</v>
      </c>
      <c r="G31" t="s">
        <v>151</v>
      </c>
      <c r="H31" t="s">
        <v>151</v>
      </c>
      <c r="I31" t="s">
        <v>151</v>
      </c>
      <c r="J31" t="s">
        <v>151</v>
      </c>
      <c r="K31" t="s">
        <v>151</v>
      </c>
    </row>
    <row r="32" spans="1:11" x14ac:dyDescent="0.25">
      <c r="A32">
        <v>31</v>
      </c>
      <c r="B32" t="s">
        <v>86</v>
      </c>
      <c r="C32">
        <v>3990</v>
      </c>
      <c r="D32" t="s">
        <v>86</v>
      </c>
      <c r="E32" t="s">
        <v>151</v>
      </c>
      <c r="F32" t="s">
        <v>151</v>
      </c>
      <c r="G32" t="s">
        <v>151</v>
      </c>
      <c r="H32" t="s">
        <v>151</v>
      </c>
      <c r="I32" t="s">
        <v>151</v>
      </c>
      <c r="J32" t="s">
        <v>151</v>
      </c>
      <c r="K32" t="s">
        <v>151</v>
      </c>
    </row>
    <row r="33" spans="1:11" x14ac:dyDescent="0.25">
      <c r="A33">
        <v>32</v>
      </c>
      <c r="B33" t="s">
        <v>87</v>
      </c>
      <c r="C33">
        <v>3990</v>
      </c>
      <c r="D33" t="s">
        <v>87</v>
      </c>
      <c r="E33" t="s">
        <v>151</v>
      </c>
      <c r="F33" t="s">
        <v>151</v>
      </c>
      <c r="G33" t="s">
        <v>151</v>
      </c>
      <c r="H33" t="s">
        <v>151</v>
      </c>
      <c r="I33" t="s">
        <v>151</v>
      </c>
      <c r="J33" t="s">
        <v>151</v>
      </c>
      <c r="K33" t="s">
        <v>151</v>
      </c>
    </row>
    <row r="34" spans="1:11" x14ac:dyDescent="0.25">
      <c r="A34">
        <v>33</v>
      </c>
      <c r="B34" t="s">
        <v>88</v>
      </c>
      <c r="C34">
        <v>3990</v>
      </c>
      <c r="D34" t="s">
        <v>88</v>
      </c>
      <c r="E34" t="s">
        <v>151</v>
      </c>
      <c r="F34" t="s">
        <v>151</v>
      </c>
      <c r="G34" t="s">
        <v>151</v>
      </c>
      <c r="H34" t="s">
        <v>151</v>
      </c>
      <c r="I34" t="s">
        <v>151</v>
      </c>
      <c r="J34" t="s">
        <v>151</v>
      </c>
      <c r="K34" t="s">
        <v>151</v>
      </c>
    </row>
    <row r="35" spans="1:11" x14ac:dyDescent="0.25">
      <c r="A35">
        <v>34</v>
      </c>
      <c r="B35" t="s">
        <v>89</v>
      </c>
      <c r="C35">
        <v>3990</v>
      </c>
      <c r="D35" t="s">
        <v>89</v>
      </c>
      <c r="E35" t="s">
        <v>151</v>
      </c>
      <c r="F35" t="s">
        <v>151</v>
      </c>
      <c r="G35" t="s">
        <v>151</v>
      </c>
      <c r="H35" t="s">
        <v>151</v>
      </c>
      <c r="I35" t="s">
        <v>151</v>
      </c>
      <c r="J35" t="s">
        <v>151</v>
      </c>
      <c r="K35" t="s">
        <v>151</v>
      </c>
    </row>
    <row r="36" spans="1:11" x14ac:dyDescent="0.25">
      <c r="A36">
        <v>35</v>
      </c>
      <c r="B36" t="s">
        <v>91</v>
      </c>
      <c r="C36">
        <v>3990</v>
      </c>
      <c r="D36" t="s">
        <v>91</v>
      </c>
      <c r="E36" t="s">
        <v>151</v>
      </c>
      <c r="F36" t="s">
        <v>151</v>
      </c>
      <c r="G36" t="s">
        <v>151</v>
      </c>
      <c r="H36" t="s">
        <v>151</v>
      </c>
      <c r="I36" t="s">
        <v>151</v>
      </c>
      <c r="J36" t="s">
        <v>151</v>
      </c>
      <c r="K36" t="s">
        <v>151</v>
      </c>
    </row>
    <row r="37" spans="1:11" x14ac:dyDescent="0.25">
      <c r="A37">
        <v>36</v>
      </c>
      <c r="B37" t="s">
        <v>92</v>
      </c>
      <c r="C37">
        <v>3990</v>
      </c>
      <c r="D37" t="s">
        <v>92</v>
      </c>
      <c r="E37" t="s">
        <v>151</v>
      </c>
      <c r="F37" t="s">
        <v>151</v>
      </c>
      <c r="G37" t="s">
        <v>151</v>
      </c>
      <c r="H37" t="s">
        <v>151</v>
      </c>
      <c r="I37" t="s">
        <v>151</v>
      </c>
      <c r="J37" t="s">
        <v>151</v>
      </c>
      <c r="K37" t="s">
        <v>151</v>
      </c>
    </row>
    <row r="38" spans="1:11" x14ac:dyDescent="0.25">
      <c r="A38">
        <v>37</v>
      </c>
      <c r="B38" t="s">
        <v>93</v>
      </c>
      <c r="C38">
        <v>3990</v>
      </c>
      <c r="D38" t="s">
        <v>93</v>
      </c>
      <c r="E38" t="s">
        <v>151</v>
      </c>
      <c r="F38" t="s">
        <v>151</v>
      </c>
      <c r="G38" t="s">
        <v>151</v>
      </c>
      <c r="H38" t="s">
        <v>151</v>
      </c>
      <c r="I38" t="s">
        <v>151</v>
      </c>
      <c r="J38" t="s">
        <v>151</v>
      </c>
      <c r="K38" t="s">
        <v>151</v>
      </c>
    </row>
    <row r="39" spans="1:11" x14ac:dyDescent="0.25">
      <c r="A39">
        <v>38</v>
      </c>
      <c r="B39" t="s">
        <v>94</v>
      </c>
      <c r="C39">
        <v>3990</v>
      </c>
      <c r="D39" t="s">
        <v>94</v>
      </c>
      <c r="E39" t="s">
        <v>151</v>
      </c>
      <c r="F39" t="s">
        <v>151</v>
      </c>
      <c r="G39" t="s">
        <v>151</v>
      </c>
      <c r="H39" t="s">
        <v>151</v>
      </c>
      <c r="I39" t="s">
        <v>151</v>
      </c>
      <c r="J39" t="s">
        <v>151</v>
      </c>
      <c r="K39" t="s">
        <v>151</v>
      </c>
    </row>
    <row r="40" spans="1:11" x14ac:dyDescent="0.25">
      <c r="A40">
        <v>39</v>
      </c>
      <c r="B40" t="s">
        <v>95</v>
      </c>
      <c r="C40">
        <v>3990</v>
      </c>
      <c r="D40" t="s">
        <v>95</v>
      </c>
      <c r="E40" t="s">
        <v>151</v>
      </c>
      <c r="F40" t="s">
        <v>151</v>
      </c>
      <c r="G40" t="s">
        <v>151</v>
      </c>
      <c r="H40" t="s">
        <v>151</v>
      </c>
      <c r="I40" t="s">
        <v>151</v>
      </c>
      <c r="J40" t="s">
        <v>151</v>
      </c>
      <c r="K40" t="s">
        <v>151</v>
      </c>
    </row>
    <row r="41" spans="1:11" x14ac:dyDescent="0.25">
      <c r="A41">
        <v>40</v>
      </c>
      <c r="B41" t="s">
        <v>98</v>
      </c>
      <c r="C41">
        <v>3990</v>
      </c>
      <c r="D41" t="s">
        <v>98</v>
      </c>
      <c r="E41" t="s">
        <v>151</v>
      </c>
      <c r="F41" t="s">
        <v>151</v>
      </c>
      <c r="G41" t="s">
        <v>151</v>
      </c>
      <c r="H41" t="s">
        <v>151</v>
      </c>
      <c r="I41" t="s">
        <v>151</v>
      </c>
      <c r="J41" t="s">
        <v>151</v>
      </c>
      <c r="K41" t="s">
        <v>151</v>
      </c>
    </row>
    <row r="42" spans="1:11" x14ac:dyDescent="0.25">
      <c r="A42">
        <v>41</v>
      </c>
      <c r="B42" t="s">
        <v>100</v>
      </c>
      <c r="C42">
        <v>3990</v>
      </c>
      <c r="D42" t="s">
        <v>100</v>
      </c>
      <c r="E42" t="s">
        <v>151</v>
      </c>
      <c r="F42" t="s">
        <v>151</v>
      </c>
      <c r="G42" t="s">
        <v>151</v>
      </c>
      <c r="H42" t="s">
        <v>151</v>
      </c>
      <c r="I42" t="s">
        <v>151</v>
      </c>
      <c r="J42" t="s">
        <v>151</v>
      </c>
      <c r="K42" t="s">
        <v>151</v>
      </c>
    </row>
    <row r="43" spans="1:11" x14ac:dyDescent="0.25">
      <c r="A43">
        <v>42</v>
      </c>
      <c r="B43" t="s">
        <v>101</v>
      </c>
      <c r="C43">
        <v>3990</v>
      </c>
      <c r="D43" t="s">
        <v>101</v>
      </c>
      <c r="E43" t="s">
        <v>151</v>
      </c>
      <c r="F43" t="s">
        <v>151</v>
      </c>
      <c r="G43" t="s">
        <v>151</v>
      </c>
      <c r="H43" t="s">
        <v>151</v>
      </c>
      <c r="I43" t="s">
        <v>151</v>
      </c>
      <c r="J43" t="s">
        <v>151</v>
      </c>
      <c r="K43" t="s">
        <v>151</v>
      </c>
    </row>
    <row r="44" spans="1:11" x14ac:dyDescent="0.25">
      <c r="A44">
        <v>43</v>
      </c>
      <c r="B44" t="s">
        <v>102</v>
      </c>
      <c r="C44">
        <v>3990</v>
      </c>
      <c r="D44" t="s">
        <v>102</v>
      </c>
      <c r="E44" t="s">
        <v>151</v>
      </c>
      <c r="F44" t="s">
        <v>151</v>
      </c>
      <c r="G44" t="s">
        <v>151</v>
      </c>
      <c r="H44" t="s">
        <v>151</v>
      </c>
      <c r="I44" t="s">
        <v>151</v>
      </c>
      <c r="J44" t="s">
        <v>151</v>
      </c>
      <c r="K44" t="s">
        <v>151</v>
      </c>
    </row>
    <row r="45" spans="1:11" x14ac:dyDescent="0.25">
      <c r="A45">
        <v>44</v>
      </c>
      <c r="B45" t="s">
        <v>103</v>
      </c>
      <c r="C45">
        <v>3990</v>
      </c>
      <c r="D45" t="s">
        <v>103</v>
      </c>
      <c r="E45" t="s">
        <v>151</v>
      </c>
      <c r="F45" t="s">
        <v>151</v>
      </c>
      <c r="G45" t="s">
        <v>151</v>
      </c>
      <c r="H45" t="s">
        <v>151</v>
      </c>
      <c r="I45" t="s">
        <v>151</v>
      </c>
      <c r="J45" t="s">
        <v>151</v>
      </c>
      <c r="K45" t="s">
        <v>151</v>
      </c>
    </row>
    <row r="46" spans="1:11" x14ac:dyDescent="0.25">
      <c r="A46">
        <v>45</v>
      </c>
      <c r="B46" t="s">
        <v>105</v>
      </c>
      <c r="C46">
        <v>3990</v>
      </c>
      <c r="D46" t="s">
        <v>105</v>
      </c>
      <c r="E46" t="s">
        <v>151</v>
      </c>
      <c r="F46" t="s">
        <v>151</v>
      </c>
      <c r="G46" t="s">
        <v>151</v>
      </c>
      <c r="H46" t="s">
        <v>151</v>
      </c>
      <c r="I46" t="s">
        <v>151</v>
      </c>
      <c r="J46" t="s">
        <v>151</v>
      </c>
      <c r="K46" t="s">
        <v>151</v>
      </c>
    </row>
    <row r="47" spans="1:11" x14ac:dyDescent="0.25">
      <c r="A47">
        <v>46</v>
      </c>
      <c r="B47" t="s">
        <v>106</v>
      </c>
      <c r="C47">
        <v>3990</v>
      </c>
      <c r="D47" t="s">
        <v>106</v>
      </c>
      <c r="E47" t="s">
        <v>151</v>
      </c>
      <c r="F47" t="s">
        <v>151</v>
      </c>
      <c r="G47" t="s">
        <v>151</v>
      </c>
      <c r="H47" t="s">
        <v>151</v>
      </c>
      <c r="I47" t="s">
        <v>151</v>
      </c>
      <c r="J47" t="s">
        <v>151</v>
      </c>
      <c r="K47" t="s">
        <v>151</v>
      </c>
    </row>
    <row r="48" spans="1:11" x14ac:dyDescent="0.25">
      <c r="A48">
        <v>47</v>
      </c>
      <c r="B48" t="s">
        <v>107</v>
      </c>
      <c r="C48">
        <v>3990</v>
      </c>
      <c r="D48" t="s">
        <v>107</v>
      </c>
      <c r="E48" t="s">
        <v>151</v>
      </c>
      <c r="F48" t="s">
        <v>151</v>
      </c>
      <c r="G48" t="s">
        <v>151</v>
      </c>
      <c r="H48" t="s">
        <v>151</v>
      </c>
      <c r="I48" t="s">
        <v>151</v>
      </c>
      <c r="J48" t="s">
        <v>151</v>
      </c>
      <c r="K48" t="s">
        <v>151</v>
      </c>
    </row>
    <row r="49" spans="1:11" x14ac:dyDescent="0.25">
      <c r="A49">
        <v>48</v>
      </c>
      <c r="B49" t="s">
        <v>108</v>
      </c>
      <c r="C49">
        <v>3990</v>
      </c>
      <c r="D49" t="s">
        <v>108</v>
      </c>
      <c r="E49" t="s">
        <v>151</v>
      </c>
      <c r="F49" t="s">
        <v>151</v>
      </c>
      <c r="G49" t="s">
        <v>151</v>
      </c>
      <c r="H49" t="s">
        <v>151</v>
      </c>
      <c r="I49" t="s">
        <v>151</v>
      </c>
      <c r="J49" t="s">
        <v>151</v>
      </c>
      <c r="K49" t="s">
        <v>151</v>
      </c>
    </row>
    <row r="50" spans="1:11" x14ac:dyDescent="0.25">
      <c r="A50">
        <v>49</v>
      </c>
      <c r="B50" t="s">
        <v>109</v>
      </c>
      <c r="C50">
        <v>3990</v>
      </c>
      <c r="D50" t="s">
        <v>109</v>
      </c>
      <c r="E50" t="s">
        <v>152</v>
      </c>
      <c r="F50" t="s">
        <v>151</v>
      </c>
      <c r="G50" t="s">
        <v>151</v>
      </c>
      <c r="H50" t="s">
        <v>151</v>
      </c>
      <c r="I50" t="s">
        <v>151</v>
      </c>
      <c r="J50" t="s">
        <v>151</v>
      </c>
      <c r="K50" t="s">
        <v>151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sheetPr codeName="Sheet5"/>
  <dimension ref="A1:C8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136</v>
      </c>
      <c r="C2">
        <v>250</v>
      </c>
    </row>
    <row r="3" spans="1:3" x14ac:dyDescent="0.25">
      <c r="A3">
        <v>2</v>
      </c>
      <c r="B3" t="s">
        <v>141</v>
      </c>
      <c r="C3">
        <v>100</v>
      </c>
    </row>
    <row r="4" spans="1:3" x14ac:dyDescent="0.25">
      <c r="A4">
        <v>3</v>
      </c>
      <c r="B4" t="s">
        <v>142</v>
      </c>
      <c r="C4">
        <v>100</v>
      </c>
    </row>
    <row r="5" spans="1:3" x14ac:dyDescent="0.25">
      <c r="A5">
        <v>4</v>
      </c>
      <c r="B5" t="s">
        <v>143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  <row r="8" spans="1:3" x14ac:dyDescent="0.25">
      <c r="A8">
        <v>42</v>
      </c>
      <c r="B8" t="s">
        <v>54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M21"/>
  <sheetViews>
    <sheetView tabSelected="1" zoomScale="85" zoomScaleNormal="55" workbookViewId="0">
      <selection activeCell="F3" sqref="F3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  <col min="13" max="13" width="185.7109375" bestFit="1" customWidth="1"/>
  </cols>
  <sheetData>
    <row r="1" spans="2:13" x14ac:dyDescent="0.25">
      <c r="C1" s="19" t="s">
        <v>18</v>
      </c>
      <c r="D1" s="19"/>
      <c r="E1" s="9"/>
      <c r="F1" s="9"/>
      <c r="G1" s="9"/>
    </row>
    <row r="2" spans="2:13" ht="15.75" thickBot="1" x14ac:dyDescent="0.3">
      <c r="B2" s="1" t="s">
        <v>9</v>
      </c>
      <c r="C2" s="1" t="s">
        <v>137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134</v>
      </c>
      <c r="L2" s="1" t="s">
        <v>135</v>
      </c>
      <c r="M2" s="1" t="s">
        <v>144</v>
      </c>
    </row>
    <row r="3" spans="2:13" x14ac:dyDescent="0.25">
      <c r="B3" s="2">
        <v>45787</v>
      </c>
      <c r="C3" s="8" t="s">
        <v>55</v>
      </c>
      <c r="D3" s="5"/>
      <c r="E3" s="12" t="s">
        <v>131</v>
      </c>
      <c r="F3" s="13"/>
      <c r="G3" s="13"/>
      <c r="H3" s="14"/>
      <c r="I3" s="5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5000</v>
      </c>
      <c r="J3" s="5">
        <f>IFERROR(_TBL_SALES[[#This Row],[Add Ons Cost]]+_TBL_SALES[[#This Row],[PRICE DEFAULT]], "")</f>
        <v>5000</v>
      </c>
      <c r="K3" s="12"/>
      <c r="L3" s="14"/>
      <c r="M3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4" spans="2:13" x14ac:dyDescent="0.25">
      <c r="B4" s="2"/>
      <c r="C4" s="8"/>
      <c r="D4" s="5" t="str">
        <f xml:space="preserve"> _xlfn.IFNA( VLOOKUP(_TBL_SALES[[#This Row],[MAIN PRODUCT]], MAIN_PRODUCT[[PRODUCT NAME]:[DEFAULT PRICE]], 2), "")</f>
        <v/>
      </c>
      <c r="E4" s="10"/>
      <c r="F4" s="20"/>
      <c r="G4" s="20"/>
      <c r="H4" s="11"/>
      <c r="I4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4" s="5" t="str">
        <f>IFERROR(_TBL_SALES[[#This Row],[Add Ons Cost]]+_TBL_SALES[[#This Row],[PRICE DEFAULT]], "")</f>
        <v/>
      </c>
      <c r="K4" s="10"/>
      <c r="L4" s="18"/>
      <c r="M4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3" x14ac:dyDescent="0.25">
      <c r="B5" s="2"/>
      <c r="C5" s="8"/>
      <c r="D5" s="5" t="str">
        <f xml:space="preserve"> _xlfn.IFNA( VLOOKUP(_TBL_SALES[[#This Row],[MAIN PRODUCT]], MAIN_PRODUCT[[PRODUCT NAME]:[DEFAULT PRICE]], 2), "")</f>
        <v/>
      </c>
      <c r="E5" s="10"/>
      <c r="F5" s="5"/>
      <c r="G5" s="5"/>
      <c r="H5" s="11"/>
      <c r="I5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5" s="5" t="str">
        <f>IFERROR(_TBL_SALES[[#This Row],[Add Ons Cost]]+_TBL_SALES[[#This Row],[PRICE DEFAULT]], "")</f>
        <v/>
      </c>
      <c r="K5" s="10"/>
      <c r="L5" s="11"/>
      <c r="M5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3" x14ac:dyDescent="0.25">
      <c r="B6" s="2"/>
      <c r="C6" s="8"/>
      <c r="D6" s="5" t="str">
        <f xml:space="preserve"> _xlfn.IFNA( VLOOKUP(_TBL_SALES[[#This Row],[MAIN PRODUCT]], MAIN_PRODUCT[[PRODUCT NAME]:[DEFAULT PRICE]], 2), "")</f>
        <v/>
      </c>
      <c r="E6" s="10"/>
      <c r="F6" s="5"/>
      <c r="G6" s="5"/>
      <c r="H6" s="11"/>
      <c r="I6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6" s="5" t="str">
        <f>IFERROR(_TBL_SALES[[#This Row],[Add Ons Cost]]+_TBL_SALES[[#This Row],[PRICE DEFAULT]], "")</f>
        <v/>
      </c>
      <c r="K6" s="10"/>
      <c r="L6" s="18"/>
      <c r="M6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3" x14ac:dyDescent="0.25">
      <c r="B7" s="2"/>
      <c r="C7" s="8"/>
      <c r="D7" s="5" t="str">
        <f xml:space="preserve"> _xlfn.IFNA( VLOOKUP(_TBL_SALES[[#This Row],[MAIN PRODUCT]], MAIN_PRODUCT[[PRODUCT NAME]:[DEFAULT PRICE]], 2), "")</f>
        <v/>
      </c>
      <c r="E7" s="10"/>
      <c r="F7" s="5"/>
      <c r="G7" s="5"/>
      <c r="H7" s="11"/>
      <c r="I7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7" s="5" t="str">
        <f>IFERROR(_TBL_SALES[[#This Row],[Add Ons Cost]]+_TBL_SALES[[#This Row],[PRICE DEFAULT]], "")</f>
        <v/>
      </c>
      <c r="K7" s="10"/>
      <c r="L7" s="18"/>
      <c r="M7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3" x14ac:dyDescent="0.25">
      <c r="B8" s="2"/>
      <c r="C8" s="8"/>
      <c r="D8" s="5" t="str">
        <f xml:space="preserve"> _xlfn.IFNA( VLOOKUP(_TBL_SALES[[#This Row],[MAIN PRODUCT]], MAIN_PRODUCT[[PRODUCT NAME]:[DEFAULT PRICE]], 2), "")</f>
        <v/>
      </c>
      <c r="E8" s="10"/>
      <c r="F8" s="5"/>
      <c r="G8" s="5"/>
      <c r="H8" s="11"/>
      <c r="I8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8" s="5" t="str">
        <f>IFERROR(_TBL_SALES[[#This Row],[Add Ons Cost]]+_TBL_SALES[[#This Row],[PRICE DEFAULT]], "")</f>
        <v/>
      </c>
      <c r="K8" s="10"/>
      <c r="L8" s="18"/>
      <c r="M8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3" x14ac:dyDescent="0.25">
      <c r="B9" s="2"/>
      <c r="C9" s="8"/>
      <c r="D9" s="5" t="str">
        <f xml:space="preserve"> _xlfn.IFNA( VLOOKUP(_TBL_SALES[[#This Row],[MAIN PRODUCT]], MAIN_PRODUCT[[PRODUCT NAME]:[DEFAULT PRICE]], 2), "")</f>
        <v/>
      </c>
      <c r="E9" s="10"/>
      <c r="F9" s="5"/>
      <c r="G9" s="5"/>
      <c r="H9" s="11"/>
      <c r="I9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5" t="str">
        <f>IFERROR(_TBL_SALES[[#This Row],[Add Ons Cost]]+_TBL_SALES[[#This Row],[PRICE DEFAULT]], "")</f>
        <v/>
      </c>
      <c r="K9" s="10"/>
      <c r="L9" s="18"/>
      <c r="M9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3" x14ac:dyDescent="0.25">
      <c r="B10" s="2"/>
      <c r="C10" s="8"/>
      <c r="D10" s="5" t="str">
        <f xml:space="preserve"> _xlfn.IFNA( VLOOKUP(_TBL_SALES[[#This Row],[MAIN PRODUCT]], MAIN_PRODUCT[[PRODUCT NAME]:[DEFAULT PRICE]], 2), "")</f>
        <v/>
      </c>
      <c r="E10" s="10"/>
      <c r="F10" s="5"/>
      <c r="G10" s="5"/>
      <c r="H10" s="11"/>
      <c r="I10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0" s="5" t="str">
        <f>IFERROR(_TBL_SALES[[#This Row],[Add Ons Cost]]+_TBL_SALES[[#This Row],[PRICE DEFAULT]], "")</f>
        <v/>
      </c>
      <c r="K10" s="10"/>
      <c r="L10" s="18"/>
      <c r="M10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1" spans="2:13" x14ac:dyDescent="0.25">
      <c r="B11" s="2"/>
      <c r="C11" s="8"/>
      <c r="D11" s="5" t="str">
        <f xml:space="preserve"> _xlfn.IFNA( VLOOKUP(_TBL_SALES[[#This Row],[MAIN PRODUCT]], MAIN_PRODUCT[[PRODUCT NAME]:[DEFAULT PRICE]], 2), "")</f>
        <v/>
      </c>
      <c r="E11" s="10"/>
      <c r="F11" s="5"/>
      <c r="G11" s="5"/>
      <c r="H11" s="11"/>
      <c r="I11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1" s="5" t="str">
        <f>IFERROR(_TBL_SALES[[#This Row],[Add Ons Cost]]+_TBL_SALES[[#This Row],[PRICE DEFAULT]], "")</f>
        <v/>
      </c>
      <c r="K11" s="10"/>
      <c r="L11" s="18"/>
      <c r="M11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2" spans="2:13" x14ac:dyDescent="0.25">
      <c r="B12" s="2"/>
      <c r="C12" s="8"/>
      <c r="D12" s="5" t="str">
        <f xml:space="preserve"> _xlfn.IFNA( VLOOKUP(_TBL_SALES[[#This Row],[MAIN PRODUCT]], MAIN_PRODUCT[[PRODUCT NAME]:[DEFAULT PRICE]], 2), "")</f>
        <v/>
      </c>
      <c r="E12" s="10"/>
      <c r="F12" s="5"/>
      <c r="G12" s="5"/>
      <c r="H12" s="11"/>
      <c r="I12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2" s="5" t="str">
        <f>IFERROR(_TBL_SALES[[#This Row],[Add Ons Cost]]+_TBL_SALES[[#This Row],[PRICE DEFAULT]], "")</f>
        <v/>
      </c>
      <c r="K12" s="10"/>
      <c r="L12" s="18"/>
      <c r="M12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3" spans="2:13" x14ac:dyDescent="0.25">
      <c r="B13" s="2"/>
      <c r="C13" s="8"/>
      <c r="D13" s="5" t="str">
        <f xml:space="preserve"> _xlfn.IFNA( VLOOKUP(_TBL_SALES[[#This Row],[MAIN PRODUCT]], MAIN_PRODUCT[[PRODUCT NAME]:[DEFAULT PRICE]], 2), "")</f>
        <v/>
      </c>
      <c r="E13" s="10"/>
      <c r="F13" s="5"/>
      <c r="G13" s="5"/>
      <c r="H13" s="11"/>
      <c r="I13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3" s="5" t="str">
        <f>IFERROR(_TBL_SALES[[#This Row],[Add Ons Cost]]+_TBL_SALES[[#This Row],[PRICE DEFAULT]], "")</f>
        <v/>
      </c>
      <c r="K13" s="10"/>
      <c r="L13" s="18"/>
      <c r="M13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4" spans="2:13" x14ac:dyDescent="0.25">
      <c r="B14" s="2"/>
      <c r="C14" s="8"/>
      <c r="D14" s="5" t="str">
        <f xml:space="preserve"> _xlfn.IFNA( VLOOKUP(_TBL_SALES[[#This Row],[MAIN PRODUCT]], MAIN_PRODUCT[[PRODUCT NAME]:[DEFAULT PRICE]], 2), "")</f>
        <v/>
      </c>
      <c r="E14" s="10"/>
      <c r="F14" s="5"/>
      <c r="G14" s="5"/>
      <c r="H14" s="11"/>
      <c r="I14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4" s="5" t="str">
        <f>IFERROR(_TBL_SALES[[#This Row],[Add Ons Cost]]+_TBL_SALES[[#This Row],[PRICE DEFAULT]], "")</f>
        <v/>
      </c>
      <c r="K14" s="10"/>
      <c r="L14" s="18"/>
      <c r="M14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5" spans="2:13" x14ac:dyDescent="0.25">
      <c r="B15" s="2"/>
      <c r="C15" s="8"/>
      <c r="D15" s="5" t="str">
        <f xml:space="preserve"> _xlfn.IFNA( VLOOKUP(_TBL_SALES[[#This Row],[MAIN PRODUCT]], MAIN_PRODUCT[[PRODUCT NAME]:[DEFAULT PRICE]], 2), "")</f>
        <v/>
      </c>
      <c r="E15" s="10"/>
      <c r="F15" s="5"/>
      <c r="G15" s="5"/>
      <c r="H15" s="11"/>
      <c r="I15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5" s="5" t="str">
        <f>IFERROR(_TBL_SALES[[#This Row],[Add Ons Cost]]+_TBL_SALES[[#This Row],[PRICE DEFAULT]], "")</f>
        <v/>
      </c>
      <c r="K15" s="10"/>
      <c r="L15" s="11"/>
      <c r="M15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6" spans="2:13" x14ac:dyDescent="0.25">
      <c r="B16" s="2"/>
      <c r="C16" s="8"/>
      <c r="D16" s="5" t="str">
        <f xml:space="preserve"> _xlfn.IFNA( VLOOKUP(_TBL_SALES[[#This Row],[MAIN PRODUCT]], MAIN_PRODUCT[[PRODUCT NAME]:[DEFAULT PRICE]], 2), "")</f>
        <v/>
      </c>
      <c r="E16" s="10"/>
      <c r="F16" s="5"/>
      <c r="G16" s="5"/>
      <c r="H16" s="11"/>
      <c r="I16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6" s="5" t="str">
        <f>IFERROR(_TBL_SALES[[#This Row],[Add Ons Cost]]+_TBL_SALES[[#This Row],[PRICE DEFAULT]], "")</f>
        <v/>
      </c>
      <c r="K16" s="10"/>
      <c r="L16" s="11"/>
      <c r="M16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7" spans="2:13" x14ac:dyDescent="0.25">
      <c r="B17" s="2"/>
      <c r="C17" s="8"/>
      <c r="D17" s="5" t="str">
        <f xml:space="preserve"> _xlfn.IFNA( VLOOKUP(_TBL_SALES[[#This Row],[MAIN PRODUCT]], MAIN_PRODUCT[[PRODUCT NAME]:[DEFAULT PRICE]], 2), "")</f>
        <v/>
      </c>
      <c r="E17" s="10"/>
      <c r="F17" s="5"/>
      <c r="G17" s="5"/>
      <c r="H17" s="11"/>
      <c r="I17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7" s="5" t="str">
        <f>IFERROR(_TBL_SALES[[#This Row],[Add Ons Cost]]+_TBL_SALES[[#This Row],[PRICE DEFAULT]], "")</f>
        <v/>
      </c>
      <c r="K17" s="10"/>
      <c r="L17" s="11"/>
      <c r="M17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8" spans="2:13" x14ac:dyDescent="0.25">
      <c r="B18" s="2"/>
      <c r="C18" s="8"/>
      <c r="D18" s="5" t="str">
        <f xml:space="preserve"> _xlfn.IFNA( VLOOKUP(_TBL_SALES[[#This Row],[MAIN PRODUCT]], MAIN_PRODUCT[[PRODUCT NAME]:[DEFAULT PRICE]], 2), "")</f>
        <v/>
      </c>
      <c r="E18" s="10"/>
      <c r="F18" s="5"/>
      <c r="G18" s="5"/>
      <c r="H18" s="11"/>
      <c r="I18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8" s="5" t="str">
        <f>IFERROR(_TBL_SALES[[#This Row],[Add Ons Cost]]+_TBL_SALES[[#This Row],[PRICE DEFAULT]], "")</f>
        <v/>
      </c>
      <c r="K18" s="10"/>
      <c r="L18" s="11"/>
      <c r="M18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9" spans="2:13" ht="15.75" thickBot="1" x14ac:dyDescent="0.3">
      <c r="B19" s="2"/>
      <c r="C19" s="8"/>
      <c r="D19" s="5" t="str">
        <f xml:space="preserve"> _xlfn.IFNA( VLOOKUP(_TBL_SALES[[#This Row],[MAIN PRODUCT]], MAIN_PRODUCT[[PRODUCT NAME]:[DEFAULT PRICE]], 2), "")</f>
        <v/>
      </c>
      <c r="E19" s="15"/>
      <c r="F19" s="16"/>
      <c r="G19" s="16"/>
      <c r="H19" s="17"/>
      <c r="I19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9" s="5" t="str">
        <f>IFERROR(_TBL_SALES[[#This Row],[Add Ons Cost]]+_TBL_SALES[[#This Row],[PRICE DEFAULT]], "")</f>
        <v/>
      </c>
      <c r="K19" s="15"/>
      <c r="L19" s="17"/>
      <c r="M19" s="18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20" spans="2:13" x14ac:dyDescent="0.25">
      <c r="B20" s="1" t="str">
        <f>_xlfn.CONCAT("COUNT: ", SUBTOTAL(103,_TBL_SALES[DATE]))</f>
        <v>COUNT: 1</v>
      </c>
      <c r="C20" s="3" t="s">
        <v>16</v>
      </c>
      <c r="D20" s="6">
        <f>SUBTOTAL(109,_TBL_SALES[PRICE DEFAULT])</f>
        <v>0</v>
      </c>
      <c r="E20" s="6"/>
      <c r="F20" s="6"/>
      <c r="G20" s="6"/>
      <c r="H20" s="6"/>
      <c r="I20" s="6">
        <f>SUBTOTAL(109,_TBL_SALES[Add Ons Cost])</f>
        <v>5000</v>
      </c>
      <c r="J20" s="6">
        <f>SUBTOTAL(109,_TBL_SALES[TOTAL PAYMEMT])</f>
        <v>5000</v>
      </c>
      <c r="K20" s="6">
        <f>SUBTOTAL(109,_TBL_SALES[CASH])</f>
        <v>0</v>
      </c>
      <c r="L20" s="6">
        <f>SUBTOTAL(109,_TBL_SALES[GCASH/BANK])</f>
        <v>0</v>
      </c>
      <c r="M20" s="3"/>
    </row>
    <row r="21" spans="2:13" x14ac:dyDescent="0.25">
      <c r="C21" s="4" t="s">
        <v>17</v>
      </c>
      <c r="D21" s="7">
        <f>SUM(_TBL_SALES[Add Ons Cost])</f>
        <v>5000</v>
      </c>
      <c r="E21" s="7"/>
      <c r="F21" s="7"/>
      <c r="G21" s="7"/>
      <c r="J21" s="7">
        <f>SUM(_TBL_SALES[TOTAL PAYMEMT])</f>
        <v>5000</v>
      </c>
      <c r="K21" s="7">
        <f>SUM(_TBL_SALES[CASH])</f>
        <v>0</v>
      </c>
      <c r="L21" s="7">
        <f>SUM(_TBL_SALES[GCASH/BANK])</f>
        <v>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H3:H19" xr:uid="{AA45CAC7-F0C3-40AC-ACFA-A82B546D9715}">
      <formula1>NAMES_FREEBIES_SET</formula1>
    </dataValidation>
    <dataValidation type="list" allowBlank="1" showInputMessage="1" sqref="E3:G19" xr:uid="{C2D6B428-BB88-4A96-86A0-EE6E2F2FAAC9}">
      <formula1>NAMES_ADD_ONS</formula1>
    </dataValidation>
    <dataValidation type="list" allowBlank="1" showInputMessage="1" sqref="C3:C19" xr:uid="{D35F3CFF-ADA1-4525-BF72-C5961EE64C62}">
      <formula1>NAMES_MAIN_PRODUCTS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2025-05-10T03:53:38Z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