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main-server\__users__\__management__\real_enterprise\office 1\"/>
    </mc:Choice>
  </mc:AlternateContent>
  <xr:revisionPtr revIDLastSave="0" documentId="13_ncr:1_{EBE4F59C-A207-401C-8CF1-6C732075E17A}" xr6:coauthVersionLast="36" xr6:coauthVersionMax="47" xr10:uidLastSave="{00000000-0000-0000-0000-000000000000}"/>
  <bookViews>
    <workbookView xWindow="-120" yWindow="-120" windowWidth="29040" windowHeight="15720" firstSheet="6" activeTab="6" xr2:uid="{00000000-000D-0000-FFFF-FFFF00000000}"/>
  </bookViews>
  <sheets>
    <sheet name="_TBL_INVENTORY" sheetId="4" state="hidden" r:id="rId1"/>
    <sheet name="_TBL_EMPLOYEES" sheetId="10" state="hidden" r:id="rId2"/>
    <sheet name="_TBL_MAIN_PRODUCTS" sheetId="13" state="hidden" r:id="rId3"/>
    <sheet name="_TBL_FREEBIES_SET" sheetId="14" state="hidden" r:id="rId4"/>
    <sheet name="_TBL_MAIN_PRODUCT" sheetId="17" state="hidden" r:id="rId5"/>
    <sheet name="_TBL_ADD_ONS" sheetId="21" state="hidden" r:id="rId6"/>
    <sheet name="SALES" sheetId="2" r:id="rId7"/>
  </sheets>
  <definedNames>
    <definedName name="ExternalData_1" localSheetId="5" hidden="1">'_TBL_ADD_ONS'!$A$1:$C$7</definedName>
    <definedName name="ExternalData_1" localSheetId="1" hidden="1">'_TBL_EMPLOYEES'!$A$1:$Q$2</definedName>
    <definedName name="ExternalData_1" localSheetId="3" hidden="1">'_TBL_FREEBIES_SET'!$A$1:$D$6</definedName>
    <definedName name="ExternalData_2" localSheetId="0" hidden="1">'_TBL_INVENTORY'!$A$1:$G$50</definedName>
    <definedName name="ExternalData_2" localSheetId="4" hidden="1">_TBL_MAIN_PRODUCT!$A$1:$F$5</definedName>
    <definedName name="ExternalData_2" localSheetId="2" hidden="1">_TBL_MAIN_PRODUCTS!$A$1:$G$59</definedName>
    <definedName name="NAMES_ADD_ONS">_TBL_ADD_ONS[ADD ON NAME]</definedName>
    <definedName name="NAMES_EMPLOYEES">_TBL_EMPLOYEES[EMPLOYEE NAME]</definedName>
    <definedName name="NAMES_FREEBIES_SET">_TBL_FREEBIES_SET[FREEBIES NAME]</definedName>
    <definedName name="NAMES_INVENTORY">OFFSET(_TBL_INVENTORY[NAME], 0, 0, COUNTA(_TBL_INVENTORY[NAME]), 1)</definedName>
    <definedName name="NAMES_MAIN_PRODUCTS">MAIN_PRODUCT[PRODUCT 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9" i="2" l="1"/>
  <c r="M3" i="2"/>
  <c r="M4" i="2"/>
  <c r="M5" i="2"/>
  <c r="M6" i="2"/>
  <c r="M7" i="2"/>
  <c r="M8" i="2"/>
  <c r="I3" i="2"/>
  <c r="I4" i="2"/>
  <c r="I6" i="2"/>
  <c r="I7" i="2"/>
  <c r="I8" i="2"/>
  <c r="I9" i="2"/>
  <c r="I5" i="2"/>
  <c r="K11" i="2" l="1"/>
  <c r="L11" i="2"/>
  <c r="K10" i="2"/>
  <c r="L10" i="2"/>
  <c r="D3" i="2" l="1"/>
  <c r="D4" i="2"/>
  <c r="D5" i="2"/>
  <c r="J5" i="2" s="1"/>
  <c r="D6" i="2"/>
  <c r="D7" i="2"/>
  <c r="D8" i="2"/>
  <c r="D9" i="2"/>
  <c r="J4" i="2" l="1"/>
  <c r="J8" i="2"/>
  <c r="J9" i="2"/>
  <c r="J7" i="2"/>
  <c r="J6" i="2"/>
  <c r="J3" i="2"/>
  <c r="B10" i="2"/>
  <c r="J10" i="2" l="1"/>
  <c r="J11" i="2"/>
  <c r="I10" i="2"/>
  <c r="D10" i="2"/>
  <c r="D1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21E191-82AF-4902-9DFC-4F33080EE1D8}" keepAlive="1" name="Query - _TBL_ADD_ONS4" description="Connection to the '_TBL_ADD_ONS4' query in the workbook." type="5" refreshedVersion="6" background="1" saveData="1">
    <dbPr connection="Provider=Microsoft.Mashup.OleDb.1;Data Source=$Workbook$;Location=_TBL_ADD_ONS4;Extended Properties=&quot;&quot;" command="SELECT * FROM [_TBL_ADD_ONS4]"/>
  </connection>
  <connection id="2" xr16:uid="{226EB653-3B5D-4485-872F-8D68E9A696CC}" keepAlive="1" name="Query - _TBL_EMPLOYEES" description="Connection to the '_TBL_EMPLOYEES' query in the workbook." type="5" refreshedVersion="6" background="1" saveData="1">
    <dbPr connection="Provider=Microsoft.Mashup.OleDb.1;Data Source=$Workbook$;Location=_TBL_EMPLOYEES;Extended Properties=&quot;&quot;" command="SELECT * FROM [_TBL_EMPLOYEES]"/>
  </connection>
  <connection id="3" xr16:uid="{92CFD20A-E010-48F6-86E8-9A7932F4954C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4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5" xr16:uid="{3891BEFD-A607-47F0-9985-A9EE878806BC}" keepAlive="1" name="Query - _TBL_INVENTORY_MAIN_PRODUCTS" description="Connection to the '_TBL_INVENTORY_MAIN_PRODUCTS' query in the workbook." type="5" refreshedVersion="6" background="1" saveData="1">
    <dbPr connection="Provider=Microsoft.Mashup.OleDb.1;Data Source=$Workbook$;Location=_TBL_INVENTORY_MAIN_PRODUCTS;Extended Properties=&quot;&quot;" command="SELECT * FROM [_TBL_INVENTORY_MAIN_PRODUCTS]"/>
  </connection>
  <connection id="6" xr16:uid="{97E9CBF6-BA56-4C34-9FE7-9855B3008141}" keepAlive="1" name="Query - MAIN_PRODUCT" description="Connection to the 'MAIN_PRODUCT' query in the workbook." type="5" refreshedVersion="6" background="1" saveData="1">
    <dbPr connection="Provider=Microsoft.Mashup.OleDb.1;Data Source=$Workbook$;Location=MAIN_PRODUCT;Extended Properties=&quot;&quot;" command="SELECT * FROM [MAIN_PRODUCT]"/>
  </connection>
</connections>
</file>

<file path=xl/sharedStrings.xml><?xml version="1.0" encoding="utf-8"?>
<sst xmlns="http://schemas.openxmlformats.org/spreadsheetml/2006/main" count="570" uniqueCount="149">
  <si>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</si>
  <si>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</si>
  <si>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</si>
  <si>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</si>
  <si>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</si>
  <si>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</si>
  <si>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</si>
  <si>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</si>
  <si>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</si>
  <si>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</si>
  <si>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ACER</t>
  </si>
  <si>
    <t>ASUS</t>
  </si>
  <si>
    <t>LENOVO</t>
  </si>
  <si>
    <t>PC Parts</t>
  </si>
  <si>
    <t>Freebies</t>
  </si>
  <si>
    <t>Printers</t>
  </si>
  <si>
    <t xml:space="preserve">TOTAL: </t>
  </si>
  <si>
    <t>ABSOLUTE TOTAL:</t>
  </si>
  <si>
    <t>SALES REPORT</t>
  </si>
  <si>
    <t>PRODUCT NAME</t>
  </si>
  <si>
    <t>DEFAULT PRICE</t>
  </si>
  <si>
    <t>DETAILS</t>
  </si>
  <si>
    <t>PRICE DEFAULT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</si>
  <si>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</si>
  <si>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</si>
  <si>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</si>
  <si>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</si>
  <si>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</si>
  <si>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</si>
  <si>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</si>
  <si>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</si>
  <si>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</si>
  <si>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</si>
  <si>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</si>
  <si>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</si>
  <si>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</si>
  <si>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</si>
  <si>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</si>
  <si>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</si>
  <si>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</si>
  <si>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</si>
  <si>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</si>
  <si>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</si>
  <si>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</si>
  <si>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</si>
  <si>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</si>
  <si>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</si>
  <si>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</si>
  <si>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</si>
  <si>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</si>
  <si>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</si>
  <si>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Add Ons 1</t>
  </si>
  <si>
    <t>Add Ons 2</t>
  </si>
  <si>
    <t>Add Ons 3</t>
  </si>
  <si>
    <t>Laminator</t>
  </si>
  <si>
    <t>DELL REGULAR 2 / 16</t>
  </si>
  <si>
    <t>DELL REGULAR 4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</si>
  <si>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</si>
  <si>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</si>
  <si>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</si>
  <si>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</si>
  <si>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</si>
  <si>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</si>
  <si>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</si>
  <si>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</si>
  <si>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</si>
  <si>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</si>
  <si>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</si>
  <si>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</si>
  <si>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</si>
  <si>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</si>
  <si>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</si>
  <si>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</si>
  <si>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</si>
  <si>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</si>
  <si>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</si>
  <si>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</si>
  <si>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</si>
  <si>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</si>
  <si>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</si>
  <si>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</si>
  <si>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</si>
  <si>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</si>
  <si>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</si>
  <si>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</si>
  <si>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</si>
  <si>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</si>
  <si>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</si>
  <si>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</si>
  <si>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</si>
  <si>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</si>
  <si>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</si>
  <si>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</si>
  <si>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</si>
  <si>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</si>
  <si>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</si>
  <si>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</si>
  <si>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</si>
  <si>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</si>
  <si>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</si>
  <si>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</si>
  <si>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</si>
  <si>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</si>
  <si>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</si>
  <si>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</si>
  <si>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</si>
  <si>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</si>
  <si>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</si>
  <si>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</si>
  <si>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</si>
  <si>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</si>
  <si>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Sytem</t>
  </si>
  <si>
    <t>4th Gen</t>
  </si>
  <si>
    <t>System Ryzen 3</t>
  </si>
  <si>
    <t>System</t>
  </si>
  <si>
    <t>Ryzen 3</t>
  </si>
  <si>
    <t>Monitor</t>
  </si>
  <si>
    <t>TS 207</t>
  </si>
  <si>
    <t>MG 2570 S</t>
  </si>
  <si>
    <t>MG 3070 S</t>
  </si>
  <si>
    <t>G 2021</t>
  </si>
  <si>
    <t>L 121</t>
  </si>
  <si>
    <t>Brother 3420 W</t>
  </si>
  <si>
    <t>FREEBIES NAME</t>
  </si>
  <si>
    <t>8 Freebies</t>
  </si>
  <si>
    <t>Mix And Match  Helmet</t>
  </si>
  <si>
    <t>Mix And Match  Action Cam</t>
  </si>
  <si>
    <t>Mix And Match  Cherry Mobile</t>
  </si>
  <si>
    <t>Add Ons Cost</t>
  </si>
  <si>
    <t>ADD ON NAME</t>
  </si>
  <si>
    <t>ADD ON PRICE</t>
  </si>
  <si>
    <t>Speaker</t>
  </si>
  <si>
    <t>Webcam</t>
  </si>
  <si>
    <t>TOTAL PAYMEMT</t>
  </si>
  <si>
    <t>CASH</t>
  </si>
  <si>
    <t>GCASH/BANK</t>
  </si>
  <si>
    <t>Computer Table</t>
  </si>
  <si>
    <t>MAIN PRODUCT</t>
  </si>
  <si>
    <t>Helmet</t>
  </si>
  <si>
    <t>1080p Sports Cam</t>
  </si>
  <si>
    <t>Cherry Mobile</t>
  </si>
  <si>
    <t>Keyboard/Mouse</t>
  </si>
  <si>
    <t>Large Mouse pad</t>
  </si>
  <si>
    <t>Wifi-dongle</t>
  </si>
  <si>
    <t>BOX CONTENT</t>
  </si>
  <si>
    <t>COST</t>
  </si>
  <si>
    <t>Mouse, Laptop Table, Laptop Bag, Laptop Brush, Laptop Stand, Charger, Mouse Pad, P47 Headphone</t>
  </si>
  <si>
    <t>PRINTER SET</t>
  </si>
  <si>
    <t>VGA, Laminator,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</si>
</sst>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([$PHP]\ * #,##0.00_);_([$PHP]\ * \(#,##0.00\);_([$PHP]\ 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32"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58B072F-6341-4CBF-81B5-C3ADEC0C465C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2EAF0DA-19CC-4175-892F-934C58E43886}" autoFormatId="16" applyNumberFormats="0" applyBorderFormats="0" applyFontFormats="0" applyPatternFormats="0" applyAlignmentFormats="0" applyWidthHeightFormats="0">
  <queryTableRefresh nextId="8">
    <queryTableFields count="4">
      <queryTableField id="4" name="ID" tableColumnId="1"/>
      <queryTableField id="2" name="FREEBIES NAME" tableColumnId="2"/>
      <queryTableField id="6" name="COST" tableColumnId="4"/>
      <queryTableField id="3" name="DETAIL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FCDD5D92-086E-428A-9920-D2ABFAE5A535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3E08A68-B641-44E0-B755-5F393F8A972C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50" tableType="queryTable" totalsRowShown="0">
  <autoFilter ref="A1:G50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31"/>
    <tableColumn id="3" xr3:uid="{076104D8-C9E8-451B-A965-B0F52E829B97}" uniqueName="3" name="TYPE" queryTableFieldId="3" dataDxfId="30"/>
    <tableColumn id="4" xr3:uid="{EED15770-5ACA-47A3-90AC-004FB47CC5A3}" uniqueName="4" name="BRAND" queryTableFieldId="4" dataDxfId="29"/>
    <tableColumn id="5" xr3:uid="{3006AD62-9893-4204-AD0A-4EF3B9BE605E}" uniqueName="5" name="CODE" queryTableFieldId="5" dataDxfId="28"/>
    <tableColumn id="7" xr3:uid="{DC21BDB8-8A69-4186-83FC-A99F4F8E7737}" uniqueName="7" name="VARIANT" queryTableFieldId="7"/>
    <tableColumn id="6" xr3:uid="{895EF583-4F50-4211-A9B8-9D6A9E4977E5}" uniqueName="6" name="SPECS" queryTableFieldId="6" dataDxfId="2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26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28BCAA-8200-4419-8D26-0F3720D1D3B0}" name="_TBL_INVENTORY_MAIN_PRODUCTS" displayName="_TBL_INVENTORY_MAIN_PRODUCTS" ref="A1:G59" tableType="queryTable" totalsRowShown="0">
  <autoFilter ref="A1:G59" xr:uid="{4CD612B7-AFB8-49A1-ACFD-A67CBD7E61C3}"/>
  <tableColumns count="7">
    <tableColumn id="1" xr3:uid="{8F8D69B9-4C30-4B3C-9A69-33EE50402292}" uniqueName="1" name="ID" queryTableFieldId="1"/>
    <tableColumn id="2" xr3:uid="{28ED2E56-3C20-4701-AA66-5A5F883DCDAE}" uniqueName="2" name="NAME" queryTableFieldId="2"/>
    <tableColumn id="3" xr3:uid="{1B674BE4-E94A-43EE-99AD-6ACC831A3F1D}" uniqueName="3" name="TYPE" queryTableFieldId="3"/>
    <tableColumn id="4" xr3:uid="{E3072494-0E53-45BE-8BCA-214D005BA651}" uniqueName="4" name="BRAND" queryTableFieldId="4"/>
    <tableColumn id="5" xr3:uid="{4C2B1490-5C7C-49ED-B5D4-04598A090278}" uniqueName="5" name="CODE" queryTableFieldId="5"/>
    <tableColumn id="6" xr3:uid="{367A1F55-494A-4B52-80B9-8F3777C1CA10}" uniqueName="6" name="VARIANT" queryTableFieldId="6"/>
    <tableColumn id="7" xr3:uid="{30D881D2-DC67-4DCE-AB8F-97FFD1E59EBF}" uniqueName="7" name="SPECS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2D49B3-7B85-416E-80F9-31B129FD6302}" name="_TBL_FREEBIES_SET" displayName="_TBL_FREEBIES_SET" ref="A1:D6" tableType="queryTable" totalsRowShown="0">
  <autoFilter ref="A1:D6" xr:uid="{4662DD68-3559-4E05-8449-0F73B97BBCEC}"/>
  <tableColumns count="4">
    <tableColumn id="1" xr3:uid="{8D8221AF-1412-4698-94A7-517B6554B5F8}" uniqueName="1" name="ID" queryTableFieldId="4"/>
    <tableColumn id="2" xr3:uid="{4CBA0582-BA1E-431C-BFBB-4A5DC5230851}" uniqueName="2" name="FREEBIES NAME" queryTableFieldId="2"/>
    <tableColumn id="4" xr3:uid="{B618BDC7-15BE-4395-B1C2-7AF6C909EBED}" uniqueName="4" name="COST" queryTableFieldId="6"/>
    <tableColumn id="3" xr3:uid="{0A9B3ADF-3C7C-4AE0-A912-302719403A85}" uniqueName="3" name="DETAIL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720D6F-268C-4182-8895-17745E28523A}" name="MAIN_PRODUCT" displayName="MAIN_PRODUCT" ref="A1:F5" tableType="queryTable" totalsRowShown="0">
  <autoFilter ref="A1:F5" xr:uid="{100A8E24-FACC-4FF2-B7A4-85C3427EAA66}"/>
  <tableColumns count="6">
    <tableColumn id="1" xr3:uid="{04D15821-F462-43D5-AE9B-D00CCC737494}" uniqueName="1" name="ID" queryTableFieldId="1"/>
    <tableColumn id="2" xr3:uid="{7349AD04-5499-473F-B45E-6D4EC63C851C}" uniqueName="2" name="PRODUCT NAME" queryTableFieldId="2"/>
    <tableColumn id="3" xr3:uid="{6432F4A9-FAD7-459C-94BB-B3F3F3646F15}" uniqueName="3" name="DEFAULT PRICE" queryTableFieldId="3"/>
    <tableColumn id="4" xr3:uid="{71996DBB-A18F-4C88-A91C-4C3773908B36}" uniqueName="4" name="Column4" queryTableFieldId="4"/>
    <tableColumn id="5" xr3:uid="{987D04AB-7BC0-4AF8-88D6-80DE9DAF8C0C}" uniqueName="5" name="Column5" queryTableFieldId="5"/>
    <tableColumn id="6" xr3:uid="{3492A804-819F-4432-A06B-C923B0F89429}" uniqueName="6" name="Column6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B05C21-A464-4C93-86DF-C11D1A5CFC96}" name="_TBL_ADD_ONS" displayName="_TBL_ADD_ONS" ref="A1:C7" tableType="queryTable" totalsRowShown="0">
  <autoFilter ref="A1:C7" xr:uid="{E5D2E7EC-FD8D-40C8-AF6E-3A8BD775C037}"/>
  <tableColumns count="3">
    <tableColumn id="1" xr3:uid="{3AF32B1A-95C8-48C7-AA9E-8B46CC60F40C}" uniqueName="1" name="ID" queryTableFieldId="1"/>
    <tableColumn id="2" xr3:uid="{3C5FA251-4992-4E8C-A600-FA5CC0C260FD}" uniqueName="2" name="ADD ON NAME" queryTableFieldId="2"/>
    <tableColumn id="3" xr3:uid="{793040E6-92E3-40E1-8D06-E819B4932CF9}" uniqueName="3" name="ADD ON PRICE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M10" totalsRowCount="1" headerRowDxfId="25" dataDxfId="24">
  <autoFilter ref="B2:M9" xr:uid="{11196D4F-0C08-44E6-8845-054A162CF400}"/>
  <tableColumns count="12">
    <tableColumn id="1" xr3:uid="{7E5944E0-EEF7-48BA-9C65-2A065AAFA2D9}" name="DATE" totalsRowFunction="custom" dataDxfId="23" totalsRowDxfId="13">
      <totalsRowFormula>_xlfn.CONCAT("COUNT: ", SUBTOTAL(103,_TBL_SALES[DATE]))</totalsRowFormula>
    </tableColumn>
    <tableColumn id="2" xr3:uid="{6346439F-B17B-42E4-B169-E92F350D30A5}" name="MAIN PRODUCT" totalsRowLabel="TOTAL: " dataDxfId="22" totalsRowDxfId="12"/>
    <tableColumn id="4" xr3:uid="{95CD9087-654C-4E2A-AF3A-261436977333}" name="PRICE DEFAULT" totalsRowFunction="sum" dataDxfId="21" totalsRowDxfId="11">
      <calculatedColumnFormula xml:space="preserve"> _xlfn.IFNA( VLOOKUP(_TBL_SALES[[#This Row],[MAIN PRODUCT]], MAIN_PRODUCT[[PRODUCT NAME]:[DEFAULT PRICE]], 2), "")</calculatedColumnFormula>
    </tableColumn>
    <tableColumn id="13" xr3:uid="{4F50E6C8-94FA-4267-AEB8-A500CA2C2611}" name="Add Ons 1" dataDxfId="20" totalsRowDxfId="10"/>
    <tableColumn id="11" xr3:uid="{9F9E45A1-7B2D-48FF-A185-8ED8FCD21D9D}" name="Add Ons 2" dataDxfId="19" totalsRowDxfId="9"/>
    <tableColumn id="9" xr3:uid="{631CE9C0-E0FE-462C-B49B-A25E944D45BA}" name="Add Ons 3" dataDxfId="18" totalsRowDxfId="8"/>
    <tableColumn id="14" xr3:uid="{4F652C77-A69B-4014-BFAE-0FAAD8498F77}" name="Freebies" dataDxfId="17" totalsRowDxfId="7"/>
    <tableColumn id="5" xr3:uid="{20315BED-21B2-403E-9EB7-F0CC6C891D05}" name="Add Ons Cost" totalsRowFunction="sum" dataDxfId="16" totalsRowDxfId="6">
      <calculatedColumnFormula>IF(_xlfn.IFNA( VLOOKUP(_TBL_SALES[[#This Row],[Add Ons 1]],#REF!, 3), 0) + _xlfn.IFNA(VLOOKUP(_TBL_SALES[[#This Row],[Add Ons 2]],#REF!, 3), 0) + _xlfn.IFNA(VLOOKUP(_TBL_SALES[[#This Row],[Add Ons 3]],#REF!, 3), 0)&lt;&gt;0, _xlfn.IFNA( VLOOKUP(_TBL_SALES[[#This Row],[Add Ons 1]],#REF!, 3), 0) + _xlfn.IFNA(VLOOKUP(_TBL_SALES[[#This Row],[Add Ons 2]],#REF!, 3), 0) + _xlfn.IFNA(VLOOKUP(_TBL_SALES[[#This Row],[Add Ons 3]],#REF!, 3), 0), "")</calculatedColumnFormula>
    </tableColumn>
    <tableColumn id="3" xr3:uid="{0C6F7D0D-2B13-4E91-997A-E759C7E54BFB}" name="TOTAL PAYMEMT" totalsRowFunction="sum" dataDxfId="15" totalsRowDxfId="5">
      <calculatedColumnFormula>IFERROR(_TBL_SALES[[#This Row],[Add Ons Cost]]+_TBL_SALES[[#This Row],[PRICE DEFAULT]], "")</calculatedColumnFormula>
    </tableColumn>
    <tableColumn id="7" xr3:uid="{A2774850-F5E8-4FA1-8C17-FE6EEC4F8D73}" name="CASH" totalsRowFunction="sum" dataDxfId="1" totalsRowDxfId="4">
      <calculatedColumnFormula>IF(_TBL_SALES[[#This Row],[PRICE DEFAULT]]+_TBL_SALES[[#This Row],[Add Ons Cost]]&lt;&gt; 0, _TBL_SALES[[#This Row],[PRICE DEFAULT]]+_TBL_SALES[[#This Row],[Add Ons Cost]], "")</calculatedColumnFormula>
    </tableColumn>
    <tableColumn id="8" xr3:uid="{3BEEB058-8C1B-4F3B-A112-E1C3BF3C5795}" name="GCASH/BANK" totalsRowFunction="sum" dataDxfId="0" totalsRowDxfId="3"/>
    <tableColumn id="6" xr3:uid="{C248064F-C2EB-414B-92FA-814B8706B646}" name="BOX CONTENT" dataDxfId="14" totalsRowDxfId="2">
      <calculatedColumnFormula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50"/>
  <sheetViews>
    <sheetView workbookViewId="0">
      <selection sqref="A1:F7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s="11" t="s">
        <v>61</v>
      </c>
      <c r="C8" s="11" t="s">
        <v>6</v>
      </c>
      <c r="D8" s="11" t="s">
        <v>12</v>
      </c>
      <c r="E8" s="11"/>
      <c r="F8" t="s">
        <v>41</v>
      </c>
      <c r="G8" s="11" t="s">
        <v>42</v>
      </c>
    </row>
    <row r="9" spans="1:7" x14ac:dyDescent="0.25">
      <c r="A9">
        <v>8</v>
      </c>
      <c r="B9" s="11" t="s">
        <v>62</v>
      </c>
      <c r="C9" s="11" t="s">
        <v>6</v>
      </c>
      <c r="D9" s="11" t="s">
        <v>12</v>
      </c>
      <c r="E9" s="11"/>
      <c r="F9" t="s">
        <v>41</v>
      </c>
      <c r="G9" s="11" t="s">
        <v>43</v>
      </c>
    </row>
    <row r="10" spans="1:7" x14ac:dyDescent="0.25">
      <c r="A10">
        <v>9</v>
      </c>
      <c r="B10" s="11" t="s">
        <v>45</v>
      </c>
      <c r="C10" s="11" t="s">
        <v>6</v>
      </c>
      <c r="D10" s="11" t="s">
        <v>8</v>
      </c>
      <c r="E10" s="11"/>
      <c r="F10" t="s">
        <v>46</v>
      </c>
      <c r="G10" s="11" t="s">
        <v>42</v>
      </c>
    </row>
    <row r="11" spans="1:7" x14ac:dyDescent="0.25">
      <c r="A11">
        <v>10</v>
      </c>
      <c r="B11" s="11" t="s">
        <v>63</v>
      </c>
      <c r="C11" s="11" t="s">
        <v>6</v>
      </c>
      <c r="D11" s="11" t="s">
        <v>8</v>
      </c>
      <c r="E11" s="11"/>
      <c r="F11" t="s">
        <v>46</v>
      </c>
      <c r="G11" s="11" t="s">
        <v>43</v>
      </c>
    </row>
    <row r="12" spans="1:7" x14ac:dyDescent="0.25">
      <c r="A12">
        <v>11</v>
      </c>
      <c r="B12" s="11" t="s">
        <v>64</v>
      </c>
      <c r="C12" s="11" t="s">
        <v>6</v>
      </c>
      <c r="D12" s="11" t="s">
        <v>7</v>
      </c>
      <c r="E12" s="11"/>
      <c r="F12" t="s">
        <v>46</v>
      </c>
      <c r="G12" s="11" t="s">
        <v>42</v>
      </c>
    </row>
    <row r="13" spans="1:7" x14ac:dyDescent="0.25">
      <c r="A13">
        <v>12</v>
      </c>
      <c r="B13" s="11" t="s">
        <v>65</v>
      </c>
      <c r="C13" s="11" t="s">
        <v>6</v>
      </c>
      <c r="D13" s="11" t="s">
        <v>7</v>
      </c>
      <c r="E13" s="11"/>
      <c r="F13" t="s">
        <v>46</v>
      </c>
      <c r="G13" s="11" t="s">
        <v>43</v>
      </c>
    </row>
    <row r="14" spans="1:7" x14ac:dyDescent="0.25">
      <c r="A14">
        <v>13</v>
      </c>
      <c r="B14" s="11" t="s">
        <v>66</v>
      </c>
      <c r="C14" s="11" t="s">
        <v>6</v>
      </c>
      <c r="D14" s="11" t="s">
        <v>10</v>
      </c>
      <c r="E14" s="11"/>
      <c r="F14" t="s">
        <v>46</v>
      </c>
      <c r="G14" s="11" t="s">
        <v>43</v>
      </c>
    </row>
    <row r="15" spans="1:7" x14ac:dyDescent="0.25">
      <c r="A15">
        <v>14</v>
      </c>
      <c r="B15" s="11" t="s">
        <v>67</v>
      </c>
      <c r="C15" s="11" t="s">
        <v>6</v>
      </c>
      <c r="D15" s="11" t="s">
        <v>10</v>
      </c>
      <c r="E15" s="11"/>
      <c r="F15" t="s">
        <v>46</v>
      </c>
      <c r="G15" s="11" t="s">
        <v>42</v>
      </c>
    </row>
    <row r="16" spans="1:7" x14ac:dyDescent="0.25">
      <c r="A16">
        <v>15</v>
      </c>
      <c r="B16" s="11" t="s">
        <v>68</v>
      </c>
      <c r="C16" s="11" t="s">
        <v>6</v>
      </c>
      <c r="D16" s="11" t="s">
        <v>12</v>
      </c>
      <c r="E16" s="11"/>
      <c r="F16" t="s">
        <v>46</v>
      </c>
      <c r="G16" s="11" t="s">
        <v>42</v>
      </c>
    </row>
    <row r="17" spans="1:7" x14ac:dyDescent="0.25">
      <c r="A17">
        <v>16</v>
      </c>
      <c r="B17" s="11" t="s">
        <v>69</v>
      </c>
      <c r="C17" s="11" t="s">
        <v>6</v>
      </c>
      <c r="D17" s="11" t="s">
        <v>60</v>
      </c>
      <c r="E17" s="11"/>
      <c r="F17" t="s">
        <v>46</v>
      </c>
      <c r="G17" s="11" t="s">
        <v>43</v>
      </c>
    </row>
    <row r="18" spans="1:7" x14ac:dyDescent="0.25">
      <c r="A18">
        <v>17</v>
      </c>
      <c r="B18" s="11" t="s">
        <v>70</v>
      </c>
      <c r="C18" s="11" t="s">
        <v>6</v>
      </c>
      <c r="D18" s="11" t="s">
        <v>7</v>
      </c>
      <c r="E18" s="11"/>
      <c r="F18" t="s">
        <v>48</v>
      </c>
      <c r="G18" s="11" t="s">
        <v>42</v>
      </c>
    </row>
    <row r="19" spans="1:7" x14ac:dyDescent="0.25">
      <c r="A19">
        <v>18</v>
      </c>
      <c r="B19" s="11" t="s">
        <v>71</v>
      </c>
      <c r="C19" s="11" t="s">
        <v>6</v>
      </c>
      <c r="D19" s="11" t="s">
        <v>8</v>
      </c>
      <c r="E19" s="11"/>
      <c r="F19" t="s">
        <v>48</v>
      </c>
      <c r="G19" s="11" t="s">
        <v>49</v>
      </c>
    </row>
    <row r="20" spans="1:7" x14ac:dyDescent="0.25">
      <c r="A20">
        <v>19</v>
      </c>
      <c r="B20" s="11" t="s">
        <v>47</v>
      </c>
      <c r="C20" s="11" t="s">
        <v>6</v>
      </c>
      <c r="D20" s="11" t="s">
        <v>8</v>
      </c>
      <c r="E20" s="11"/>
      <c r="F20" t="s">
        <v>48</v>
      </c>
      <c r="G20" s="11" t="s">
        <v>42</v>
      </c>
    </row>
    <row r="21" spans="1:7" x14ac:dyDescent="0.25">
      <c r="A21">
        <v>20</v>
      </c>
      <c r="B21" s="11" t="s">
        <v>72</v>
      </c>
      <c r="C21" s="11" t="s">
        <v>6</v>
      </c>
      <c r="D21" s="11" t="s">
        <v>8</v>
      </c>
      <c r="E21" s="11"/>
      <c r="F21" t="s">
        <v>48</v>
      </c>
      <c r="G21" s="11" t="s">
        <v>43</v>
      </c>
    </row>
    <row r="22" spans="1:7" x14ac:dyDescent="0.25">
      <c r="A22">
        <v>21</v>
      </c>
      <c r="B22" s="11" t="s">
        <v>73</v>
      </c>
      <c r="C22" s="11" t="s">
        <v>6</v>
      </c>
      <c r="D22" s="11" t="s">
        <v>8</v>
      </c>
      <c r="E22" s="11"/>
      <c r="F22" t="s">
        <v>48</v>
      </c>
      <c r="G22" s="11" t="s">
        <v>74</v>
      </c>
    </row>
    <row r="23" spans="1:7" x14ac:dyDescent="0.25">
      <c r="A23">
        <v>22</v>
      </c>
      <c r="B23" s="11" t="s">
        <v>75</v>
      </c>
      <c r="C23" s="11" t="s">
        <v>6</v>
      </c>
      <c r="D23" s="11" t="s">
        <v>8</v>
      </c>
      <c r="E23" s="11"/>
      <c r="F23" t="s">
        <v>48</v>
      </c>
      <c r="G23" s="11" t="s">
        <v>76</v>
      </c>
    </row>
    <row r="24" spans="1:7" x14ac:dyDescent="0.25">
      <c r="A24">
        <v>23</v>
      </c>
      <c r="B24" s="11" t="s">
        <v>77</v>
      </c>
      <c r="C24" s="11" t="s">
        <v>6</v>
      </c>
      <c r="D24" s="11" t="s">
        <v>10</v>
      </c>
      <c r="E24" s="11"/>
      <c r="F24" t="s">
        <v>48</v>
      </c>
      <c r="G24" s="11" t="s">
        <v>49</v>
      </c>
    </row>
    <row r="25" spans="1:7" x14ac:dyDescent="0.25">
      <c r="A25">
        <v>24</v>
      </c>
      <c r="B25" s="11" t="s">
        <v>78</v>
      </c>
      <c r="C25" s="11" t="s">
        <v>6</v>
      </c>
      <c r="D25" s="11" t="s">
        <v>10</v>
      </c>
      <c r="E25" s="11"/>
      <c r="F25" t="s">
        <v>48</v>
      </c>
      <c r="G25" s="11" t="s">
        <v>42</v>
      </c>
    </row>
    <row r="26" spans="1:7" x14ac:dyDescent="0.25">
      <c r="A26">
        <v>25</v>
      </c>
      <c r="B26" s="11" t="s">
        <v>79</v>
      </c>
      <c r="C26" s="11" t="s">
        <v>6</v>
      </c>
      <c r="D26" s="11" t="s">
        <v>11</v>
      </c>
      <c r="E26" s="11"/>
      <c r="F26" t="s">
        <v>48</v>
      </c>
      <c r="G26" s="11" t="s">
        <v>49</v>
      </c>
    </row>
    <row r="27" spans="1:7" x14ac:dyDescent="0.25">
      <c r="A27">
        <v>26</v>
      </c>
      <c r="B27" s="11" t="s">
        <v>80</v>
      </c>
      <c r="C27" s="11" t="s">
        <v>6</v>
      </c>
      <c r="D27" s="11" t="s">
        <v>12</v>
      </c>
      <c r="E27" s="11"/>
      <c r="F27" t="s">
        <v>48</v>
      </c>
      <c r="G27" s="11" t="s">
        <v>42</v>
      </c>
    </row>
    <row r="28" spans="1:7" x14ac:dyDescent="0.25">
      <c r="A28">
        <v>27</v>
      </c>
      <c r="B28" s="11" t="s">
        <v>81</v>
      </c>
      <c r="C28" s="11" t="s">
        <v>6</v>
      </c>
      <c r="D28" s="11" t="s">
        <v>7</v>
      </c>
      <c r="E28" s="11"/>
      <c r="F28" t="s">
        <v>82</v>
      </c>
      <c r="G28" s="11" t="s">
        <v>42</v>
      </c>
    </row>
    <row r="29" spans="1:7" x14ac:dyDescent="0.25">
      <c r="A29">
        <v>28</v>
      </c>
      <c r="B29" s="11" t="s">
        <v>83</v>
      </c>
      <c r="C29" s="11" t="s">
        <v>6</v>
      </c>
      <c r="D29" s="11" t="s">
        <v>7</v>
      </c>
      <c r="E29" s="11"/>
      <c r="F29" t="s">
        <v>82</v>
      </c>
      <c r="G29" s="11" t="s">
        <v>43</v>
      </c>
    </row>
    <row r="30" spans="1:7" x14ac:dyDescent="0.25">
      <c r="A30">
        <v>29</v>
      </c>
      <c r="B30" s="11" t="s">
        <v>84</v>
      </c>
      <c r="C30" s="11" t="s">
        <v>6</v>
      </c>
      <c r="D30" s="11" t="s">
        <v>7</v>
      </c>
      <c r="E30" s="11"/>
      <c r="F30" t="s">
        <v>82</v>
      </c>
      <c r="G30" s="11" t="s">
        <v>50</v>
      </c>
    </row>
    <row r="31" spans="1:7" x14ac:dyDescent="0.25">
      <c r="A31">
        <v>30</v>
      </c>
      <c r="B31" s="11" t="s">
        <v>85</v>
      </c>
      <c r="C31" s="11" t="s">
        <v>6</v>
      </c>
      <c r="D31" s="11" t="s">
        <v>10</v>
      </c>
      <c r="E31" s="11"/>
      <c r="F31" t="s">
        <v>82</v>
      </c>
      <c r="G31" s="11" t="s">
        <v>42</v>
      </c>
    </row>
    <row r="32" spans="1:7" x14ac:dyDescent="0.25">
      <c r="A32">
        <v>31</v>
      </c>
      <c r="B32" s="11" t="s">
        <v>86</v>
      </c>
      <c r="C32" s="11" t="s">
        <v>6</v>
      </c>
      <c r="D32" s="11" t="s">
        <v>10</v>
      </c>
      <c r="E32" s="11"/>
      <c r="F32" t="s">
        <v>82</v>
      </c>
      <c r="G32" s="11" t="s">
        <v>43</v>
      </c>
    </row>
    <row r="33" spans="1:7" x14ac:dyDescent="0.25">
      <c r="A33">
        <v>32</v>
      </c>
      <c r="B33" s="11" t="s">
        <v>87</v>
      </c>
      <c r="C33" s="11" t="s">
        <v>6</v>
      </c>
      <c r="D33" s="11" t="s">
        <v>12</v>
      </c>
      <c r="E33" s="11"/>
      <c r="F33" t="s">
        <v>82</v>
      </c>
      <c r="G33" s="11" t="s">
        <v>42</v>
      </c>
    </row>
    <row r="34" spans="1:7" x14ac:dyDescent="0.25">
      <c r="A34">
        <v>33</v>
      </c>
      <c r="B34" s="11" t="s">
        <v>88</v>
      </c>
      <c r="C34" s="11" t="s">
        <v>6</v>
      </c>
      <c r="D34" s="11" t="s">
        <v>12</v>
      </c>
      <c r="E34" s="11"/>
      <c r="F34" t="s">
        <v>82</v>
      </c>
      <c r="G34" s="11" t="s">
        <v>43</v>
      </c>
    </row>
    <row r="35" spans="1:7" x14ac:dyDescent="0.25">
      <c r="A35">
        <v>34</v>
      </c>
      <c r="B35" s="11" t="s">
        <v>89</v>
      </c>
      <c r="C35" s="11" t="s">
        <v>6</v>
      </c>
      <c r="D35" s="11" t="s">
        <v>12</v>
      </c>
      <c r="E35" s="11"/>
      <c r="F35" t="s">
        <v>82</v>
      </c>
      <c r="G35" s="11" t="s">
        <v>90</v>
      </c>
    </row>
    <row r="36" spans="1:7" x14ac:dyDescent="0.25">
      <c r="A36">
        <v>35</v>
      </c>
      <c r="B36" s="11" t="s">
        <v>91</v>
      </c>
      <c r="C36" s="11" t="s">
        <v>6</v>
      </c>
      <c r="D36" s="11" t="s">
        <v>8</v>
      </c>
      <c r="E36" s="11"/>
      <c r="F36" t="s">
        <v>82</v>
      </c>
      <c r="G36" s="11" t="s">
        <v>43</v>
      </c>
    </row>
    <row r="37" spans="1:7" x14ac:dyDescent="0.25">
      <c r="A37">
        <v>36</v>
      </c>
      <c r="B37" s="11" t="s">
        <v>92</v>
      </c>
      <c r="C37" s="11" t="s">
        <v>6</v>
      </c>
      <c r="D37" s="11" t="s">
        <v>8</v>
      </c>
      <c r="E37" s="11"/>
      <c r="F37" t="s">
        <v>82</v>
      </c>
      <c r="G37" s="11" t="s">
        <v>90</v>
      </c>
    </row>
    <row r="38" spans="1:7" x14ac:dyDescent="0.25">
      <c r="A38">
        <v>37</v>
      </c>
      <c r="B38" s="11" t="s">
        <v>93</v>
      </c>
      <c r="C38" s="11" t="s">
        <v>6</v>
      </c>
      <c r="D38" s="11" t="s">
        <v>11</v>
      </c>
      <c r="E38" s="11"/>
      <c r="F38" t="s">
        <v>82</v>
      </c>
      <c r="G38" s="11" t="s">
        <v>43</v>
      </c>
    </row>
    <row r="39" spans="1:7" x14ac:dyDescent="0.25">
      <c r="A39">
        <v>38</v>
      </c>
      <c r="B39" s="11" t="s">
        <v>94</v>
      </c>
      <c r="C39" s="11" t="s">
        <v>6</v>
      </c>
      <c r="D39" s="11" t="s">
        <v>60</v>
      </c>
      <c r="E39" s="11"/>
      <c r="F39" t="s">
        <v>82</v>
      </c>
      <c r="G39" s="11" t="s">
        <v>43</v>
      </c>
    </row>
    <row r="40" spans="1:7" x14ac:dyDescent="0.25">
      <c r="A40">
        <v>39</v>
      </c>
      <c r="B40" s="11" t="s">
        <v>95</v>
      </c>
      <c r="C40" s="11" t="s">
        <v>6</v>
      </c>
      <c r="D40" s="11" t="s">
        <v>96</v>
      </c>
      <c r="E40" s="11"/>
      <c r="F40" t="s">
        <v>97</v>
      </c>
      <c r="G40" s="11"/>
    </row>
    <row r="41" spans="1:7" x14ac:dyDescent="0.25">
      <c r="A41">
        <v>40</v>
      </c>
      <c r="B41" s="11" t="s">
        <v>98</v>
      </c>
      <c r="C41" s="11" t="s">
        <v>6</v>
      </c>
      <c r="D41" s="11" t="s">
        <v>96</v>
      </c>
      <c r="E41" s="11"/>
      <c r="F41" t="s">
        <v>99</v>
      </c>
      <c r="G41" s="11"/>
    </row>
    <row r="42" spans="1:7" x14ac:dyDescent="0.25">
      <c r="A42">
        <v>41</v>
      </c>
      <c r="B42" s="11" t="s">
        <v>100</v>
      </c>
      <c r="C42" s="11" t="s">
        <v>6</v>
      </c>
      <c r="D42" s="11" t="s">
        <v>100</v>
      </c>
      <c r="E42" s="11"/>
      <c r="G42" s="11"/>
    </row>
    <row r="43" spans="1:7" x14ac:dyDescent="0.25">
      <c r="A43">
        <v>42</v>
      </c>
      <c r="B43" s="11" t="s">
        <v>101</v>
      </c>
      <c r="C43" s="11" t="s">
        <v>6</v>
      </c>
      <c r="D43" s="11" t="s">
        <v>7</v>
      </c>
      <c r="E43" s="11"/>
      <c r="F43" t="s">
        <v>97</v>
      </c>
      <c r="G43" s="11"/>
    </row>
    <row r="44" spans="1:7" x14ac:dyDescent="0.25">
      <c r="A44">
        <v>43</v>
      </c>
      <c r="B44" s="11" t="s">
        <v>102</v>
      </c>
      <c r="C44" s="11" t="s">
        <v>6</v>
      </c>
      <c r="D44" s="11" t="s">
        <v>7</v>
      </c>
      <c r="E44" s="11"/>
      <c r="F44" t="s">
        <v>99</v>
      </c>
      <c r="G44" s="11"/>
    </row>
    <row r="45" spans="1:7" x14ac:dyDescent="0.25">
      <c r="A45">
        <v>44</v>
      </c>
      <c r="B45" s="11" t="s">
        <v>103</v>
      </c>
      <c r="C45" s="11" t="s">
        <v>6</v>
      </c>
      <c r="D45" s="11" t="s">
        <v>7</v>
      </c>
      <c r="E45" s="11"/>
      <c r="F45" t="s">
        <v>104</v>
      </c>
      <c r="G45" s="11"/>
    </row>
    <row r="46" spans="1:7" x14ac:dyDescent="0.25">
      <c r="A46">
        <v>45</v>
      </c>
      <c r="B46" s="11" t="s">
        <v>105</v>
      </c>
      <c r="C46" s="11" t="s">
        <v>6</v>
      </c>
      <c r="D46" s="11" t="s">
        <v>105</v>
      </c>
      <c r="E46" s="11"/>
      <c r="G46" s="11"/>
    </row>
    <row r="47" spans="1:7" x14ac:dyDescent="0.25">
      <c r="A47">
        <v>46</v>
      </c>
      <c r="B47" s="11" t="s">
        <v>106</v>
      </c>
      <c r="C47" s="11" t="s">
        <v>6</v>
      </c>
      <c r="D47" s="11" t="s">
        <v>106</v>
      </c>
      <c r="E47" s="11"/>
      <c r="G47" s="11"/>
    </row>
    <row r="48" spans="1:7" x14ac:dyDescent="0.25">
      <c r="A48">
        <v>47</v>
      </c>
      <c r="B48" s="11" t="s">
        <v>107</v>
      </c>
      <c r="C48" s="11" t="s">
        <v>6</v>
      </c>
      <c r="D48" s="11" t="s">
        <v>12</v>
      </c>
      <c r="E48" s="11"/>
      <c r="F48" t="s">
        <v>97</v>
      </c>
      <c r="G48" s="11"/>
    </row>
    <row r="49" spans="1:7" x14ac:dyDescent="0.25">
      <c r="A49">
        <v>48</v>
      </c>
      <c r="B49" s="11" t="s">
        <v>108</v>
      </c>
      <c r="C49" s="11" t="s">
        <v>6</v>
      </c>
      <c r="D49" s="11" t="s">
        <v>12</v>
      </c>
      <c r="E49" s="11"/>
      <c r="F49" t="s">
        <v>99</v>
      </c>
      <c r="G49" s="11"/>
    </row>
    <row r="50" spans="1:7" x14ac:dyDescent="0.25">
      <c r="A50">
        <v>49</v>
      </c>
      <c r="B50" s="11" t="s">
        <v>109</v>
      </c>
      <c r="C50" s="11" t="s">
        <v>6</v>
      </c>
      <c r="D50" s="11" t="s">
        <v>109</v>
      </c>
      <c r="E50" s="11"/>
      <c r="G50" s="1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sheetPr codeName="Sheet9"/>
  <dimension ref="A1:Q2"/>
  <sheetViews>
    <sheetView workbookViewId="0">
      <selection activeCell="G28" sqref="G28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1.42578125" bestFit="1" customWidth="1"/>
    <col min="4" max="9" width="11.140625" bestFit="1" customWidth="1"/>
    <col min="10" max="17" width="12.140625" bestFit="1" customWidth="1"/>
  </cols>
  <sheetData>
    <row r="1" spans="1:17" x14ac:dyDescent="0.25">
      <c r="A1" t="s">
        <v>0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</row>
    <row r="2" spans="1:17" x14ac:dyDescent="0.25">
      <c r="B2" t="s">
        <v>39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2D70-0844-487E-9907-3C13732DA091}">
  <sheetPr codeName="Sheet10"/>
  <dimension ref="A1:G59"/>
  <sheetViews>
    <sheetView topLeftCell="A46" workbookViewId="0">
      <selection activeCell="E5" sqref="E5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140625" bestFit="1" customWidth="1"/>
    <col min="4" max="4" width="9.5703125" bestFit="1" customWidth="1"/>
    <col min="5" max="5" width="14.5703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t="s">
        <v>61</v>
      </c>
      <c r="C8" t="s">
        <v>6</v>
      </c>
      <c r="D8" t="s">
        <v>12</v>
      </c>
      <c r="F8" t="s">
        <v>41</v>
      </c>
      <c r="G8" t="s">
        <v>42</v>
      </c>
    </row>
    <row r="9" spans="1:7" x14ac:dyDescent="0.25">
      <c r="A9">
        <v>8</v>
      </c>
      <c r="B9" t="s">
        <v>62</v>
      </c>
      <c r="C9" t="s">
        <v>6</v>
      </c>
      <c r="D9" t="s">
        <v>12</v>
      </c>
      <c r="F9" t="s">
        <v>41</v>
      </c>
      <c r="G9" t="s">
        <v>43</v>
      </c>
    </row>
    <row r="10" spans="1:7" x14ac:dyDescent="0.25">
      <c r="A10">
        <v>9</v>
      </c>
      <c r="B10" t="s">
        <v>45</v>
      </c>
      <c r="C10" t="s">
        <v>6</v>
      </c>
      <c r="D10" t="s">
        <v>8</v>
      </c>
      <c r="F10" t="s">
        <v>46</v>
      </c>
      <c r="G10" t="s">
        <v>42</v>
      </c>
    </row>
    <row r="11" spans="1:7" x14ac:dyDescent="0.25">
      <c r="A11">
        <v>10</v>
      </c>
      <c r="B11" t="s">
        <v>63</v>
      </c>
      <c r="C11" t="s">
        <v>6</v>
      </c>
      <c r="D11" t="s">
        <v>8</v>
      </c>
      <c r="F11" t="s">
        <v>46</v>
      </c>
      <c r="G11" t="s">
        <v>43</v>
      </c>
    </row>
    <row r="12" spans="1:7" x14ac:dyDescent="0.25">
      <c r="A12">
        <v>11</v>
      </c>
      <c r="B12" t="s">
        <v>64</v>
      </c>
      <c r="C12" t="s">
        <v>6</v>
      </c>
      <c r="D12" t="s">
        <v>7</v>
      </c>
      <c r="F12" t="s">
        <v>46</v>
      </c>
      <c r="G12" t="s">
        <v>42</v>
      </c>
    </row>
    <row r="13" spans="1:7" x14ac:dyDescent="0.25">
      <c r="A13">
        <v>12</v>
      </c>
      <c r="B13" t="s">
        <v>65</v>
      </c>
      <c r="C13" t="s">
        <v>6</v>
      </c>
      <c r="D13" t="s">
        <v>7</v>
      </c>
      <c r="F13" t="s">
        <v>46</v>
      </c>
      <c r="G13" t="s">
        <v>43</v>
      </c>
    </row>
    <row r="14" spans="1:7" x14ac:dyDescent="0.25">
      <c r="A14">
        <v>13</v>
      </c>
      <c r="B14" t="s">
        <v>66</v>
      </c>
      <c r="C14" t="s">
        <v>6</v>
      </c>
      <c r="D14" t="s">
        <v>10</v>
      </c>
      <c r="F14" t="s">
        <v>46</v>
      </c>
      <c r="G14" t="s">
        <v>43</v>
      </c>
    </row>
    <row r="15" spans="1:7" x14ac:dyDescent="0.25">
      <c r="A15">
        <v>14</v>
      </c>
      <c r="B15" t="s">
        <v>67</v>
      </c>
      <c r="C15" t="s">
        <v>6</v>
      </c>
      <c r="D15" t="s">
        <v>10</v>
      </c>
      <c r="F15" t="s">
        <v>46</v>
      </c>
      <c r="G15" t="s">
        <v>42</v>
      </c>
    </row>
    <row r="16" spans="1:7" x14ac:dyDescent="0.25">
      <c r="A16">
        <v>15</v>
      </c>
      <c r="B16" t="s">
        <v>68</v>
      </c>
      <c r="C16" t="s">
        <v>6</v>
      </c>
      <c r="D16" t="s">
        <v>12</v>
      </c>
      <c r="F16" t="s">
        <v>46</v>
      </c>
      <c r="G16" t="s">
        <v>42</v>
      </c>
    </row>
    <row r="17" spans="1:7" x14ac:dyDescent="0.25">
      <c r="A17">
        <v>16</v>
      </c>
      <c r="B17" t="s">
        <v>69</v>
      </c>
      <c r="C17" t="s">
        <v>6</v>
      </c>
      <c r="D17" t="s">
        <v>60</v>
      </c>
      <c r="F17" t="s">
        <v>46</v>
      </c>
      <c r="G17" t="s">
        <v>43</v>
      </c>
    </row>
    <row r="18" spans="1:7" x14ac:dyDescent="0.25">
      <c r="A18">
        <v>17</v>
      </c>
      <c r="B18" t="s">
        <v>70</v>
      </c>
      <c r="C18" t="s">
        <v>6</v>
      </c>
      <c r="D18" t="s">
        <v>7</v>
      </c>
      <c r="F18" t="s">
        <v>48</v>
      </c>
      <c r="G18" t="s">
        <v>42</v>
      </c>
    </row>
    <row r="19" spans="1:7" x14ac:dyDescent="0.25">
      <c r="A19">
        <v>18</v>
      </c>
      <c r="B19" t="s">
        <v>71</v>
      </c>
      <c r="C19" t="s">
        <v>6</v>
      </c>
      <c r="D19" t="s">
        <v>8</v>
      </c>
      <c r="F19" t="s">
        <v>48</v>
      </c>
      <c r="G19" t="s">
        <v>49</v>
      </c>
    </row>
    <row r="20" spans="1:7" x14ac:dyDescent="0.25">
      <c r="A20">
        <v>19</v>
      </c>
      <c r="B20" t="s">
        <v>47</v>
      </c>
      <c r="C20" t="s">
        <v>6</v>
      </c>
      <c r="D20" t="s">
        <v>8</v>
      </c>
      <c r="F20" t="s">
        <v>48</v>
      </c>
      <c r="G20" t="s">
        <v>42</v>
      </c>
    </row>
    <row r="21" spans="1:7" x14ac:dyDescent="0.25">
      <c r="A21">
        <v>20</v>
      </c>
      <c r="B21" t="s">
        <v>72</v>
      </c>
      <c r="C21" t="s">
        <v>6</v>
      </c>
      <c r="D21" t="s">
        <v>8</v>
      </c>
      <c r="F21" t="s">
        <v>48</v>
      </c>
      <c r="G21" t="s">
        <v>43</v>
      </c>
    </row>
    <row r="22" spans="1:7" x14ac:dyDescent="0.25">
      <c r="A22">
        <v>21</v>
      </c>
      <c r="B22" t="s">
        <v>73</v>
      </c>
      <c r="C22" t="s">
        <v>6</v>
      </c>
      <c r="D22" t="s">
        <v>8</v>
      </c>
      <c r="F22" t="s">
        <v>48</v>
      </c>
      <c r="G22" t="s">
        <v>74</v>
      </c>
    </row>
    <row r="23" spans="1:7" x14ac:dyDescent="0.25">
      <c r="A23">
        <v>22</v>
      </c>
      <c r="B23" t="s">
        <v>75</v>
      </c>
      <c r="C23" t="s">
        <v>6</v>
      </c>
      <c r="D23" t="s">
        <v>8</v>
      </c>
      <c r="F23" t="s">
        <v>48</v>
      </c>
      <c r="G23" t="s">
        <v>76</v>
      </c>
    </row>
    <row r="24" spans="1:7" x14ac:dyDescent="0.25">
      <c r="A24">
        <v>23</v>
      </c>
      <c r="B24" t="s">
        <v>77</v>
      </c>
      <c r="C24" t="s">
        <v>6</v>
      </c>
      <c r="D24" t="s">
        <v>10</v>
      </c>
      <c r="F24" t="s">
        <v>48</v>
      </c>
      <c r="G24" t="s">
        <v>49</v>
      </c>
    </row>
    <row r="25" spans="1:7" x14ac:dyDescent="0.25">
      <c r="A25">
        <v>24</v>
      </c>
      <c r="B25" t="s">
        <v>78</v>
      </c>
      <c r="C25" t="s">
        <v>6</v>
      </c>
      <c r="D25" t="s">
        <v>10</v>
      </c>
      <c r="F25" t="s">
        <v>48</v>
      </c>
      <c r="G25" t="s">
        <v>42</v>
      </c>
    </row>
    <row r="26" spans="1:7" x14ac:dyDescent="0.25">
      <c r="A26">
        <v>25</v>
      </c>
      <c r="B26" t="s">
        <v>79</v>
      </c>
      <c r="C26" t="s">
        <v>6</v>
      </c>
      <c r="D26" t="s">
        <v>11</v>
      </c>
      <c r="F26" t="s">
        <v>48</v>
      </c>
      <c r="G26" t="s">
        <v>49</v>
      </c>
    </row>
    <row r="27" spans="1:7" x14ac:dyDescent="0.25">
      <c r="A27">
        <v>26</v>
      </c>
      <c r="B27" t="s">
        <v>80</v>
      </c>
      <c r="C27" t="s">
        <v>6</v>
      </c>
      <c r="D27" t="s">
        <v>12</v>
      </c>
      <c r="F27" t="s">
        <v>48</v>
      </c>
      <c r="G27" t="s">
        <v>42</v>
      </c>
    </row>
    <row r="28" spans="1:7" x14ac:dyDescent="0.25">
      <c r="A28">
        <v>27</v>
      </c>
      <c r="B28" t="s">
        <v>81</v>
      </c>
      <c r="C28" t="s">
        <v>6</v>
      </c>
      <c r="D28" t="s">
        <v>7</v>
      </c>
      <c r="F28" t="s">
        <v>82</v>
      </c>
      <c r="G28" t="s">
        <v>42</v>
      </c>
    </row>
    <row r="29" spans="1:7" x14ac:dyDescent="0.25">
      <c r="A29">
        <v>28</v>
      </c>
      <c r="B29" t="s">
        <v>83</v>
      </c>
      <c r="C29" t="s">
        <v>6</v>
      </c>
      <c r="D29" t="s">
        <v>7</v>
      </c>
      <c r="F29" t="s">
        <v>82</v>
      </c>
      <c r="G29" t="s">
        <v>43</v>
      </c>
    </row>
    <row r="30" spans="1:7" x14ac:dyDescent="0.25">
      <c r="A30">
        <v>29</v>
      </c>
      <c r="B30" t="s">
        <v>84</v>
      </c>
      <c r="C30" t="s">
        <v>6</v>
      </c>
      <c r="D30" t="s">
        <v>7</v>
      </c>
      <c r="F30" t="s">
        <v>82</v>
      </c>
      <c r="G30" t="s">
        <v>50</v>
      </c>
    </row>
    <row r="31" spans="1:7" x14ac:dyDescent="0.25">
      <c r="A31">
        <v>30</v>
      </c>
      <c r="B31" t="s">
        <v>85</v>
      </c>
      <c r="C31" t="s">
        <v>6</v>
      </c>
      <c r="D31" t="s">
        <v>10</v>
      </c>
      <c r="F31" t="s">
        <v>82</v>
      </c>
      <c r="G31" t="s">
        <v>42</v>
      </c>
    </row>
    <row r="32" spans="1:7" x14ac:dyDescent="0.25">
      <c r="A32">
        <v>31</v>
      </c>
      <c r="B32" t="s">
        <v>86</v>
      </c>
      <c r="C32" t="s">
        <v>6</v>
      </c>
      <c r="D32" t="s">
        <v>10</v>
      </c>
      <c r="F32" t="s">
        <v>82</v>
      </c>
      <c r="G32" t="s">
        <v>43</v>
      </c>
    </row>
    <row r="33" spans="1:7" x14ac:dyDescent="0.25">
      <c r="A33">
        <v>32</v>
      </c>
      <c r="B33" t="s">
        <v>87</v>
      </c>
      <c r="C33" t="s">
        <v>6</v>
      </c>
      <c r="D33" t="s">
        <v>12</v>
      </c>
      <c r="F33" t="s">
        <v>82</v>
      </c>
      <c r="G33" t="s">
        <v>42</v>
      </c>
    </row>
    <row r="34" spans="1:7" x14ac:dyDescent="0.25">
      <c r="A34">
        <v>33</v>
      </c>
      <c r="B34" t="s">
        <v>88</v>
      </c>
      <c r="C34" t="s">
        <v>6</v>
      </c>
      <c r="D34" t="s">
        <v>12</v>
      </c>
      <c r="F34" t="s">
        <v>82</v>
      </c>
      <c r="G34" t="s">
        <v>43</v>
      </c>
    </row>
    <row r="35" spans="1:7" x14ac:dyDescent="0.25">
      <c r="A35">
        <v>34</v>
      </c>
      <c r="B35" t="s">
        <v>89</v>
      </c>
      <c r="C35" t="s">
        <v>6</v>
      </c>
      <c r="D35" t="s">
        <v>12</v>
      </c>
      <c r="F35" t="s">
        <v>82</v>
      </c>
      <c r="G35" t="s">
        <v>90</v>
      </c>
    </row>
    <row r="36" spans="1:7" x14ac:dyDescent="0.25">
      <c r="A36">
        <v>35</v>
      </c>
      <c r="B36" t="s">
        <v>91</v>
      </c>
      <c r="C36" t="s">
        <v>6</v>
      </c>
      <c r="D36" t="s">
        <v>8</v>
      </c>
      <c r="F36" t="s">
        <v>82</v>
      </c>
      <c r="G36" t="s">
        <v>43</v>
      </c>
    </row>
    <row r="37" spans="1:7" x14ac:dyDescent="0.25">
      <c r="A37">
        <v>36</v>
      </c>
      <c r="B37" t="s">
        <v>92</v>
      </c>
      <c r="C37" t="s">
        <v>6</v>
      </c>
      <c r="D37" t="s">
        <v>8</v>
      </c>
      <c r="F37" t="s">
        <v>82</v>
      </c>
      <c r="G37" t="s">
        <v>90</v>
      </c>
    </row>
    <row r="38" spans="1:7" x14ac:dyDescent="0.25">
      <c r="A38">
        <v>37</v>
      </c>
      <c r="B38" t="s">
        <v>93</v>
      </c>
      <c r="C38" t="s">
        <v>6</v>
      </c>
      <c r="D38" t="s">
        <v>11</v>
      </c>
      <c r="F38" t="s">
        <v>82</v>
      </c>
      <c r="G38" t="s">
        <v>43</v>
      </c>
    </row>
    <row r="39" spans="1:7" x14ac:dyDescent="0.25">
      <c r="A39">
        <v>38</v>
      </c>
      <c r="B39" t="s">
        <v>94</v>
      </c>
      <c r="C39" t="s">
        <v>6</v>
      </c>
      <c r="D39" t="s">
        <v>60</v>
      </c>
      <c r="F39" t="s">
        <v>82</v>
      </c>
      <c r="G39" t="s">
        <v>43</v>
      </c>
    </row>
    <row r="40" spans="1:7" x14ac:dyDescent="0.25">
      <c r="A40">
        <v>39</v>
      </c>
      <c r="B40" t="s">
        <v>95</v>
      </c>
      <c r="C40" t="s">
        <v>6</v>
      </c>
      <c r="D40" t="s">
        <v>96</v>
      </c>
      <c r="F40" t="s">
        <v>97</v>
      </c>
    </row>
    <row r="41" spans="1:7" x14ac:dyDescent="0.25">
      <c r="A41">
        <v>40</v>
      </c>
      <c r="B41" t="s">
        <v>98</v>
      </c>
      <c r="C41" t="s">
        <v>6</v>
      </c>
      <c r="D41" t="s">
        <v>96</v>
      </c>
      <c r="F41" t="s">
        <v>99</v>
      </c>
    </row>
    <row r="42" spans="1:7" x14ac:dyDescent="0.25">
      <c r="A42">
        <v>41</v>
      </c>
      <c r="B42" t="s">
        <v>100</v>
      </c>
      <c r="C42" t="s">
        <v>6</v>
      </c>
      <c r="D42" t="s">
        <v>100</v>
      </c>
    </row>
    <row r="43" spans="1:7" x14ac:dyDescent="0.25">
      <c r="A43">
        <v>42</v>
      </c>
      <c r="B43" t="s">
        <v>101</v>
      </c>
      <c r="C43" t="s">
        <v>6</v>
      </c>
      <c r="D43" t="s">
        <v>7</v>
      </c>
      <c r="F43" t="s">
        <v>97</v>
      </c>
    </row>
    <row r="44" spans="1:7" x14ac:dyDescent="0.25">
      <c r="A44">
        <v>43</v>
      </c>
      <c r="B44" t="s">
        <v>102</v>
      </c>
      <c r="C44" t="s">
        <v>6</v>
      </c>
      <c r="D44" t="s">
        <v>7</v>
      </c>
      <c r="F44" t="s">
        <v>99</v>
      </c>
    </row>
    <row r="45" spans="1:7" x14ac:dyDescent="0.25">
      <c r="A45">
        <v>44</v>
      </c>
      <c r="B45" t="s">
        <v>103</v>
      </c>
      <c r="C45" t="s">
        <v>6</v>
      </c>
      <c r="D45" t="s">
        <v>7</v>
      </c>
      <c r="F45" t="s">
        <v>104</v>
      </c>
    </row>
    <row r="46" spans="1:7" x14ac:dyDescent="0.25">
      <c r="A46">
        <v>45</v>
      </c>
      <c r="B46" t="s">
        <v>105</v>
      </c>
      <c r="C46" t="s">
        <v>6</v>
      </c>
      <c r="D46" t="s">
        <v>105</v>
      </c>
    </row>
    <row r="47" spans="1:7" x14ac:dyDescent="0.25">
      <c r="A47">
        <v>46</v>
      </c>
      <c r="B47" t="s">
        <v>106</v>
      </c>
      <c r="C47" t="s">
        <v>6</v>
      </c>
      <c r="D47" t="s">
        <v>106</v>
      </c>
    </row>
    <row r="48" spans="1:7" x14ac:dyDescent="0.25">
      <c r="A48">
        <v>47</v>
      </c>
      <c r="B48" t="s">
        <v>107</v>
      </c>
      <c r="C48" t="s">
        <v>6</v>
      </c>
      <c r="D48" t="s">
        <v>12</v>
      </c>
      <c r="F48" t="s">
        <v>97</v>
      </c>
    </row>
    <row r="49" spans="1:7" x14ac:dyDescent="0.25">
      <c r="A49">
        <v>48</v>
      </c>
      <c r="B49" t="s">
        <v>108</v>
      </c>
      <c r="C49" t="s">
        <v>6</v>
      </c>
      <c r="D49" t="s">
        <v>12</v>
      </c>
      <c r="F49" t="s">
        <v>99</v>
      </c>
    </row>
    <row r="50" spans="1:7" x14ac:dyDescent="0.25">
      <c r="A50">
        <v>49</v>
      </c>
      <c r="B50" t="s">
        <v>109</v>
      </c>
      <c r="C50" t="s">
        <v>6</v>
      </c>
      <c r="D50" t="s">
        <v>109</v>
      </c>
    </row>
    <row r="51" spans="1:7" x14ac:dyDescent="0.25">
      <c r="A51">
        <v>95</v>
      </c>
      <c r="B51" t="s">
        <v>110</v>
      </c>
      <c r="C51" t="s">
        <v>13</v>
      </c>
      <c r="E51" t="s">
        <v>111</v>
      </c>
      <c r="F51" t="s">
        <v>99</v>
      </c>
      <c r="G51" t="s">
        <v>112</v>
      </c>
    </row>
    <row r="52" spans="1:7" x14ac:dyDescent="0.25">
      <c r="A52">
        <v>96</v>
      </c>
      <c r="B52" t="s">
        <v>113</v>
      </c>
      <c r="C52" t="s">
        <v>13</v>
      </c>
      <c r="E52" t="s">
        <v>114</v>
      </c>
      <c r="F52" t="s">
        <v>115</v>
      </c>
    </row>
    <row r="53" spans="1:7" x14ac:dyDescent="0.25">
      <c r="A53">
        <v>97</v>
      </c>
      <c r="B53" t="s">
        <v>116</v>
      </c>
      <c r="C53" t="s">
        <v>13</v>
      </c>
      <c r="E53" t="s">
        <v>116</v>
      </c>
    </row>
    <row r="54" spans="1:7" x14ac:dyDescent="0.25">
      <c r="A54">
        <v>98</v>
      </c>
      <c r="B54" t="s">
        <v>117</v>
      </c>
      <c r="C54" t="s">
        <v>15</v>
      </c>
      <c r="E54" t="s">
        <v>117</v>
      </c>
    </row>
    <row r="55" spans="1:7" x14ac:dyDescent="0.25">
      <c r="A55">
        <v>99</v>
      </c>
      <c r="B55" t="s">
        <v>118</v>
      </c>
      <c r="C55" t="s">
        <v>15</v>
      </c>
      <c r="E55" t="s">
        <v>118</v>
      </c>
    </row>
    <row r="56" spans="1:7" x14ac:dyDescent="0.25">
      <c r="A56">
        <v>100</v>
      </c>
      <c r="B56" t="s">
        <v>119</v>
      </c>
      <c r="C56" t="s">
        <v>15</v>
      </c>
      <c r="E56" t="s">
        <v>119</v>
      </c>
    </row>
    <row r="57" spans="1:7" x14ac:dyDescent="0.25">
      <c r="A57">
        <v>101</v>
      </c>
      <c r="B57" t="s">
        <v>120</v>
      </c>
      <c r="C57" t="s">
        <v>15</v>
      </c>
      <c r="E57" t="s">
        <v>120</v>
      </c>
    </row>
    <row r="58" spans="1:7" x14ac:dyDescent="0.25">
      <c r="A58">
        <v>102</v>
      </c>
      <c r="B58" t="s">
        <v>121</v>
      </c>
      <c r="C58" t="s">
        <v>15</v>
      </c>
      <c r="E58" t="s">
        <v>121</v>
      </c>
    </row>
    <row r="59" spans="1:7" x14ac:dyDescent="0.25">
      <c r="A59">
        <v>103</v>
      </c>
      <c r="B59" t="s">
        <v>122</v>
      </c>
      <c r="C59" t="s">
        <v>15</v>
      </c>
      <c r="E59" t="s">
        <v>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58EB-2C08-46B6-8B8C-885746921152}">
  <sheetPr codeName="Sheet1"/>
  <dimension ref="A1:D6"/>
  <sheetViews>
    <sheetView workbookViewId="0">
      <selection activeCell="C3" sqref="C3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7.85546875" bestFit="1" customWidth="1"/>
    <col min="4" max="4" width="81.140625" customWidth="1"/>
    <col min="5" max="5" width="81.140625" bestFit="1" customWidth="1"/>
  </cols>
  <sheetData>
    <row r="1" spans="1:4" x14ac:dyDescent="0.25">
      <c r="A1" t="s">
        <v>0</v>
      </c>
      <c r="B1" t="s">
        <v>123</v>
      </c>
      <c r="C1" t="s">
        <v>145</v>
      </c>
      <c r="D1" t="s">
        <v>21</v>
      </c>
    </row>
    <row r="2" spans="1:4" x14ac:dyDescent="0.25">
      <c r="A2">
        <v>1</v>
      </c>
      <c r="B2" t="s">
        <v>124</v>
      </c>
      <c r="C2">
        <v>0</v>
      </c>
      <c r="D2" t="s">
        <v>146</v>
      </c>
    </row>
    <row r="3" spans="1:4" x14ac:dyDescent="0.25">
      <c r="A3">
        <v>2</v>
      </c>
      <c r="B3" t="s">
        <v>125</v>
      </c>
      <c r="C3">
        <v>0</v>
      </c>
      <c r="D3" t="s">
        <v>138</v>
      </c>
    </row>
    <row r="4" spans="1:4" x14ac:dyDescent="0.25">
      <c r="A4">
        <v>3</v>
      </c>
      <c r="B4" t="s">
        <v>126</v>
      </c>
      <c r="C4">
        <v>0</v>
      </c>
      <c r="D4" t="s">
        <v>139</v>
      </c>
    </row>
    <row r="5" spans="1:4" x14ac:dyDescent="0.25">
      <c r="A5">
        <v>4</v>
      </c>
      <c r="B5" t="s">
        <v>127</v>
      </c>
      <c r="C5">
        <v>0</v>
      </c>
      <c r="D5" t="s">
        <v>140</v>
      </c>
    </row>
    <row r="6" spans="1:4" x14ac:dyDescent="0.25">
      <c r="A6">
        <v>5</v>
      </c>
      <c r="B6" t="s">
        <v>147</v>
      </c>
      <c r="D6" t="s">
        <v>148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DA27-3687-42C1-BBF8-6C327593732A}">
  <sheetPr codeName="Sheet3"/>
  <dimension ref="A1:F5"/>
  <sheetViews>
    <sheetView workbookViewId="0">
      <selection activeCell="B2" sqref="B2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6.7109375" bestFit="1" customWidth="1"/>
    <col min="4" max="6" width="11.140625" bestFit="1" customWidth="1"/>
  </cols>
  <sheetData>
    <row r="1" spans="1:6" x14ac:dyDescent="0.25">
      <c r="A1" t="s">
        <v>0</v>
      </c>
      <c r="B1" t="s">
        <v>19</v>
      </c>
      <c r="C1" t="s">
        <v>20</v>
      </c>
      <c r="D1" t="s">
        <v>25</v>
      </c>
      <c r="E1" t="s">
        <v>26</v>
      </c>
      <c r="F1" t="s">
        <v>27</v>
      </c>
    </row>
    <row r="2" spans="1:6" x14ac:dyDescent="0.25">
      <c r="B2" t="s">
        <v>56</v>
      </c>
      <c r="C2">
        <v>3990</v>
      </c>
    </row>
    <row r="3" spans="1:6" x14ac:dyDescent="0.25">
      <c r="B3" t="s">
        <v>44</v>
      </c>
      <c r="C3">
        <v>3990</v>
      </c>
    </row>
    <row r="4" spans="1:6" x14ac:dyDescent="0.25">
      <c r="B4" t="s">
        <v>55</v>
      </c>
    </row>
    <row r="5" spans="1:6" x14ac:dyDescent="0.25">
      <c r="B5" t="s">
        <v>54</v>
      </c>
      <c r="C5">
        <v>6000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85D7D-4204-44A2-9117-BCC173B02ECF}">
  <sheetPr codeName="Sheet5"/>
  <dimension ref="A1:C7"/>
  <sheetViews>
    <sheetView workbookViewId="0">
      <selection activeCell="B5" sqref="B5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6" bestFit="1" customWidth="1"/>
  </cols>
  <sheetData>
    <row r="1" spans="1:3" x14ac:dyDescent="0.25">
      <c r="A1" t="s">
        <v>0</v>
      </c>
      <c r="B1" t="s">
        <v>129</v>
      </c>
      <c r="C1" t="s">
        <v>130</v>
      </c>
    </row>
    <row r="2" spans="1:3" x14ac:dyDescent="0.25">
      <c r="A2">
        <v>1</v>
      </c>
      <c r="B2" t="s">
        <v>136</v>
      </c>
      <c r="C2">
        <v>250</v>
      </c>
    </row>
    <row r="3" spans="1:3" x14ac:dyDescent="0.25">
      <c r="A3">
        <v>2</v>
      </c>
      <c r="B3" t="s">
        <v>141</v>
      </c>
      <c r="C3">
        <v>100</v>
      </c>
    </row>
    <row r="4" spans="1:3" x14ac:dyDescent="0.25">
      <c r="A4">
        <v>3</v>
      </c>
      <c r="B4" t="s">
        <v>142</v>
      </c>
      <c r="C4">
        <v>100</v>
      </c>
    </row>
    <row r="5" spans="1:3" x14ac:dyDescent="0.25">
      <c r="A5">
        <v>4</v>
      </c>
      <c r="B5" t="s">
        <v>143</v>
      </c>
      <c r="C5">
        <v>100</v>
      </c>
    </row>
    <row r="6" spans="1:3" x14ac:dyDescent="0.25">
      <c r="A6">
        <v>5</v>
      </c>
      <c r="B6" t="s">
        <v>131</v>
      </c>
      <c r="C6">
        <v>5000</v>
      </c>
    </row>
    <row r="7" spans="1:3" x14ac:dyDescent="0.25">
      <c r="A7">
        <v>6</v>
      </c>
      <c r="B7" t="s">
        <v>132</v>
      </c>
      <c r="C7">
        <v>300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M11"/>
  <sheetViews>
    <sheetView tabSelected="1" zoomScale="85" zoomScaleNormal="55" workbookViewId="0">
      <selection activeCell="E16" sqref="E16"/>
    </sheetView>
  </sheetViews>
  <sheetFormatPr defaultRowHeight="15" x14ac:dyDescent="0.25"/>
  <cols>
    <col min="2" max="2" width="18.42578125" customWidth="1"/>
    <col min="3" max="3" width="42.7109375" customWidth="1"/>
    <col min="4" max="7" width="21.140625" customWidth="1"/>
    <col min="8" max="8" width="22.42578125" customWidth="1"/>
    <col min="9" max="9" width="18" customWidth="1"/>
    <col min="10" max="10" width="19.7109375" customWidth="1"/>
    <col min="11" max="11" width="24.5703125" customWidth="1"/>
    <col min="12" max="12" width="25.28515625" customWidth="1"/>
    <col min="13" max="13" width="185.7109375" bestFit="1" customWidth="1"/>
  </cols>
  <sheetData>
    <row r="1" spans="2:13" x14ac:dyDescent="0.25">
      <c r="C1" s="22" t="s">
        <v>18</v>
      </c>
      <c r="D1" s="22"/>
      <c r="E1" s="10"/>
      <c r="F1" s="10"/>
      <c r="G1" s="10"/>
    </row>
    <row r="2" spans="2:13" ht="15.75" thickBot="1" x14ac:dyDescent="0.3">
      <c r="B2" s="1" t="s">
        <v>9</v>
      </c>
      <c r="C2" s="1" t="s">
        <v>137</v>
      </c>
      <c r="D2" s="1" t="s">
        <v>22</v>
      </c>
      <c r="E2" s="1" t="s">
        <v>51</v>
      </c>
      <c r="F2" s="1" t="s">
        <v>52</v>
      </c>
      <c r="G2" s="1" t="s">
        <v>53</v>
      </c>
      <c r="H2" s="1" t="s">
        <v>14</v>
      </c>
      <c r="I2" s="1" t="s">
        <v>128</v>
      </c>
      <c r="J2" s="1" t="s">
        <v>133</v>
      </c>
      <c r="K2" s="1" t="s">
        <v>134</v>
      </c>
      <c r="L2" s="1" t="s">
        <v>135</v>
      </c>
      <c r="M2" s="1" t="s">
        <v>144</v>
      </c>
    </row>
    <row r="3" spans="2:13" x14ac:dyDescent="0.25">
      <c r="B3" s="2"/>
      <c r="C3" s="8"/>
      <c r="D3" s="5" t="str">
        <f xml:space="preserve"> _xlfn.IFNA( VLOOKUP(_TBL_SALES[[#This Row],[MAIN PRODUCT]], MAIN_PRODUCT[[PRODUCT NAME]:[DEFAULT PRICE]], 2), "")</f>
        <v/>
      </c>
      <c r="E3" s="15"/>
      <c r="F3" s="16"/>
      <c r="G3" s="16"/>
      <c r="H3" s="17"/>
      <c r="I3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3" s="5" t="str">
        <f>IFERROR(_TBL_SALES[[#This Row],[Add Ons Cost]]+_TBL_SALES[[#This Row],[PRICE DEFAULT]], "")</f>
        <v/>
      </c>
      <c r="K3" s="15"/>
      <c r="L3" s="17"/>
      <c r="M3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4" spans="2:13" x14ac:dyDescent="0.25">
      <c r="B4" s="2"/>
      <c r="C4" s="8"/>
      <c r="D4" s="5" t="str">
        <f xml:space="preserve"> _xlfn.IFNA( VLOOKUP(_TBL_SALES[[#This Row],[MAIN PRODUCT]], MAIN_PRODUCT[[PRODUCT NAME]:[DEFAULT PRICE]], 2), "")</f>
        <v/>
      </c>
      <c r="E4" s="13"/>
      <c r="F4" s="12"/>
      <c r="G4" s="12"/>
      <c r="H4" s="14"/>
      <c r="I4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4" s="5" t="str">
        <f>IFERROR(_TBL_SALES[[#This Row],[Add Ons Cost]]+_TBL_SALES[[#This Row],[PRICE DEFAULT]], "")</f>
        <v/>
      </c>
      <c r="K4" s="13"/>
      <c r="L4" s="14"/>
      <c r="M4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5" spans="2:13" x14ac:dyDescent="0.25">
      <c r="B5" s="2"/>
      <c r="C5" s="8"/>
      <c r="D5" s="5" t="str">
        <f xml:space="preserve"> _xlfn.IFNA( VLOOKUP(_TBL_SALES[[#This Row],[MAIN PRODUCT]], MAIN_PRODUCT[[PRODUCT NAME]:[DEFAULT PRICE]], 2), "")</f>
        <v/>
      </c>
      <c r="E5" s="13"/>
      <c r="F5" s="12"/>
      <c r="G5" s="12"/>
      <c r="H5" s="14"/>
      <c r="I5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5" s="5" t="str">
        <f>IFERROR(_TBL_SALES[[#This Row],[Add Ons Cost]]+_TBL_SALES[[#This Row],[PRICE DEFAULT]], "")</f>
        <v/>
      </c>
      <c r="K5" s="13"/>
      <c r="L5" s="14"/>
      <c r="M5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6" spans="2:13" x14ac:dyDescent="0.25">
      <c r="B6" s="2"/>
      <c r="C6" s="8"/>
      <c r="D6" s="5" t="str">
        <f xml:space="preserve"> _xlfn.IFNA( VLOOKUP(_TBL_SALES[[#This Row],[MAIN PRODUCT]], MAIN_PRODUCT[[PRODUCT NAME]:[DEFAULT PRICE]], 2), "")</f>
        <v/>
      </c>
      <c r="E6" s="13"/>
      <c r="F6" s="12"/>
      <c r="G6" s="12"/>
      <c r="H6" s="14"/>
      <c r="I6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6" s="5" t="str">
        <f>IFERROR(_TBL_SALES[[#This Row],[Add Ons Cost]]+_TBL_SALES[[#This Row],[PRICE DEFAULT]], "")</f>
        <v/>
      </c>
      <c r="K6" s="13"/>
      <c r="L6" s="14"/>
      <c r="M6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7" spans="2:13" x14ac:dyDescent="0.25">
      <c r="B7" s="2"/>
      <c r="C7" s="8"/>
      <c r="D7" s="5" t="str">
        <f xml:space="preserve"> _xlfn.IFNA( VLOOKUP(_TBL_SALES[[#This Row],[MAIN PRODUCT]], MAIN_PRODUCT[[PRODUCT NAME]:[DEFAULT PRICE]], 2), "")</f>
        <v/>
      </c>
      <c r="E7" s="13"/>
      <c r="F7" s="12"/>
      <c r="G7" s="12"/>
      <c r="H7" s="14"/>
      <c r="I7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7" s="5" t="str">
        <f>IFERROR(_TBL_SALES[[#This Row],[Add Ons Cost]]+_TBL_SALES[[#This Row],[PRICE DEFAULT]], "")</f>
        <v/>
      </c>
      <c r="K7" s="13"/>
      <c r="L7" s="14"/>
      <c r="M7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8" spans="2:13" x14ac:dyDescent="0.25">
      <c r="B8" s="2"/>
      <c r="C8" s="8"/>
      <c r="D8" s="5" t="str">
        <f xml:space="preserve"> _xlfn.IFNA( VLOOKUP(_TBL_SALES[[#This Row],[MAIN PRODUCT]], MAIN_PRODUCT[[PRODUCT NAME]:[DEFAULT PRICE]], 2), "")</f>
        <v/>
      </c>
      <c r="E8" s="13"/>
      <c r="F8" s="12"/>
      <c r="G8" s="12"/>
      <c r="H8" s="14"/>
      <c r="I8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8" s="5" t="str">
        <f>IFERROR(_TBL_SALES[[#This Row],[Add Ons Cost]]+_TBL_SALES[[#This Row],[PRICE DEFAULT]], "")</f>
        <v/>
      </c>
      <c r="K8" s="13"/>
      <c r="L8" s="14"/>
      <c r="M8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9" spans="2:13" ht="15.75" thickBot="1" x14ac:dyDescent="0.3">
      <c r="B9" s="2"/>
      <c r="C9" s="9"/>
      <c r="D9" s="5" t="str">
        <f xml:space="preserve"> _xlfn.IFNA( VLOOKUP(_TBL_SALES[[#This Row],[MAIN PRODUCT]], MAIN_PRODUCT[[PRODUCT NAME]:[DEFAULT PRICE]], 2), "")</f>
        <v/>
      </c>
      <c r="E9" s="18"/>
      <c r="F9" s="19"/>
      <c r="G9" s="19"/>
      <c r="H9" s="20"/>
      <c r="I9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9" s="5" t="str">
        <f>IFERROR(_TBL_SALES[[#This Row],[Add Ons Cost]]+_TBL_SALES[[#This Row],[PRICE DEFAULT]], "")</f>
        <v/>
      </c>
      <c r="K9" s="18"/>
      <c r="L9" s="20"/>
      <c r="M9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0" spans="2:13" x14ac:dyDescent="0.25">
      <c r="B10" s="1" t="str">
        <f>_xlfn.CONCAT("COUNT: ", SUBTOTAL(103,_TBL_SALES[DATE]))</f>
        <v>COUNT: 0</v>
      </c>
      <c r="C10" s="3" t="s">
        <v>16</v>
      </c>
      <c r="D10" s="6">
        <f>SUBTOTAL(109,_TBL_SALES[PRICE DEFAULT])</f>
        <v>0</v>
      </c>
      <c r="E10" s="6"/>
      <c r="F10" s="6"/>
      <c r="G10" s="6"/>
      <c r="H10" s="6"/>
      <c r="I10" s="6">
        <f>SUBTOTAL(109,_TBL_SALES[Add Ons Cost])</f>
        <v>0</v>
      </c>
      <c r="J10" s="6">
        <f>SUBTOTAL(109,_TBL_SALES[TOTAL PAYMEMT])</f>
        <v>0</v>
      </c>
      <c r="K10" s="6">
        <f>SUBTOTAL(109,_TBL_SALES[CASH])</f>
        <v>0</v>
      </c>
      <c r="L10" s="6">
        <f>SUBTOTAL(109,_TBL_SALES[GCASH/BANK])</f>
        <v>0</v>
      </c>
      <c r="M10" s="3"/>
    </row>
    <row r="11" spans="2:13" x14ac:dyDescent="0.25">
      <c r="C11" s="4" t="s">
        <v>17</v>
      </c>
      <c r="D11" s="7">
        <f>SUM(_TBL_SALES[Add Ons Cost])</f>
        <v>0</v>
      </c>
      <c r="E11" s="7"/>
      <c r="F11" s="7"/>
      <c r="G11" s="7"/>
      <c r="J11" s="7">
        <f>SUM(_TBL_SALES[TOTAL PAYMEMT])</f>
        <v>0</v>
      </c>
      <c r="K11" s="7">
        <f>SUM(_TBL_SALES[CASH])</f>
        <v>0</v>
      </c>
      <c r="L11" s="7">
        <f>SUM(_TBL_SALES[GCASH/BANK])</f>
        <v>0</v>
      </c>
    </row>
  </sheetData>
  <dataConsolidate/>
  <mergeCells count="1">
    <mergeCell ref="C1:D1"/>
  </mergeCells>
  <phoneticPr fontId="2" type="noConversion"/>
  <dataValidations count="3">
    <dataValidation type="list" allowBlank="1" showInputMessage="1" showErrorMessage="1" sqref="C3:C9" xr:uid="{87F124BC-8AAB-4E60-BB58-EF61A224D365}">
      <formula1>NAMES_MAIN_PRODUCTS</formula1>
    </dataValidation>
    <dataValidation type="list" allowBlank="1" showInputMessage="1" showErrorMessage="1" sqref="H3:H9" xr:uid="{AA45CAC7-F0C3-40AC-ACFA-A82B546D9715}">
      <formula1>NAMES_FREEBIES_SET</formula1>
    </dataValidation>
    <dataValidation type="list" allowBlank="1" showInputMessage="1" showErrorMessage="1" sqref="E3:G9" xr:uid="{C2D6B428-BB88-4A96-86A0-EE6E2F2FAAC9}">
      <formula1>NAMES_ADD_ONS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_TBL_INVENTORY</vt:lpstr>
      <vt:lpstr>_TBL_EMPLOYEES</vt:lpstr>
      <vt:lpstr>_TBL_MAIN_PRODUCTS</vt:lpstr>
      <vt:lpstr>_TBL_FREEBIES_SET</vt:lpstr>
      <vt:lpstr>_TBL_MAIN_PRODUCT</vt:lpstr>
      <vt:lpstr>_TBL_ADD_ONS</vt:lpstr>
      <vt:lpstr>SALES</vt:lpstr>
      <vt:lpstr>NAMES_ADD_ONS</vt:lpstr>
      <vt:lpstr>NAMES_EMPLOYEES</vt:lpstr>
      <vt:lpstr>NAMES_FREEBIES_SET</vt:lpstr>
      <vt:lpstr>NAMES_MAIN_PRODUCTS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USER</cp:lastModifiedBy>
  <dcterms:created xsi:type="dcterms:W3CDTF">2015-06-05T18:17:20Z</dcterms:created>
  <dcterms:modified xsi:type="dcterms:W3CDTF">2025-05-03T09:46:59Z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