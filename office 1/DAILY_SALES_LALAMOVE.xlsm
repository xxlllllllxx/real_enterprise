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office 1\"/>
    </mc:Choice>
  </mc:AlternateContent>
  <xr:revisionPtr revIDLastSave="0" documentId="13_ncr:1_{31DAD0B0-200D-43A0-A836-17BF693994EC}" xr6:coauthVersionLast="36" xr6:coauthVersionMax="47" xr10:uidLastSave="{00000000-0000-0000-0000-000000000000}"/>
  <bookViews>
    <workbookView xWindow="-120" yWindow="-120" windowWidth="29040" windowHeight="15720" firstSheet="6" activeTab="6" xr2:uid="{00000000-000D-0000-FFFF-FFFF00000000}"/>
  </bookViews>
  <sheets>
    <sheet name="_TBL_INVENTORY" sheetId="4" state="hidden" r:id="rId1"/>
    <sheet name="_TBL_EMPLOYEES" sheetId="10" state="hidden" r:id="rId2"/>
    <sheet name="_TBL_MAIN_PRODUCTS" sheetId="13" state="hidden" r:id="rId3"/>
    <sheet name="_TBL_FREEBIES_SET" sheetId="14" state="hidden" r:id="rId4"/>
    <sheet name="_TBL_MAIN_PRODUCT" sheetId="17" state="hidden" r:id="rId5"/>
    <sheet name="_TBL_ADD_ONS" sheetId="21" state="hidden" r:id="rId6"/>
    <sheet name="SALES" sheetId="2" r:id="rId7"/>
  </sheets>
  <definedNames>
    <definedName name="ExternalData_1" localSheetId="5" hidden="1">_TBL_ADD_ONS!$A$1:$C$8</definedName>
    <definedName name="ExternalData_1" localSheetId="1" hidden="1">_TBL_EMPLOYEES!$A$1:$Q$2</definedName>
    <definedName name="ExternalData_1" localSheetId="3" hidden="1">_TBL_FREEBIES_SET!$A$1:$E$6</definedName>
    <definedName name="ExternalData_2" localSheetId="0" hidden="1">_TBL_INVENTORY!$A$1:$G$53</definedName>
    <definedName name="ExternalData_2" localSheetId="4" hidden="1">_TBL_MAIN_PRODUCT!$A$1:$L$206</definedName>
    <definedName name="ExternalData_2" localSheetId="2" hidden="1">_TBL_MAIN_PRODUCTS!$A$1:$G$63</definedName>
    <definedName name="NAMES_ADD_ONS">_TBL_ADD_ONS[ADD ON NAME]</definedName>
    <definedName name="NAMES_EMPLOYEES">_TBL_EMPLOYEES[EMPLOYEE NAME]</definedName>
    <definedName name="NAMES_FREEBIES_SET">_TBL_FREEBIES_SET[FREEBIES NAME]</definedName>
    <definedName name="NAMES_INVENTORY">OFFSET(_TBL_INVENTORY[NAME], 0, 0, COUNTA(_TBL_INVENTORY[NAME]), 1)</definedName>
    <definedName name="NAMES_MAIN_PRODUCTS">MAIN_PRODUCT[PRODUCT NAME]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2" l="1"/>
  <c r="M4" i="2"/>
  <c r="M5" i="2"/>
  <c r="M6" i="2"/>
  <c r="M7" i="2"/>
  <c r="M8" i="2"/>
  <c r="M9" i="2"/>
  <c r="M10" i="2"/>
  <c r="M11" i="2"/>
  <c r="M12" i="2"/>
  <c r="M13" i="2"/>
  <c r="M14" i="2"/>
  <c r="I4" i="2"/>
  <c r="I5" i="2"/>
  <c r="I6" i="2"/>
  <c r="I7" i="2"/>
  <c r="I8" i="2"/>
  <c r="I9" i="2"/>
  <c r="I10" i="2"/>
  <c r="I11" i="2"/>
  <c r="I12" i="2"/>
  <c r="I13" i="2"/>
  <c r="I14" i="2"/>
  <c r="D3" i="2"/>
  <c r="D4" i="2"/>
  <c r="J4" i="2" s="1"/>
  <c r="D5" i="2"/>
  <c r="D6" i="2"/>
  <c r="J6" i="2" s="1"/>
  <c r="D7" i="2"/>
  <c r="D8" i="2"/>
  <c r="J8" i="2" s="1"/>
  <c r="D9" i="2"/>
  <c r="D10" i="2"/>
  <c r="J10" i="2" s="1"/>
  <c r="D11" i="2"/>
  <c r="D12" i="2"/>
  <c r="J12" i="2" s="1"/>
  <c r="D13" i="2"/>
  <c r="D14" i="2"/>
  <c r="J14" i="2" s="1"/>
  <c r="J5" i="2" l="1"/>
  <c r="J13" i="2"/>
  <c r="J7" i="2"/>
  <c r="J9" i="2"/>
  <c r="J11" i="2"/>
  <c r="J3" i="2"/>
  <c r="M15" i="2"/>
  <c r="I15" i="2"/>
  <c r="K17" i="2" l="1"/>
  <c r="L17" i="2"/>
  <c r="K16" i="2"/>
  <c r="L16" i="2"/>
  <c r="D15" i="2" l="1"/>
  <c r="J15" i="2" l="1"/>
  <c r="B16" i="2"/>
  <c r="J16" i="2" l="1"/>
  <c r="J17" i="2"/>
  <c r="I16" i="2"/>
  <c r="D16" i="2"/>
  <c r="I1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21E191-82AF-4902-9DFC-4F33080EE1D8}" keepAlive="1" name="Query - _TBL_ADD_ONS4" description="Connection to the '_TBL_ADD_ONS4' query in the workbook." type="5" refreshedVersion="6" background="1" saveData="1">
    <dbPr connection="Provider=Microsoft.Mashup.OleDb.1;Data Source=$Workbook$;Location=_TBL_ADD_ONS4;Extended Properties=&quot;&quot;" command="SELECT * FROM [_TBL_ADD_ONS4]"/>
  </connection>
  <connection id="2" xr16:uid="{226EB653-3B5D-4485-872F-8D68E9A696CC}" keepAlive="1" name="Query - _TBL_EMPLOYEES" description="Connection to the '_TBL_EMPLOYEES' query in the workbook." type="5" refreshedVersion="6" background="1" saveData="1">
    <dbPr connection="Provider=Microsoft.Mashup.OleDb.1;Data Source=$Workbook$;Location=_TBL_EMPLOYEES;Extended Properties=&quot;&quot;" command="SELECT * FROM [_TBL_EMPLOYEES]"/>
  </connection>
  <connection id="3" xr16:uid="{92CFD20A-E010-48F6-86E8-9A7932F4954C}" keepAlive="1" name="Query - _TBL_FREEBIES_SET" description="Connection to the '_TBL_FREEBIES_SET' query in the workbook." type="5" refreshedVersion="6" background="1" saveData="1">
    <dbPr connection="Provider=Microsoft.Mashup.OleDb.1;Data Source=$Workbook$;Location=_TBL_FREEBIES_SET;Extended Properties=&quot;&quot;" command="SELECT * FROM [_TBL_FREEBIES_SET]"/>
  </connection>
  <connection id="4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5" xr16:uid="{3891BEFD-A607-47F0-9985-A9EE878806BC}" keepAlive="1" name="Query - _TBL_INVENTORY_MAIN_PRODUCTS" description="Connection to the '_TBL_INVENTORY_MAIN_PRODUCTS' query in the workbook." type="5" refreshedVersion="6" background="1" saveData="1">
    <dbPr connection="Provider=Microsoft.Mashup.OleDb.1;Data Source=$Workbook$;Location=_TBL_INVENTORY_MAIN_PRODUCTS;Extended Properties=&quot;&quot;" command="SELECT * FROM [_TBL_INVENTORY_MAIN_PRODUCTS]"/>
  </connection>
  <connection id="6" xr16:uid="{97E9CBF6-BA56-4C34-9FE7-9855B3008141}" keepAlive="1" name="Query - MAIN_PRODUCT" description="Connection to the 'MAIN_PRODUCT' query in the workbook." type="5" refreshedVersion="6" background="1" saveData="1">
    <dbPr connection="Provider=Microsoft.Mashup.OleDb.1;Data Source=$Workbook$;Location=MAIN_PRODUCT;Extended Properties=&quot;&quot;" command="SELECT * FROM [MAIN_PRODUCT]"/>
  </connection>
</connections>
</file>

<file path=xl/sharedStrings.xml><?xml version="1.0" encoding="utf-8"?>
<sst xmlns="http://schemas.openxmlformats.org/spreadsheetml/2006/main" count="2304" uniqueCount="157">
  <si>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</si>
  <si>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</si>
  <si>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</si>
  <si>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</si>
  <si>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</si>
  <si>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</si>
  <si>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</si>
  <si>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</si>
  <si>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</si>
  <si>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</si>
  <si>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ACER</t>
  </si>
  <si>
    <t>ASUS</t>
  </si>
  <si>
    <t>LENOVO</t>
  </si>
  <si>
    <t>PC Parts</t>
  </si>
  <si>
    <t>Freebies</t>
  </si>
  <si>
    <t>Printers</t>
  </si>
  <si>
    <t xml:space="preserve">TOTAL: </t>
  </si>
  <si>
    <t>ABSOLUTE TOTAL:</t>
  </si>
  <si>
    <t>SALES REPORT</t>
  </si>
  <si>
    <t>PRODUCT NAME</t>
  </si>
  <si>
    <t>DEFAULT PRICE</t>
  </si>
  <si>
    <t>DETAILS</t>
  </si>
  <si>
    <t>PRICE DEFAULT</t>
  </si>
  <si>
    <t>EMPLOYEE NAME</t>
  </si>
  <si>
    <t>IN_SALES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</si>
  <si>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</si>
  <si>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</si>
  <si>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</si>
  <si>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</si>
  <si>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</si>
  <si>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</si>
  <si>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</si>
  <si>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</si>
  <si>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</si>
  <si>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</si>
  <si>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</si>
  <si>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</si>
  <si>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</si>
  <si>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</si>
  <si>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Alain Keil Pelina</t>
  </si>
  <si>
    <t>VARIANT</t>
  </si>
  <si>
    <t>REGULAR</t>
  </si>
  <si>
    <t>4 / 16</t>
  </si>
  <si>
    <t>4 / 32</t>
  </si>
  <si>
    <t>HP REGULAR 4 / 16</t>
  </si>
  <si>
    <t>HP TOUCHSCREEN 4 / 16</t>
  </si>
  <si>
    <t>TOUCHSCREEN</t>
  </si>
  <si>
    <t>HP 14' 4 / 16</t>
  </si>
  <si>
    <t>14'</t>
  </si>
  <si>
    <t>2 / 16</t>
  </si>
  <si>
    <t>8 / 128</t>
  </si>
  <si>
    <t>Add Ons 1</t>
  </si>
  <si>
    <t>Add Ons 2</t>
  </si>
  <si>
    <t>Add Ons 3</t>
  </si>
  <si>
    <t>Laminator</t>
  </si>
  <si>
    <t>DELL REGULAR 2 / 16</t>
  </si>
  <si>
    <t>DELL REGULAR 4 / 16</t>
  </si>
  <si>
    <t>DELL REGULAR 4 / 32</t>
  </si>
  <si>
    <t>HP REGULAR 4 / 32</t>
  </si>
  <si>
    <t>CTL REGULAR 4 / 16</t>
  </si>
  <si>
    <t>CTL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</si>
  <si>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</si>
  <si>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</si>
  <si>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</si>
  <si>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</si>
  <si>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</si>
  <si>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</si>
  <si>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</si>
  <si>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</si>
  <si>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</si>
  <si>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</si>
  <si>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</si>
  <si>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</si>
  <si>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</si>
  <si>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</si>
  <si>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</si>
  <si>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</si>
  <si>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</si>
  <si>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</si>
  <si>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</si>
  <si>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</si>
  <si>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</si>
  <si>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TOUCH &amp; FLIP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</si>
  <si>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</si>
  <si>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</si>
  <si>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</si>
  <si>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</si>
  <si>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</si>
  <si>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</si>
  <si>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</si>
  <si>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</si>
  <si>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</si>
  <si>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</si>
  <si>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</si>
  <si>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</si>
  <si>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</si>
  <si>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</t>
  </si>
  <si>
    <t>Intel i3</t>
  </si>
  <si>
    <t>Macbook Intel i5</t>
  </si>
  <si>
    <t>Intel i5</t>
  </si>
  <si>
    <t>Fujitsu</t>
  </si>
  <si>
    <t>DELL Intel i3</t>
  </si>
  <si>
    <t>DELL Intel i5</t>
  </si>
  <si>
    <t>DELL Intel i7</t>
  </si>
  <si>
    <t>Intel i7</t>
  </si>
  <si>
    <t>Avgo</t>
  </si>
  <si>
    <t>Toshiba</t>
  </si>
  <si>
    <t>LENOVO Intel i3</t>
  </si>
  <si>
    <t>LENOVO Intel i5</t>
  </si>
  <si>
    <t>Nec</t>
  </si>
  <si>
    <t>Sytem Intel i5 4th Gen</t>
  </si>
  <si>
    <t>Sytem</t>
  </si>
  <si>
    <t>4th Gen</t>
  </si>
  <si>
    <t>System Ryzen 3</t>
  </si>
  <si>
    <t>System</t>
  </si>
  <si>
    <t>Ryzen 3</t>
  </si>
  <si>
    <t>Monitor</t>
  </si>
  <si>
    <t>TS 207</t>
  </si>
  <si>
    <t>MG 2570 S</t>
  </si>
  <si>
    <t>MG 3070 S</t>
  </si>
  <si>
    <t>G 2021</t>
  </si>
  <si>
    <t>L 121</t>
  </si>
  <si>
    <t>Brother 3420 W</t>
  </si>
  <si>
    <t>FREEBIES NAME</t>
  </si>
  <si>
    <t>8 Freebies</t>
  </si>
  <si>
    <t>Mix And Match  Helmet</t>
  </si>
  <si>
    <t>Mix And Match  Action Cam</t>
  </si>
  <si>
    <t>Mix And Match  Cherry Mobile</t>
  </si>
  <si>
    <t>Add Ons Cost</t>
  </si>
  <si>
    <t>ADD ON NAME</t>
  </si>
  <si>
    <t>ADD ON PRICE</t>
  </si>
  <si>
    <t>Speaker</t>
  </si>
  <si>
    <t>Webcam</t>
  </si>
  <si>
    <t>TOTAL PAYMEMT</t>
  </si>
  <si>
    <t>CASH</t>
  </si>
  <si>
    <t>GCASH/BANK</t>
  </si>
  <si>
    <t>Computer Table</t>
  </si>
  <si>
    <t>MAIN PRODUCT</t>
  </si>
  <si>
    <t>Helmet</t>
  </si>
  <si>
    <t>1080p Sports Cam</t>
  </si>
  <si>
    <t>Cherry Mobile</t>
  </si>
  <si>
    <t>Keyboard/Mouse</t>
  </si>
  <si>
    <t>Large Mouse pad</t>
  </si>
  <si>
    <t>Wifi-dongle</t>
  </si>
  <si>
    <t>BOX CONTENT</t>
  </si>
  <si>
    <t>PRINTER SET</t>
  </si>
  <si>
    <t>VGA, Laminator, Sheets</t>
  </si>
  <si>
    <t>ACER REGULAR 4 / 16</t>
  </si>
  <si>
    <t>ASUS REGULAR 4 / 16</t>
  </si>
  <si>
    <t>ASUS REGULAR 4 / 32</t>
  </si>
  <si>
    <t>G 2010</t>
  </si>
  <si>
    <t>PRICE</t>
  </si>
  <si>
    <t>FREEBIES</t>
  </si>
  <si>
    <t>Mouse, table, Laptop Bag, Laptop Brush, Laptop Stand, Charger, Mouse Pad, P47 Headphone</t>
  </si>
  <si>
    <t>ADD ONS</t>
  </si>
  <si>
    <t/>
  </si>
  <si>
    <t>S.Neckband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</si>
</sst>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₱&quot;* #,##0.00_-;\-&quot;₱&quot;* #,##0.00_-;_-&quot;₱&quot;* &quot;-&quot;??_-;_-@_-"/>
    <numFmt numFmtId="165" formatCode="_([$PHP]\ * #,##0.00_);_([$PHP]\ * \(#,##0.00\);_([$PHP]\ 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164" fontId="1" fillId="0" borderId="0" xfId="0" applyNumberFormat="1" applyFont="1"/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32">
    <dxf>
      <alignment horizontal="right" vertical="bottom" textRotation="0" wrapText="0" indent="0" justifyLastLine="0" shrinkToFit="0" readingOrder="0"/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449D7679-3951-440E-864D-184964843AC1}" autoFormatId="16" applyNumberFormats="0" applyBorderFormats="0" applyFontFormats="0" applyPatternFormats="0" applyAlignmentFormats="0" applyWidthHeightFormats="0">
  <queryTableRefresh nextId="18">
    <queryTableFields count="17">
      <queryTableField id="1" name="ID" tableColumnId="1"/>
      <queryTableField id="2" name="EMPLOYEE NAME" tableColumnId="2"/>
      <queryTableField id="3" name="IN_SALES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58B072F-6341-4CBF-81B5-C3ADEC0C465C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2EAF0DA-19CC-4175-892F-934C58E43886}" autoFormatId="16" applyNumberFormats="0" applyBorderFormats="0" applyFontFormats="0" applyPatternFormats="0" applyAlignmentFormats="0" applyWidthHeightFormats="0">
  <queryTableRefresh nextId="12">
    <queryTableFields count="5">
      <queryTableField id="4" name="ID" tableColumnId="1"/>
      <queryTableField id="2" name="FREEBIES NAME" tableColumnId="2"/>
      <queryTableField id="8" name="PRICE" tableColumnId="4"/>
      <queryTableField id="9" name="TYPE" tableColumnId="5"/>
      <queryTableField id="3" name="DETAILS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FCDD5D92-086E-428A-9920-D2ABFAE5A535}" autoFormatId="16" applyNumberFormats="0" applyBorderFormats="0" applyFontFormats="0" applyPatternFormats="0" applyAlignmentFormats="0" applyWidthHeightFormats="0">
  <queryTableRefresh nextId="13">
    <queryTableFields count="12">
      <queryTableField id="1" name="ID" tableColumnId="1"/>
      <queryTableField id="2" name="PRODUCT NAME" tableColumnId="2"/>
      <queryTableField id="3" name="DEFAULT PRICE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3E08A68-B641-44E0-B755-5F393F8A972C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ADD ON NAME" tableColumnId="2"/>
      <queryTableField id="3" name="ADD ON PRIC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53" tableType="queryTable" totalsRowShown="0">
  <autoFilter ref="A1:G53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31"/>
    <tableColumn id="3" xr3:uid="{076104D8-C9E8-451B-A965-B0F52E829B97}" uniqueName="3" name="TYPE" queryTableFieldId="3" dataDxfId="30"/>
    <tableColumn id="4" xr3:uid="{EED15770-5ACA-47A3-90AC-004FB47CC5A3}" uniqueName="4" name="BRAND" queryTableFieldId="4" dataDxfId="29"/>
    <tableColumn id="5" xr3:uid="{3006AD62-9893-4204-AD0A-4EF3B9BE605E}" uniqueName="5" name="CODE" queryTableFieldId="5" dataDxfId="28"/>
    <tableColumn id="7" xr3:uid="{DC21BDB8-8A69-4186-83FC-A99F4F8E7737}" uniqueName="7" name="VARIANT" queryTableFieldId="7"/>
    <tableColumn id="6" xr3:uid="{895EF583-4F50-4211-A9B8-9D6A9E4977E5}" uniqueName="6" name="SPECS" queryTableFieldId="6" dataDxfId="2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DAA09D-8023-45C8-AC8E-E69724D628F0}" name="_TBL_EMPLOYEES" displayName="_TBL_EMPLOYEES" ref="A1:Q2" tableType="queryTable" totalsRowShown="0">
  <autoFilter ref="A1:Q2" xr:uid="{C1DAA09D-8023-45C8-AC8E-E69724D628F0}"/>
  <tableColumns count="17">
    <tableColumn id="1" xr3:uid="{1DD11B63-30B5-4C29-B0B1-9A978E9CACA8}" uniqueName="1" name="ID" queryTableFieldId="1"/>
    <tableColumn id="2" xr3:uid="{54C2FB90-0DD9-442E-B63F-92B8F289E6A9}" uniqueName="2" name="EMPLOYEE NAME" queryTableFieldId="2" dataDxfId="26"/>
    <tableColumn id="3" xr3:uid="{E097AF6A-5F9F-4F3A-B945-EAEF02C3D124}" uniqueName="3" name="IN_SALES" queryTableFieldId="3"/>
    <tableColumn id="4" xr3:uid="{285F7B5D-6532-4BEF-958B-44116B95A598}" uniqueName="4" name="Column4" queryTableFieldId="4"/>
    <tableColumn id="5" xr3:uid="{F2BCF70F-11F4-4848-9BD6-2F606387B2DA}" uniqueName="5" name="Column5" queryTableFieldId="5"/>
    <tableColumn id="6" xr3:uid="{34E6E56C-F006-4BB0-A9CC-0DACAE6B6B86}" uniqueName="6" name="Column6" queryTableFieldId="6"/>
    <tableColumn id="7" xr3:uid="{D4F2710F-3925-4361-BE06-0C0940860EF9}" uniqueName="7" name="Column7" queryTableFieldId="7"/>
    <tableColumn id="8" xr3:uid="{E3ACBFAF-F98B-416F-A9D1-C5456F7F791A}" uniqueName="8" name="Column8" queryTableFieldId="8"/>
    <tableColumn id="9" xr3:uid="{734C2DDA-9EA9-4B34-A87D-8D12950C14DB}" uniqueName="9" name="Column9" queryTableFieldId="9"/>
    <tableColumn id="10" xr3:uid="{70331DC8-4796-4952-B5A0-ECC847809287}" uniqueName="10" name="Column10" queryTableFieldId="10"/>
    <tableColumn id="11" xr3:uid="{8B927F04-4F21-41C5-A52B-C1A120296EAF}" uniqueName="11" name="Column11" queryTableFieldId="11"/>
    <tableColumn id="12" xr3:uid="{22190971-CE06-493E-BCDE-F3CDE53254C2}" uniqueName="12" name="Column12" queryTableFieldId="12"/>
    <tableColumn id="13" xr3:uid="{DE1EBF15-E4C4-4F24-BAE6-AD13E2C4C74D}" uniqueName="13" name="Column13" queryTableFieldId="13"/>
    <tableColumn id="14" xr3:uid="{9F075ACF-EA14-487A-9396-32D235ED2402}" uniqueName="14" name="Column14" queryTableFieldId="14"/>
    <tableColumn id="15" xr3:uid="{222A60D3-4B8A-4794-B1D9-71DF096439AB}" uniqueName="15" name="Column15" queryTableFieldId="15"/>
    <tableColumn id="16" xr3:uid="{B986441C-209D-4A03-BFD0-D8EBD1B569DA}" uniqueName="16" name="Column16" queryTableFieldId="16"/>
    <tableColumn id="17" xr3:uid="{3466A8EB-9249-4DDE-8203-B8B239B85902}" uniqueName="17" name="Column17" queryTableFieldId="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828BCAA-8200-4419-8D26-0F3720D1D3B0}" name="_TBL_INVENTORY_MAIN_PRODUCTS" displayName="_TBL_INVENTORY_MAIN_PRODUCTS" ref="A1:G63" tableType="queryTable" totalsRowShown="0">
  <autoFilter ref="A1:G63" xr:uid="{4CD612B7-AFB8-49A1-ACFD-A67CBD7E61C3}"/>
  <tableColumns count="7">
    <tableColumn id="1" xr3:uid="{8F8D69B9-4C30-4B3C-9A69-33EE50402292}" uniqueName="1" name="ID" queryTableFieldId="1"/>
    <tableColumn id="2" xr3:uid="{28ED2E56-3C20-4701-AA66-5A5F883DCDAE}" uniqueName="2" name="NAME" queryTableFieldId="2"/>
    <tableColumn id="3" xr3:uid="{1B674BE4-E94A-43EE-99AD-6ACC831A3F1D}" uniqueName="3" name="TYPE" queryTableFieldId="3"/>
    <tableColumn id="4" xr3:uid="{E3072494-0E53-45BE-8BCA-214D005BA651}" uniqueName="4" name="BRAND" queryTableFieldId="4"/>
    <tableColumn id="5" xr3:uid="{4C2B1490-5C7C-49ED-B5D4-04598A090278}" uniqueName="5" name="CODE" queryTableFieldId="5"/>
    <tableColumn id="6" xr3:uid="{367A1F55-494A-4B52-80B9-8F3777C1CA10}" uniqueName="6" name="VARIANT" queryTableFieldId="6"/>
    <tableColumn id="7" xr3:uid="{30D881D2-DC67-4DCE-AB8F-97FFD1E59EBF}" uniqueName="7" name="SPECS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2D49B3-7B85-416E-80F9-31B129FD6302}" name="_TBL_FREEBIES_SET" displayName="_TBL_FREEBIES_SET" ref="A1:E6" tableType="queryTable" totalsRowShown="0">
  <autoFilter ref="A1:E6" xr:uid="{4662DD68-3559-4E05-8449-0F73B97BBCEC}"/>
  <tableColumns count="5">
    <tableColumn id="1" xr3:uid="{8D8221AF-1412-4698-94A7-517B6554B5F8}" uniqueName="1" name="ID" queryTableFieldId="4"/>
    <tableColumn id="2" xr3:uid="{4CBA0582-BA1E-431C-BFBB-4A5DC5230851}" uniqueName="2" name="FREEBIES NAME" queryTableFieldId="2"/>
    <tableColumn id="4" xr3:uid="{1BF0B102-0086-4E04-9DA3-CF2F6FBF405C}" uniqueName="4" name="PRICE" queryTableFieldId="8"/>
    <tableColumn id="5" xr3:uid="{E632A68E-BE7C-4F11-B650-3A549429DBE0}" uniqueName="5" name="TYPE" queryTableFieldId="9"/>
    <tableColumn id="3" xr3:uid="{0A9B3ADF-3C7C-4AE0-A912-302719403A85}" uniqueName="3" name="DETAILS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0720D6F-268C-4182-8895-17745E28523A}" name="MAIN_PRODUCT" displayName="MAIN_PRODUCT" ref="A1:L206" tableType="queryTable" totalsRowShown="0">
  <autoFilter ref="A1:L206" xr:uid="{100A8E24-FACC-4FF2-B7A4-85C3427EAA66}"/>
  <tableColumns count="12">
    <tableColumn id="1" xr3:uid="{04D15821-F462-43D5-AE9B-D00CCC737494}" uniqueName="1" name="ID" queryTableFieldId="1"/>
    <tableColumn id="2" xr3:uid="{7349AD04-5499-473F-B45E-6D4EC63C851C}" uniqueName="2" name="PRODUCT NAME" queryTableFieldId="2"/>
    <tableColumn id="3" xr3:uid="{6432F4A9-FAD7-459C-94BB-B3F3F3646F15}" uniqueName="3" name="DEFAULT PRICE" queryTableFieldId="3"/>
    <tableColumn id="4" xr3:uid="{71996DBB-A18F-4C88-A91C-4C3773908B36}" uniqueName="4" name="Column4" queryTableFieldId="4"/>
    <tableColumn id="5" xr3:uid="{987D04AB-7BC0-4AF8-88D6-80DE9DAF8C0C}" uniqueName="5" name="Column5" queryTableFieldId="5"/>
    <tableColumn id="6" xr3:uid="{3492A804-819F-4432-A06B-C923B0F89429}" uniqueName="6" name="Column6" queryTableFieldId="6"/>
    <tableColumn id="7" xr3:uid="{C97D37AD-D0DA-43ED-89A5-B32B9837BF28}" uniqueName="7" name="Column7" queryTableFieldId="7"/>
    <tableColumn id="8" xr3:uid="{0D551E8B-2409-4823-BCDC-CF207D793005}" uniqueName="8" name="Column8" queryTableFieldId="8"/>
    <tableColumn id="9" xr3:uid="{9E974AC8-CB26-4D25-B3A1-CF1FB29DF768}" uniqueName="9" name="Column9" queryTableFieldId="9"/>
    <tableColumn id="10" xr3:uid="{968411C9-552E-4921-8403-637135E85709}" uniqueName="10" name="Column10" queryTableFieldId="10"/>
    <tableColumn id="11" xr3:uid="{987B85D0-FFDE-4F6E-97FF-1E539F4A9759}" uniqueName="11" name="Column11" queryTableFieldId="11"/>
    <tableColumn id="12" xr3:uid="{9FB27BAE-5E18-4989-A8C4-E6EED0418566}" uniqueName="12" name="Column12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B05C21-A464-4C93-86DF-C11D1A5CFC96}" name="_TBL_ADD_ONS" displayName="_TBL_ADD_ONS" ref="A1:C8" tableType="queryTable" totalsRowShown="0">
  <autoFilter ref="A1:C8" xr:uid="{E5D2E7EC-FD8D-40C8-AF6E-3A8BD775C037}"/>
  <tableColumns count="3">
    <tableColumn id="1" xr3:uid="{3AF32B1A-95C8-48C7-AA9E-8B46CC60F40C}" uniqueName="1" name="ID" queryTableFieldId="1"/>
    <tableColumn id="2" xr3:uid="{3C5FA251-4992-4E8C-A600-FA5CC0C260FD}" uniqueName="2" name="ADD ON NAME" queryTableFieldId="2"/>
    <tableColumn id="3" xr3:uid="{793040E6-92E3-40E1-8D06-E819B4932CF9}" uniqueName="3" name="ADD ON PRICE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SALES" displayName="_TBL_SALES" ref="B2:M16" totalsRowCount="1" headerRowDxfId="25" dataDxfId="24">
  <autoFilter ref="B2:M15" xr:uid="{11196D4F-0C08-44E6-8845-054A162CF400}"/>
  <tableColumns count="12">
    <tableColumn id="1" xr3:uid="{7E5944E0-EEF7-48BA-9C65-2A065AAFA2D9}" name="DATE" totalsRowFunction="custom" dataDxfId="23" totalsRowDxfId="22">
      <totalsRowFormula>_xlfn.CONCAT("COUNT: ", SUBTOTAL(103,_TBL_SALES[DATE]))</totalsRowFormula>
    </tableColumn>
    <tableColumn id="2" xr3:uid="{6346439F-B17B-42E4-B169-E92F350D30A5}" name="MAIN PRODUCT" totalsRowLabel="TOTAL: " dataDxfId="21" totalsRowDxfId="20"/>
    <tableColumn id="4" xr3:uid="{95CD9087-654C-4E2A-AF3A-261436977333}" name="PRICE DEFAULT" totalsRowFunction="sum" dataDxfId="19" totalsRowDxfId="18">
      <calculatedColumnFormula xml:space="preserve"> _xlfn.IFNA( VLOOKUP(_TBL_SALES[[#This Row],[MAIN PRODUCT]], MAIN_PRODUCT[[PRODUCT NAME]:[DEFAULT PRICE]], 2), "")</calculatedColumnFormula>
    </tableColumn>
    <tableColumn id="13" xr3:uid="{4F50E6C8-94FA-4267-AEB8-A500CA2C2611}" name="Add Ons 1" dataDxfId="17" totalsRowDxfId="16"/>
    <tableColumn id="11" xr3:uid="{9F9E45A1-7B2D-48FF-A185-8ED8FCD21D9D}" name="Add Ons 2" dataDxfId="15" totalsRowDxfId="14"/>
    <tableColumn id="9" xr3:uid="{631CE9C0-E0FE-462C-B49B-A25E944D45BA}" name="Add Ons 3" dataDxfId="13" totalsRowDxfId="12"/>
    <tableColumn id="14" xr3:uid="{4F652C77-A69B-4014-BFAE-0FAAD8498F77}" name="Freebies" dataDxfId="11" totalsRowDxfId="10"/>
    <tableColumn id="5" xr3:uid="{20315BED-21B2-403E-9EB7-F0CC6C891D05}" name="Add Ons Cost" totalsRowFunction="sum" dataDxfId="9" totalsRowDxfId="8">
      <calculatedColumnFormula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calculatedColumnFormula>
    </tableColumn>
    <tableColumn id="3" xr3:uid="{0C6F7D0D-2B13-4E91-997A-E759C7E54BFB}" name="TOTAL PAYMEMT" totalsRowFunction="sum" dataDxfId="7" totalsRowDxfId="6">
      <calculatedColumnFormula>IFERROR(_TBL_SALES[[#This Row],[Add Ons Cost]]+_TBL_SALES[[#This Row],[PRICE DEFAULT]], "")</calculatedColumnFormula>
    </tableColumn>
    <tableColumn id="7" xr3:uid="{A2774850-F5E8-4FA1-8C17-FE6EEC4F8D73}" name="CASH" totalsRowFunction="sum" dataDxfId="5" totalsRowDxfId="4">
      <calculatedColumnFormula>IF(_TBL_SALES[[#This Row],[PRICE DEFAULT]]+_TBL_SALES[[#This Row],[Add Ons Cost]]&lt;&gt; 0, _TBL_SALES[[#This Row],[PRICE DEFAULT]]+_TBL_SALES[[#This Row],[Add Ons Cost]], "")</calculatedColumnFormula>
    </tableColumn>
    <tableColumn id="8" xr3:uid="{3BEEB058-8C1B-4F3B-A112-E1C3BF3C5795}" name="GCASH/BANK" totalsRowFunction="sum" dataDxfId="3" totalsRowDxfId="2"/>
    <tableColumn id="6" xr3:uid="{C248064F-C2EB-414B-92FA-814B8706B646}" name="BOX CONTENT" dataDxfId="1" totalsRowDxfId="0">
      <calculatedColumnFormula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53"/>
  <sheetViews>
    <sheetView workbookViewId="0">
      <selection sqref="A1:F7"/>
    </sheetView>
  </sheetViews>
  <sheetFormatPr defaultRowHeight="15" x14ac:dyDescent="0.25"/>
  <cols>
    <col min="1" max="1" width="4.85546875" bestFit="1" customWidth="1"/>
    <col min="2" max="2" width="26.28515625" bestFit="1" customWidth="1"/>
    <col min="3" max="3" width="7.140625" bestFit="1" customWidth="1"/>
    <col min="4" max="4" width="9" bestFit="1" customWidth="1"/>
    <col min="5" max="5" width="7.85546875" bestFit="1" customWidth="1"/>
    <col min="6" max="6" width="13.28515625" bestFit="1" customWidth="1"/>
    <col min="7" max="7" width="8.1406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</v>
      </c>
      <c r="G1" t="s">
        <v>5</v>
      </c>
    </row>
    <row r="2" spans="1:7" x14ac:dyDescent="0.25">
      <c r="A2">
        <v>1</v>
      </c>
      <c r="B2" t="s">
        <v>55</v>
      </c>
      <c r="C2" t="s">
        <v>6</v>
      </c>
      <c r="D2" t="s">
        <v>7</v>
      </c>
      <c r="F2" t="s">
        <v>41</v>
      </c>
      <c r="G2" t="s">
        <v>49</v>
      </c>
    </row>
    <row r="3" spans="1:7" x14ac:dyDescent="0.25">
      <c r="A3">
        <v>2</v>
      </c>
      <c r="B3" t="s">
        <v>56</v>
      </c>
      <c r="C3" t="s">
        <v>6</v>
      </c>
      <c r="D3" t="s">
        <v>7</v>
      </c>
      <c r="F3" t="s">
        <v>41</v>
      </c>
      <c r="G3" t="s">
        <v>42</v>
      </c>
    </row>
    <row r="4" spans="1:7" x14ac:dyDescent="0.25">
      <c r="A4">
        <v>3</v>
      </c>
      <c r="B4" t="s">
        <v>57</v>
      </c>
      <c r="C4" t="s">
        <v>6</v>
      </c>
      <c r="D4" t="s">
        <v>7</v>
      </c>
      <c r="F4" t="s">
        <v>41</v>
      </c>
      <c r="G4" t="s">
        <v>43</v>
      </c>
    </row>
    <row r="5" spans="1:7" x14ac:dyDescent="0.25">
      <c r="A5">
        <v>4</v>
      </c>
      <c r="B5" t="s">
        <v>44</v>
      </c>
      <c r="C5" t="s">
        <v>6</v>
      </c>
      <c r="D5" t="s">
        <v>8</v>
      </c>
      <c r="F5" t="s">
        <v>41</v>
      </c>
      <c r="G5" t="s">
        <v>42</v>
      </c>
    </row>
    <row r="6" spans="1:7" x14ac:dyDescent="0.25">
      <c r="A6">
        <v>5</v>
      </c>
      <c r="B6" t="s">
        <v>58</v>
      </c>
      <c r="C6" t="s">
        <v>6</v>
      </c>
      <c r="D6" t="s">
        <v>8</v>
      </c>
      <c r="F6" t="s">
        <v>41</v>
      </c>
      <c r="G6" t="s">
        <v>43</v>
      </c>
    </row>
    <row r="7" spans="1:7" x14ac:dyDescent="0.25">
      <c r="A7">
        <v>6</v>
      </c>
      <c r="B7" t="s">
        <v>59</v>
      </c>
      <c r="C7" t="s">
        <v>6</v>
      </c>
      <c r="D7" t="s">
        <v>60</v>
      </c>
      <c r="F7" t="s">
        <v>41</v>
      </c>
      <c r="G7" t="s">
        <v>42</v>
      </c>
    </row>
    <row r="8" spans="1:7" x14ac:dyDescent="0.25">
      <c r="A8">
        <v>7</v>
      </c>
      <c r="B8" s="11" t="s">
        <v>61</v>
      </c>
      <c r="C8" s="11" t="s">
        <v>6</v>
      </c>
      <c r="D8" s="11" t="s">
        <v>12</v>
      </c>
      <c r="E8" s="11"/>
      <c r="F8" t="s">
        <v>41</v>
      </c>
      <c r="G8" s="11" t="s">
        <v>42</v>
      </c>
    </row>
    <row r="9" spans="1:7" x14ac:dyDescent="0.25">
      <c r="A9">
        <v>8</v>
      </c>
      <c r="B9" s="11" t="s">
        <v>62</v>
      </c>
      <c r="C9" s="11" t="s">
        <v>6</v>
      </c>
      <c r="D9" s="11" t="s">
        <v>12</v>
      </c>
      <c r="E9" s="11"/>
      <c r="F9" t="s">
        <v>41</v>
      </c>
      <c r="G9" s="11" t="s">
        <v>43</v>
      </c>
    </row>
    <row r="10" spans="1:7" x14ac:dyDescent="0.25">
      <c r="A10">
        <v>9</v>
      </c>
      <c r="B10" s="11" t="s">
        <v>147</v>
      </c>
      <c r="C10" s="11" t="s">
        <v>6</v>
      </c>
      <c r="D10" s="11" t="s">
        <v>10</v>
      </c>
      <c r="E10" s="11"/>
      <c r="F10" t="s">
        <v>41</v>
      </c>
      <c r="G10" s="11" t="s">
        <v>42</v>
      </c>
    </row>
    <row r="11" spans="1:7" x14ac:dyDescent="0.25">
      <c r="A11">
        <v>10</v>
      </c>
      <c r="B11" s="11" t="s">
        <v>148</v>
      </c>
      <c r="C11" s="11" t="s">
        <v>6</v>
      </c>
      <c r="D11" s="11" t="s">
        <v>11</v>
      </c>
      <c r="E11" s="11"/>
      <c r="F11" t="s">
        <v>41</v>
      </c>
      <c r="G11" s="11" t="s">
        <v>42</v>
      </c>
    </row>
    <row r="12" spans="1:7" x14ac:dyDescent="0.25">
      <c r="A12">
        <v>11</v>
      </c>
      <c r="B12" s="11" t="s">
        <v>149</v>
      </c>
      <c r="C12" s="11" t="s">
        <v>6</v>
      </c>
      <c r="D12" s="11" t="s">
        <v>11</v>
      </c>
      <c r="E12" s="11"/>
      <c r="F12" t="s">
        <v>41</v>
      </c>
      <c r="G12" s="11" t="s">
        <v>43</v>
      </c>
    </row>
    <row r="13" spans="1:7" x14ac:dyDescent="0.25">
      <c r="A13">
        <v>12</v>
      </c>
      <c r="B13" s="11" t="s">
        <v>45</v>
      </c>
      <c r="C13" s="11" t="s">
        <v>6</v>
      </c>
      <c r="D13" s="11" t="s">
        <v>8</v>
      </c>
      <c r="E13" s="11"/>
      <c r="F13" t="s">
        <v>46</v>
      </c>
      <c r="G13" s="11" t="s">
        <v>42</v>
      </c>
    </row>
    <row r="14" spans="1:7" x14ac:dyDescent="0.25">
      <c r="A14">
        <v>13</v>
      </c>
      <c r="B14" s="11" t="s">
        <v>63</v>
      </c>
      <c r="C14" s="11" t="s">
        <v>6</v>
      </c>
      <c r="D14" s="11" t="s">
        <v>8</v>
      </c>
      <c r="E14" s="11"/>
      <c r="F14" t="s">
        <v>46</v>
      </c>
      <c r="G14" s="11" t="s">
        <v>43</v>
      </c>
    </row>
    <row r="15" spans="1:7" x14ac:dyDescent="0.25">
      <c r="A15">
        <v>14</v>
      </c>
      <c r="B15" s="11" t="s">
        <v>64</v>
      </c>
      <c r="C15" s="11" t="s">
        <v>6</v>
      </c>
      <c r="D15" s="11" t="s">
        <v>7</v>
      </c>
      <c r="E15" s="11"/>
      <c r="F15" t="s">
        <v>46</v>
      </c>
      <c r="G15" s="11" t="s">
        <v>42</v>
      </c>
    </row>
    <row r="16" spans="1:7" x14ac:dyDescent="0.25">
      <c r="A16">
        <v>15</v>
      </c>
      <c r="B16" s="11" t="s">
        <v>65</v>
      </c>
      <c r="C16" s="11" t="s">
        <v>6</v>
      </c>
      <c r="D16" s="11" t="s">
        <v>7</v>
      </c>
      <c r="E16" s="11"/>
      <c r="F16" t="s">
        <v>46</v>
      </c>
      <c r="G16" s="11" t="s">
        <v>43</v>
      </c>
    </row>
    <row r="17" spans="1:7" x14ac:dyDescent="0.25">
      <c r="A17">
        <v>16</v>
      </c>
      <c r="B17" s="11" t="s">
        <v>66</v>
      </c>
      <c r="C17" s="11" t="s">
        <v>6</v>
      </c>
      <c r="D17" s="11" t="s">
        <v>10</v>
      </c>
      <c r="E17" s="11"/>
      <c r="F17" t="s">
        <v>46</v>
      </c>
      <c r="G17" s="11" t="s">
        <v>43</v>
      </c>
    </row>
    <row r="18" spans="1:7" x14ac:dyDescent="0.25">
      <c r="A18">
        <v>17</v>
      </c>
      <c r="B18" s="11" t="s">
        <v>67</v>
      </c>
      <c r="C18" s="11" t="s">
        <v>6</v>
      </c>
      <c r="D18" s="11" t="s">
        <v>10</v>
      </c>
      <c r="E18" s="11"/>
      <c r="F18" t="s">
        <v>46</v>
      </c>
      <c r="G18" s="11" t="s">
        <v>42</v>
      </c>
    </row>
    <row r="19" spans="1:7" x14ac:dyDescent="0.25">
      <c r="A19">
        <v>18</v>
      </c>
      <c r="B19" s="11" t="s">
        <v>68</v>
      </c>
      <c r="C19" s="11" t="s">
        <v>6</v>
      </c>
      <c r="D19" s="11" t="s">
        <v>12</v>
      </c>
      <c r="E19" s="11"/>
      <c r="F19" t="s">
        <v>46</v>
      </c>
      <c r="G19" s="11" t="s">
        <v>42</v>
      </c>
    </row>
    <row r="20" spans="1:7" x14ac:dyDescent="0.25">
      <c r="A20">
        <v>19</v>
      </c>
      <c r="B20" s="11" t="s">
        <v>69</v>
      </c>
      <c r="C20" s="11" t="s">
        <v>6</v>
      </c>
      <c r="D20" s="11" t="s">
        <v>60</v>
      </c>
      <c r="E20" s="11"/>
      <c r="F20" t="s">
        <v>46</v>
      </c>
      <c r="G20" s="11" t="s">
        <v>43</v>
      </c>
    </row>
    <row r="21" spans="1:7" x14ac:dyDescent="0.25">
      <c r="A21">
        <v>20</v>
      </c>
      <c r="B21" s="11" t="s">
        <v>70</v>
      </c>
      <c r="C21" s="11" t="s">
        <v>6</v>
      </c>
      <c r="D21" s="11" t="s">
        <v>7</v>
      </c>
      <c r="E21" s="11"/>
      <c r="F21" t="s">
        <v>48</v>
      </c>
      <c r="G21" s="11" t="s">
        <v>42</v>
      </c>
    </row>
    <row r="22" spans="1:7" x14ac:dyDescent="0.25">
      <c r="A22">
        <v>21</v>
      </c>
      <c r="B22" s="11" t="s">
        <v>71</v>
      </c>
      <c r="C22" s="11" t="s">
        <v>6</v>
      </c>
      <c r="D22" s="11" t="s">
        <v>8</v>
      </c>
      <c r="E22" s="11"/>
      <c r="F22" t="s">
        <v>48</v>
      </c>
      <c r="G22" s="11" t="s">
        <v>49</v>
      </c>
    </row>
    <row r="23" spans="1:7" x14ac:dyDescent="0.25">
      <c r="A23">
        <v>22</v>
      </c>
      <c r="B23" s="11" t="s">
        <v>47</v>
      </c>
      <c r="C23" s="11" t="s">
        <v>6</v>
      </c>
      <c r="D23" s="11" t="s">
        <v>8</v>
      </c>
      <c r="E23" s="11"/>
      <c r="F23" t="s">
        <v>48</v>
      </c>
      <c r="G23" s="11" t="s">
        <v>42</v>
      </c>
    </row>
    <row r="24" spans="1:7" x14ac:dyDescent="0.25">
      <c r="A24">
        <v>23</v>
      </c>
      <c r="B24" s="11" t="s">
        <v>72</v>
      </c>
      <c r="C24" s="11" t="s">
        <v>6</v>
      </c>
      <c r="D24" s="11" t="s">
        <v>8</v>
      </c>
      <c r="E24" s="11"/>
      <c r="F24" t="s">
        <v>48</v>
      </c>
      <c r="G24" s="11" t="s">
        <v>43</v>
      </c>
    </row>
    <row r="25" spans="1:7" x14ac:dyDescent="0.25">
      <c r="A25">
        <v>24</v>
      </c>
      <c r="B25" s="11" t="s">
        <v>73</v>
      </c>
      <c r="C25" s="11" t="s">
        <v>6</v>
      </c>
      <c r="D25" s="11" t="s">
        <v>8</v>
      </c>
      <c r="E25" s="11"/>
      <c r="F25" t="s">
        <v>48</v>
      </c>
      <c r="G25" s="11" t="s">
        <v>74</v>
      </c>
    </row>
    <row r="26" spans="1:7" x14ac:dyDescent="0.25">
      <c r="A26">
        <v>25</v>
      </c>
      <c r="B26" s="11" t="s">
        <v>75</v>
      </c>
      <c r="C26" s="11" t="s">
        <v>6</v>
      </c>
      <c r="D26" s="11" t="s">
        <v>8</v>
      </c>
      <c r="E26" s="11"/>
      <c r="F26" t="s">
        <v>48</v>
      </c>
      <c r="G26" s="11" t="s">
        <v>76</v>
      </c>
    </row>
    <row r="27" spans="1:7" x14ac:dyDescent="0.25">
      <c r="A27">
        <v>26</v>
      </c>
      <c r="B27" s="11" t="s">
        <v>77</v>
      </c>
      <c r="C27" s="11" t="s">
        <v>6</v>
      </c>
      <c r="D27" s="11" t="s">
        <v>10</v>
      </c>
      <c r="E27" s="11"/>
      <c r="F27" t="s">
        <v>48</v>
      </c>
      <c r="G27" s="11" t="s">
        <v>49</v>
      </c>
    </row>
    <row r="28" spans="1:7" x14ac:dyDescent="0.25">
      <c r="A28">
        <v>27</v>
      </c>
      <c r="B28" s="11" t="s">
        <v>78</v>
      </c>
      <c r="C28" s="11" t="s">
        <v>6</v>
      </c>
      <c r="D28" s="11" t="s">
        <v>10</v>
      </c>
      <c r="E28" s="11"/>
      <c r="F28" t="s">
        <v>48</v>
      </c>
      <c r="G28" s="11" t="s">
        <v>42</v>
      </c>
    </row>
    <row r="29" spans="1:7" x14ac:dyDescent="0.25">
      <c r="A29">
        <v>28</v>
      </c>
      <c r="B29" s="11" t="s">
        <v>79</v>
      </c>
      <c r="C29" s="11" t="s">
        <v>6</v>
      </c>
      <c r="D29" s="11" t="s">
        <v>11</v>
      </c>
      <c r="E29" s="11"/>
      <c r="F29" t="s">
        <v>48</v>
      </c>
      <c r="G29" s="11" t="s">
        <v>49</v>
      </c>
    </row>
    <row r="30" spans="1:7" x14ac:dyDescent="0.25">
      <c r="A30">
        <v>29</v>
      </c>
      <c r="B30" s="11" t="s">
        <v>80</v>
      </c>
      <c r="C30" s="11" t="s">
        <v>6</v>
      </c>
      <c r="D30" s="11" t="s">
        <v>12</v>
      </c>
      <c r="E30" s="11"/>
      <c r="F30" t="s">
        <v>48</v>
      </c>
      <c r="G30" s="11" t="s">
        <v>42</v>
      </c>
    </row>
    <row r="31" spans="1:7" x14ac:dyDescent="0.25">
      <c r="A31">
        <v>30</v>
      </c>
      <c r="B31" s="11" t="s">
        <v>81</v>
      </c>
      <c r="C31" s="11" t="s">
        <v>6</v>
      </c>
      <c r="D31" s="11" t="s">
        <v>7</v>
      </c>
      <c r="E31" s="11"/>
      <c r="F31" t="s">
        <v>82</v>
      </c>
      <c r="G31" s="11" t="s">
        <v>42</v>
      </c>
    </row>
    <row r="32" spans="1:7" x14ac:dyDescent="0.25">
      <c r="A32">
        <v>31</v>
      </c>
      <c r="B32" s="11" t="s">
        <v>83</v>
      </c>
      <c r="C32" s="11" t="s">
        <v>6</v>
      </c>
      <c r="D32" s="11" t="s">
        <v>7</v>
      </c>
      <c r="E32" s="11"/>
      <c r="F32" t="s">
        <v>82</v>
      </c>
      <c r="G32" s="11" t="s">
        <v>43</v>
      </c>
    </row>
    <row r="33" spans="1:7" x14ac:dyDescent="0.25">
      <c r="A33">
        <v>32</v>
      </c>
      <c r="B33" s="11" t="s">
        <v>84</v>
      </c>
      <c r="C33" s="11" t="s">
        <v>6</v>
      </c>
      <c r="D33" s="11" t="s">
        <v>7</v>
      </c>
      <c r="E33" s="11"/>
      <c r="F33" t="s">
        <v>82</v>
      </c>
      <c r="G33" s="11" t="s">
        <v>50</v>
      </c>
    </row>
    <row r="34" spans="1:7" x14ac:dyDescent="0.25">
      <c r="A34">
        <v>33</v>
      </c>
      <c r="B34" s="11" t="s">
        <v>85</v>
      </c>
      <c r="C34" s="11" t="s">
        <v>6</v>
      </c>
      <c r="D34" s="11" t="s">
        <v>10</v>
      </c>
      <c r="E34" s="11"/>
      <c r="F34" t="s">
        <v>82</v>
      </c>
      <c r="G34" s="11" t="s">
        <v>42</v>
      </c>
    </row>
    <row r="35" spans="1:7" x14ac:dyDescent="0.25">
      <c r="A35">
        <v>34</v>
      </c>
      <c r="B35" s="11" t="s">
        <v>86</v>
      </c>
      <c r="C35" s="11" t="s">
        <v>6</v>
      </c>
      <c r="D35" s="11" t="s">
        <v>10</v>
      </c>
      <c r="E35" s="11"/>
      <c r="F35" t="s">
        <v>82</v>
      </c>
      <c r="G35" s="11" t="s">
        <v>43</v>
      </c>
    </row>
    <row r="36" spans="1:7" x14ac:dyDescent="0.25">
      <c r="A36">
        <v>35</v>
      </c>
      <c r="B36" s="11" t="s">
        <v>87</v>
      </c>
      <c r="C36" s="11" t="s">
        <v>6</v>
      </c>
      <c r="D36" s="11" t="s">
        <v>12</v>
      </c>
      <c r="E36" s="11"/>
      <c r="F36" t="s">
        <v>82</v>
      </c>
      <c r="G36" s="11" t="s">
        <v>42</v>
      </c>
    </row>
    <row r="37" spans="1:7" x14ac:dyDescent="0.25">
      <c r="A37">
        <v>36</v>
      </c>
      <c r="B37" s="11" t="s">
        <v>88</v>
      </c>
      <c r="C37" s="11" t="s">
        <v>6</v>
      </c>
      <c r="D37" s="11" t="s">
        <v>12</v>
      </c>
      <c r="E37" s="11"/>
      <c r="F37" t="s">
        <v>82</v>
      </c>
      <c r="G37" s="11" t="s">
        <v>43</v>
      </c>
    </row>
    <row r="38" spans="1:7" x14ac:dyDescent="0.25">
      <c r="A38">
        <v>37</v>
      </c>
      <c r="B38" s="11" t="s">
        <v>89</v>
      </c>
      <c r="C38" s="11" t="s">
        <v>6</v>
      </c>
      <c r="D38" s="11" t="s">
        <v>12</v>
      </c>
      <c r="E38" s="11"/>
      <c r="F38" t="s">
        <v>82</v>
      </c>
      <c r="G38" s="11" t="s">
        <v>90</v>
      </c>
    </row>
    <row r="39" spans="1:7" x14ac:dyDescent="0.25">
      <c r="A39">
        <v>38</v>
      </c>
      <c r="B39" s="11" t="s">
        <v>91</v>
      </c>
      <c r="C39" s="11" t="s">
        <v>6</v>
      </c>
      <c r="D39" s="11" t="s">
        <v>8</v>
      </c>
      <c r="E39" s="11"/>
      <c r="F39" t="s">
        <v>82</v>
      </c>
      <c r="G39" s="11" t="s">
        <v>43</v>
      </c>
    </row>
    <row r="40" spans="1:7" x14ac:dyDescent="0.25">
      <c r="A40">
        <v>39</v>
      </c>
      <c r="B40" s="11" t="s">
        <v>92</v>
      </c>
      <c r="C40" s="11" t="s">
        <v>6</v>
      </c>
      <c r="D40" s="11" t="s">
        <v>8</v>
      </c>
      <c r="E40" s="11"/>
      <c r="F40" t="s">
        <v>82</v>
      </c>
      <c r="G40" s="11" t="s">
        <v>90</v>
      </c>
    </row>
    <row r="41" spans="1:7" x14ac:dyDescent="0.25">
      <c r="A41">
        <v>40</v>
      </c>
      <c r="B41" s="11" t="s">
        <v>93</v>
      </c>
      <c r="C41" s="11" t="s">
        <v>6</v>
      </c>
      <c r="D41" s="11" t="s">
        <v>11</v>
      </c>
      <c r="E41" s="11"/>
      <c r="F41" t="s">
        <v>82</v>
      </c>
      <c r="G41" s="11" t="s">
        <v>43</v>
      </c>
    </row>
    <row r="42" spans="1:7" x14ac:dyDescent="0.25">
      <c r="A42">
        <v>41</v>
      </c>
      <c r="B42" s="11" t="s">
        <v>94</v>
      </c>
      <c r="C42" s="11" t="s">
        <v>6</v>
      </c>
      <c r="D42" s="11" t="s">
        <v>60</v>
      </c>
      <c r="E42" s="11"/>
      <c r="F42" t="s">
        <v>82</v>
      </c>
      <c r="G42" s="11" t="s">
        <v>43</v>
      </c>
    </row>
    <row r="43" spans="1:7" x14ac:dyDescent="0.25">
      <c r="A43">
        <v>42</v>
      </c>
      <c r="B43" s="11" t="s">
        <v>95</v>
      </c>
      <c r="C43" s="11" t="s">
        <v>6</v>
      </c>
      <c r="D43" s="11" t="s">
        <v>96</v>
      </c>
      <c r="E43" s="11"/>
      <c r="F43" t="s">
        <v>97</v>
      </c>
      <c r="G43" s="11"/>
    </row>
    <row r="44" spans="1:7" x14ac:dyDescent="0.25">
      <c r="A44">
        <v>43</v>
      </c>
      <c r="B44" s="11" t="s">
        <v>98</v>
      </c>
      <c r="C44" s="11" t="s">
        <v>6</v>
      </c>
      <c r="D44" s="11" t="s">
        <v>96</v>
      </c>
      <c r="E44" s="11"/>
      <c r="F44" t="s">
        <v>99</v>
      </c>
      <c r="G44" s="11"/>
    </row>
    <row r="45" spans="1:7" x14ac:dyDescent="0.25">
      <c r="A45">
        <v>44</v>
      </c>
      <c r="B45" s="11" t="s">
        <v>100</v>
      </c>
      <c r="C45" s="11" t="s">
        <v>6</v>
      </c>
      <c r="D45" s="11" t="s">
        <v>100</v>
      </c>
      <c r="E45" s="11"/>
      <c r="G45" s="11"/>
    </row>
    <row r="46" spans="1:7" x14ac:dyDescent="0.25">
      <c r="A46">
        <v>45</v>
      </c>
      <c r="B46" s="11" t="s">
        <v>101</v>
      </c>
      <c r="C46" s="11" t="s">
        <v>6</v>
      </c>
      <c r="D46" s="11" t="s">
        <v>7</v>
      </c>
      <c r="E46" s="11"/>
      <c r="F46" t="s">
        <v>97</v>
      </c>
      <c r="G46" s="11"/>
    </row>
    <row r="47" spans="1:7" x14ac:dyDescent="0.25">
      <c r="A47">
        <v>46</v>
      </c>
      <c r="B47" s="11" t="s">
        <v>102</v>
      </c>
      <c r="C47" s="11" t="s">
        <v>6</v>
      </c>
      <c r="D47" s="11" t="s">
        <v>7</v>
      </c>
      <c r="E47" s="11"/>
      <c r="F47" t="s">
        <v>99</v>
      </c>
      <c r="G47" s="11"/>
    </row>
    <row r="48" spans="1:7" x14ac:dyDescent="0.25">
      <c r="A48">
        <v>47</v>
      </c>
      <c r="B48" s="11" t="s">
        <v>103</v>
      </c>
      <c r="C48" s="11" t="s">
        <v>6</v>
      </c>
      <c r="D48" s="11" t="s">
        <v>7</v>
      </c>
      <c r="E48" s="11"/>
      <c r="F48" t="s">
        <v>104</v>
      </c>
      <c r="G48" s="11"/>
    </row>
    <row r="49" spans="1:7" x14ac:dyDescent="0.25">
      <c r="A49">
        <v>48</v>
      </c>
      <c r="B49" s="11" t="s">
        <v>105</v>
      </c>
      <c r="C49" s="11" t="s">
        <v>6</v>
      </c>
      <c r="D49" s="11" t="s">
        <v>105</v>
      </c>
      <c r="E49" s="11"/>
      <c r="G49" s="11"/>
    </row>
    <row r="50" spans="1:7" x14ac:dyDescent="0.25">
      <c r="A50">
        <v>49</v>
      </c>
      <c r="B50" s="11" t="s">
        <v>106</v>
      </c>
      <c r="C50" s="11" t="s">
        <v>6</v>
      </c>
      <c r="D50" s="11" t="s">
        <v>106</v>
      </c>
      <c r="E50" s="11"/>
      <c r="G50" s="11"/>
    </row>
    <row r="51" spans="1:7" x14ac:dyDescent="0.25">
      <c r="A51">
        <v>50</v>
      </c>
      <c r="B51" s="11" t="s">
        <v>107</v>
      </c>
      <c r="C51" s="11" t="s">
        <v>6</v>
      </c>
      <c r="D51" s="11" t="s">
        <v>12</v>
      </c>
      <c r="E51" s="11"/>
      <c r="F51" t="s">
        <v>97</v>
      </c>
      <c r="G51" s="11"/>
    </row>
    <row r="52" spans="1:7" x14ac:dyDescent="0.25">
      <c r="A52">
        <v>51</v>
      </c>
      <c r="B52" s="11" t="s">
        <v>108</v>
      </c>
      <c r="C52" s="11" t="s">
        <v>6</v>
      </c>
      <c r="D52" s="11" t="s">
        <v>12</v>
      </c>
      <c r="E52" s="11"/>
      <c r="F52" t="s">
        <v>99</v>
      </c>
      <c r="G52" s="11"/>
    </row>
    <row r="53" spans="1:7" x14ac:dyDescent="0.25">
      <c r="A53">
        <v>52</v>
      </c>
      <c r="B53" s="11" t="s">
        <v>109</v>
      </c>
      <c r="C53" s="11" t="s">
        <v>6</v>
      </c>
      <c r="D53" s="11" t="s">
        <v>109</v>
      </c>
      <c r="E53" s="11"/>
      <c r="G53" s="1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E6DAE-13D2-4495-86D2-AE04D903ADF5}">
  <sheetPr codeName="Sheet9"/>
  <dimension ref="A1:Q2"/>
  <sheetViews>
    <sheetView workbookViewId="0">
      <selection activeCell="G28" sqref="G28"/>
    </sheetView>
  </sheetViews>
  <sheetFormatPr defaultRowHeight="15" x14ac:dyDescent="0.25"/>
  <cols>
    <col min="1" max="1" width="4.85546875" bestFit="1" customWidth="1"/>
    <col min="2" max="2" width="17.85546875" bestFit="1" customWidth="1"/>
    <col min="3" max="3" width="10.7109375" bestFit="1" customWidth="1"/>
    <col min="4" max="9" width="10.5703125" bestFit="1" customWidth="1"/>
    <col min="10" max="17" width="11.5703125" bestFit="1" customWidth="1"/>
  </cols>
  <sheetData>
    <row r="1" spans="1:17" x14ac:dyDescent="0.25">
      <c r="A1" t="s">
        <v>0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36</v>
      </c>
      <c r="P1" t="s">
        <v>37</v>
      </c>
      <c r="Q1" t="s">
        <v>38</v>
      </c>
    </row>
    <row r="2" spans="1:17" x14ac:dyDescent="0.25">
      <c r="B2" t="s">
        <v>39</v>
      </c>
      <c r="C2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C2D70-0844-487E-9907-3C13732DA091}">
  <sheetPr codeName="Sheet10"/>
  <dimension ref="A1:G63"/>
  <sheetViews>
    <sheetView topLeftCell="A46" workbookViewId="0">
      <selection activeCell="E5" sqref="E5"/>
    </sheetView>
  </sheetViews>
  <sheetFormatPr defaultRowHeight="15" x14ac:dyDescent="0.25"/>
  <cols>
    <col min="1" max="1" width="4.85546875" bestFit="1" customWidth="1"/>
    <col min="2" max="2" width="26.28515625" bestFit="1" customWidth="1"/>
    <col min="3" max="3" width="7.5703125" bestFit="1" customWidth="1"/>
    <col min="4" max="4" width="9" bestFit="1" customWidth="1"/>
    <col min="5" max="5" width="14" bestFit="1" customWidth="1"/>
    <col min="6" max="6" width="13.28515625" bestFit="1" customWidth="1"/>
    <col min="7" max="7" width="8.1406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</v>
      </c>
      <c r="G1" t="s">
        <v>5</v>
      </c>
    </row>
    <row r="2" spans="1:7" x14ac:dyDescent="0.25">
      <c r="A2">
        <v>1</v>
      </c>
      <c r="B2" t="s">
        <v>55</v>
      </c>
      <c r="C2" t="s">
        <v>6</v>
      </c>
      <c r="D2" t="s">
        <v>7</v>
      </c>
      <c r="F2" t="s">
        <v>41</v>
      </c>
      <c r="G2" t="s">
        <v>49</v>
      </c>
    </row>
    <row r="3" spans="1:7" x14ac:dyDescent="0.25">
      <c r="A3">
        <v>2</v>
      </c>
      <c r="B3" t="s">
        <v>56</v>
      </c>
      <c r="C3" t="s">
        <v>6</v>
      </c>
      <c r="D3" t="s">
        <v>7</v>
      </c>
      <c r="F3" t="s">
        <v>41</v>
      </c>
      <c r="G3" t="s">
        <v>42</v>
      </c>
    </row>
    <row r="4" spans="1:7" x14ac:dyDescent="0.25">
      <c r="A4">
        <v>3</v>
      </c>
      <c r="B4" t="s">
        <v>57</v>
      </c>
      <c r="C4" t="s">
        <v>6</v>
      </c>
      <c r="D4" t="s">
        <v>7</v>
      </c>
      <c r="F4" t="s">
        <v>41</v>
      </c>
      <c r="G4" t="s">
        <v>43</v>
      </c>
    </row>
    <row r="5" spans="1:7" x14ac:dyDescent="0.25">
      <c r="A5">
        <v>4</v>
      </c>
      <c r="B5" t="s">
        <v>44</v>
      </c>
      <c r="C5" t="s">
        <v>6</v>
      </c>
      <c r="D5" t="s">
        <v>8</v>
      </c>
      <c r="F5" t="s">
        <v>41</v>
      </c>
      <c r="G5" t="s">
        <v>42</v>
      </c>
    </row>
    <row r="6" spans="1:7" x14ac:dyDescent="0.25">
      <c r="A6">
        <v>5</v>
      </c>
      <c r="B6" t="s">
        <v>58</v>
      </c>
      <c r="C6" t="s">
        <v>6</v>
      </c>
      <c r="D6" t="s">
        <v>8</v>
      </c>
      <c r="F6" t="s">
        <v>41</v>
      </c>
      <c r="G6" t="s">
        <v>43</v>
      </c>
    </row>
    <row r="7" spans="1:7" x14ac:dyDescent="0.25">
      <c r="A7">
        <v>6</v>
      </c>
      <c r="B7" t="s">
        <v>59</v>
      </c>
      <c r="C7" t="s">
        <v>6</v>
      </c>
      <c r="D7" t="s">
        <v>60</v>
      </c>
      <c r="F7" t="s">
        <v>41</v>
      </c>
      <c r="G7" t="s">
        <v>42</v>
      </c>
    </row>
    <row r="8" spans="1:7" x14ac:dyDescent="0.25">
      <c r="A8">
        <v>7</v>
      </c>
      <c r="B8" t="s">
        <v>61</v>
      </c>
      <c r="C8" t="s">
        <v>6</v>
      </c>
      <c r="D8" t="s">
        <v>12</v>
      </c>
      <c r="F8" t="s">
        <v>41</v>
      </c>
      <c r="G8" t="s">
        <v>42</v>
      </c>
    </row>
    <row r="9" spans="1:7" x14ac:dyDescent="0.25">
      <c r="A9">
        <v>8</v>
      </c>
      <c r="B9" t="s">
        <v>62</v>
      </c>
      <c r="C9" t="s">
        <v>6</v>
      </c>
      <c r="D9" t="s">
        <v>12</v>
      </c>
      <c r="F9" t="s">
        <v>41</v>
      </c>
      <c r="G9" t="s">
        <v>43</v>
      </c>
    </row>
    <row r="10" spans="1:7" x14ac:dyDescent="0.25">
      <c r="A10">
        <v>9</v>
      </c>
      <c r="B10" t="s">
        <v>147</v>
      </c>
      <c r="C10" t="s">
        <v>6</v>
      </c>
      <c r="D10" t="s">
        <v>10</v>
      </c>
      <c r="F10" t="s">
        <v>41</v>
      </c>
      <c r="G10" t="s">
        <v>42</v>
      </c>
    </row>
    <row r="11" spans="1:7" x14ac:dyDescent="0.25">
      <c r="A11">
        <v>10</v>
      </c>
      <c r="B11" t="s">
        <v>148</v>
      </c>
      <c r="C11" t="s">
        <v>6</v>
      </c>
      <c r="D11" t="s">
        <v>11</v>
      </c>
      <c r="F11" t="s">
        <v>41</v>
      </c>
      <c r="G11" t="s">
        <v>42</v>
      </c>
    </row>
    <row r="12" spans="1:7" x14ac:dyDescent="0.25">
      <c r="A12">
        <v>11</v>
      </c>
      <c r="B12" t="s">
        <v>149</v>
      </c>
      <c r="C12" t="s">
        <v>6</v>
      </c>
      <c r="D12" t="s">
        <v>11</v>
      </c>
      <c r="F12" t="s">
        <v>41</v>
      </c>
      <c r="G12" t="s">
        <v>43</v>
      </c>
    </row>
    <row r="13" spans="1:7" x14ac:dyDescent="0.25">
      <c r="A13">
        <v>12</v>
      </c>
      <c r="B13" t="s">
        <v>45</v>
      </c>
      <c r="C13" t="s">
        <v>6</v>
      </c>
      <c r="D13" t="s">
        <v>8</v>
      </c>
      <c r="F13" t="s">
        <v>46</v>
      </c>
      <c r="G13" t="s">
        <v>42</v>
      </c>
    </row>
    <row r="14" spans="1:7" x14ac:dyDescent="0.25">
      <c r="A14">
        <v>13</v>
      </c>
      <c r="B14" t="s">
        <v>63</v>
      </c>
      <c r="C14" t="s">
        <v>6</v>
      </c>
      <c r="D14" t="s">
        <v>8</v>
      </c>
      <c r="F14" t="s">
        <v>46</v>
      </c>
      <c r="G14" t="s">
        <v>43</v>
      </c>
    </row>
    <row r="15" spans="1:7" x14ac:dyDescent="0.25">
      <c r="A15">
        <v>14</v>
      </c>
      <c r="B15" t="s">
        <v>64</v>
      </c>
      <c r="C15" t="s">
        <v>6</v>
      </c>
      <c r="D15" t="s">
        <v>7</v>
      </c>
      <c r="F15" t="s">
        <v>46</v>
      </c>
      <c r="G15" t="s">
        <v>42</v>
      </c>
    </row>
    <row r="16" spans="1:7" x14ac:dyDescent="0.25">
      <c r="A16">
        <v>15</v>
      </c>
      <c r="B16" t="s">
        <v>65</v>
      </c>
      <c r="C16" t="s">
        <v>6</v>
      </c>
      <c r="D16" t="s">
        <v>7</v>
      </c>
      <c r="F16" t="s">
        <v>46</v>
      </c>
      <c r="G16" t="s">
        <v>43</v>
      </c>
    </row>
    <row r="17" spans="1:7" x14ac:dyDescent="0.25">
      <c r="A17">
        <v>16</v>
      </c>
      <c r="B17" t="s">
        <v>66</v>
      </c>
      <c r="C17" t="s">
        <v>6</v>
      </c>
      <c r="D17" t="s">
        <v>10</v>
      </c>
      <c r="F17" t="s">
        <v>46</v>
      </c>
      <c r="G17" t="s">
        <v>43</v>
      </c>
    </row>
    <row r="18" spans="1:7" x14ac:dyDescent="0.25">
      <c r="A18">
        <v>17</v>
      </c>
      <c r="B18" t="s">
        <v>67</v>
      </c>
      <c r="C18" t="s">
        <v>6</v>
      </c>
      <c r="D18" t="s">
        <v>10</v>
      </c>
      <c r="F18" t="s">
        <v>46</v>
      </c>
      <c r="G18" t="s">
        <v>42</v>
      </c>
    </row>
    <row r="19" spans="1:7" x14ac:dyDescent="0.25">
      <c r="A19">
        <v>18</v>
      </c>
      <c r="B19" t="s">
        <v>68</v>
      </c>
      <c r="C19" t="s">
        <v>6</v>
      </c>
      <c r="D19" t="s">
        <v>12</v>
      </c>
      <c r="F19" t="s">
        <v>46</v>
      </c>
      <c r="G19" t="s">
        <v>42</v>
      </c>
    </row>
    <row r="20" spans="1:7" x14ac:dyDescent="0.25">
      <c r="A20">
        <v>19</v>
      </c>
      <c r="B20" t="s">
        <v>69</v>
      </c>
      <c r="C20" t="s">
        <v>6</v>
      </c>
      <c r="D20" t="s">
        <v>60</v>
      </c>
      <c r="F20" t="s">
        <v>46</v>
      </c>
      <c r="G20" t="s">
        <v>43</v>
      </c>
    </row>
    <row r="21" spans="1:7" x14ac:dyDescent="0.25">
      <c r="A21">
        <v>20</v>
      </c>
      <c r="B21" t="s">
        <v>70</v>
      </c>
      <c r="C21" t="s">
        <v>6</v>
      </c>
      <c r="D21" t="s">
        <v>7</v>
      </c>
      <c r="F21" t="s">
        <v>48</v>
      </c>
      <c r="G21" t="s">
        <v>42</v>
      </c>
    </row>
    <row r="22" spans="1:7" x14ac:dyDescent="0.25">
      <c r="A22">
        <v>21</v>
      </c>
      <c r="B22" t="s">
        <v>71</v>
      </c>
      <c r="C22" t="s">
        <v>6</v>
      </c>
      <c r="D22" t="s">
        <v>8</v>
      </c>
      <c r="F22" t="s">
        <v>48</v>
      </c>
      <c r="G22" t="s">
        <v>49</v>
      </c>
    </row>
    <row r="23" spans="1:7" x14ac:dyDescent="0.25">
      <c r="A23">
        <v>22</v>
      </c>
      <c r="B23" t="s">
        <v>47</v>
      </c>
      <c r="C23" t="s">
        <v>6</v>
      </c>
      <c r="D23" t="s">
        <v>8</v>
      </c>
      <c r="F23" t="s">
        <v>48</v>
      </c>
      <c r="G23" t="s">
        <v>42</v>
      </c>
    </row>
    <row r="24" spans="1:7" x14ac:dyDescent="0.25">
      <c r="A24">
        <v>23</v>
      </c>
      <c r="B24" t="s">
        <v>72</v>
      </c>
      <c r="C24" t="s">
        <v>6</v>
      </c>
      <c r="D24" t="s">
        <v>8</v>
      </c>
      <c r="F24" t="s">
        <v>48</v>
      </c>
      <c r="G24" t="s">
        <v>43</v>
      </c>
    </row>
    <row r="25" spans="1:7" x14ac:dyDescent="0.25">
      <c r="A25">
        <v>24</v>
      </c>
      <c r="B25" t="s">
        <v>73</v>
      </c>
      <c r="C25" t="s">
        <v>6</v>
      </c>
      <c r="D25" t="s">
        <v>8</v>
      </c>
      <c r="F25" t="s">
        <v>48</v>
      </c>
      <c r="G25" t="s">
        <v>74</v>
      </c>
    </row>
    <row r="26" spans="1:7" x14ac:dyDescent="0.25">
      <c r="A26">
        <v>25</v>
      </c>
      <c r="B26" t="s">
        <v>75</v>
      </c>
      <c r="C26" t="s">
        <v>6</v>
      </c>
      <c r="D26" t="s">
        <v>8</v>
      </c>
      <c r="F26" t="s">
        <v>48</v>
      </c>
      <c r="G26" t="s">
        <v>76</v>
      </c>
    </row>
    <row r="27" spans="1:7" x14ac:dyDescent="0.25">
      <c r="A27">
        <v>26</v>
      </c>
      <c r="B27" t="s">
        <v>77</v>
      </c>
      <c r="C27" t="s">
        <v>6</v>
      </c>
      <c r="D27" t="s">
        <v>10</v>
      </c>
      <c r="F27" t="s">
        <v>48</v>
      </c>
      <c r="G27" t="s">
        <v>49</v>
      </c>
    </row>
    <row r="28" spans="1:7" x14ac:dyDescent="0.25">
      <c r="A28">
        <v>27</v>
      </c>
      <c r="B28" t="s">
        <v>78</v>
      </c>
      <c r="C28" t="s">
        <v>6</v>
      </c>
      <c r="D28" t="s">
        <v>10</v>
      </c>
      <c r="F28" t="s">
        <v>48</v>
      </c>
      <c r="G28" t="s">
        <v>42</v>
      </c>
    </row>
    <row r="29" spans="1:7" x14ac:dyDescent="0.25">
      <c r="A29">
        <v>28</v>
      </c>
      <c r="B29" t="s">
        <v>79</v>
      </c>
      <c r="C29" t="s">
        <v>6</v>
      </c>
      <c r="D29" t="s">
        <v>11</v>
      </c>
      <c r="F29" t="s">
        <v>48</v>
      </c>
      <c r="G29" t="s">
        <v>49</v>
      </c>
    </row>
    <row r="30" spans="1:7" x14ac:dyDescent="0.25">
      <c r="A30">
        <v>29</v>
      </c>
      <c r="B30" t="s">
        <v>80</v>
      </c>
      <c r="C30" t="s">
        <v>6</v>
      </c>
      <c r="D30" t="s">
        <v>12</v>
      </c>
      <c r="F30" t="s">
        <v>48</v>
      </c>
      <c r="G30" t="s">
        <v>42</v>
      </c>
    </row>
    <row r="31" spans="1:7" x14ac:dyDescent="0.25">
      <c r="A31">
        <v>30</v>
      </c>
      <c r="B31" t="s">
        <v>81</v>
      </c>
      <c r="C31" t="s">
        <v>6</v>
      </c>
      <c r="D31" t="s">
        <v>7</v>
      </c>
      <c r="F31" t="s">
        <v>82</v>
      </c>
      <c r="G31" t="s">
        <v>42</v>
      </c>
    </row>
    <row r="32" spans="1:7" x14ac:dyDescent="0.25">
      <c r="A32">
        <v>31</v>
      </c>
      <c r="B32" t="s">
        <v>83</v>
      </c>
      <c r="C32" t="s">
        <v>6</v>
      </c>
      <c r="D32" t="s">
        <v>7</v>
      </c>
      <c r="F32" t="s">
        <v>82</v>
      </c>
      <c r="G32" t="s">
        <v>43</v>
      </c>
    </row>
    <row r="33" spans="1:7" x14ac:dyDescent="0.25">
      <c r="A33">
        <v>32</v>
      </c>
      <c r="B33" t="s">
        <v>84</v>
      </c>
      <c r="C33" t="s">
        <v>6</v>
      </c>
      <c r="D33" t="s">
        <v>7</v>
      </c>
      <c r="F33" t="s">
        <v>82</v>
      </c>
      <c r="G33" t="s">
        <v>50</v>
      </c>
    </row>
    <row r="34" spans="1:7" x14ac:dyDescent="0.25">
      <c r="A34">
        <v>33</v>
      </c>
      <c r="B34" t="s">
        <v>85</v>
      </c>
      <c r="C34" t="s">
        <v>6</v>
      </c>
      <c r="D34" t="s">
        <v>10</v>
      </c>
      <c r="F34" t="s">
        <v>82</v>
      </c>
      <c r="G34" t="s">
        <v>42</v>
      </c>
    </row>
    <row r="35" spans="1:7" x14ac:dyDescent="0.25">
      <c r="A35">
        <v>34</v>
      </c>
      <c r="B35" t="s">
        <v>86</v>
      </c>
      <c r="C35" t="s">
        <v>6</v>
      </c>
      <c r="D35" t="s">
        <v>10</v>
      </c>
      <c r="F35" t="s">
        <v>82</v>
      </c>
      <c r="G35" t="s">
        <v>43</v>
      </c>
    </row>
    <row r="36" spans="1:7" x14ac:dyDescent="0.25">
      <c r="A36">
        <v>35</v>
      </c>
      <c r="B36" t="s">
        <v>87</v>
      </c>
      <c r="C36" t="s">
        <v>6</v>
      </c>
      <c r="D36" t="s">
        <v>12</v>
      </c>
      <c r="F36" t="s">
        <v>82</v>
      </c>
      <c r="G36" t="s">
        <v>42</v>
      </c>
    </row>
    <row r="37" spans="1:7" x14ac:dyDescent="0.25">
      <c r="A37">
        <v>36</v>
      </c>
      <c r="B37" t="s">
        <v>88</v>
      </c>
      <c r="C37" t="s">
        <v>6</v>
      </c>
      <c r="D37" t="s">
        <v>12</v>
      </c>
      <c r="F37" t="s">
        <v>82</v>
      </c>
      <c r="G37" t="s">
        <v>43</v>
      </c>
    </row>
    <row r="38" spans="1:7" x14ac:dyDescent="0.25">
      <c r="A38">
        <v>37</v>
      </c>
      <c r="B38" t="s">
        <v>89</v>
      </c>
      <c r="C38" t="s">
        <v>6</v>
      </c>
      <c r="D38" t="s">
        <v>12</v>
      </c>
      <c r="F38" t="s">
        <v>82</v>
      </c>
      <c r="G38" t="s">
        <v>90</v>
      </c>
    </row>
    <row r="39" spans="1:7" x14ac:dyDescent="0.25">
      <c r="A39">
        <v>38</v>
      </c>
      <c r="B39" t="s">
        <v>91</v>
      </c>
      <c r="C39" t="s">
        <v>6</v>
      </c>
      <c r="D39" t="s">
        <v>8</v>
      </c>
      <c r="F39" t="s">
        <v>82</v>
      </c>
      <c r="G39" t="s">
        <v>43</v>
      </c>
    </row>
    <row r="40" spans="1:7" x14ac:dyDescent="0.25">
      <c r="A40">
        <v>39</v>
      </c>
      <c r="B40" t="s">
        <v>92</v>
      </c>
      <c r="C40" t="s">
        <v>6</v>
      </c>
      <c r="D40" t="s">
        <v>8</v>
      </c>
      <c r="F40" t="s">
        <v>82</v>
      </c>
      <c r="G40" t="s">
        <v>90</v>
      </c>
    </row>
    <row r="41" spans="1:7" x14ac:dyDescent="0.25">
      <c r="A41">
        <v>40</v>
      </c>
      <c r="B41" t="s">
        <v>93</v>
      </c>
      <c r="C41" t="s">
        <v>6</v>
      </c>
      <c r="D41" t="s">
        <v>11</v>
      </c>
      <c r="F41" t="s">
        <v>82</v>
      </c>
      <c r="G41" t="s">
        <v>43</v>
      </c>
    </row>
    <row r="42" spans="1:7" x14ac:dyDescent="0.25">
      <c r="A42">
        <v>41</v>
      </c>
      <c r="B42" t="s">
        <v>94</v>
      </c>
      <c r="C42" t="s">
        <v>6</v>
      </c>
      <c r="D42" t="s">
        <v>60</v>
      </c>
      <c r="F42" t="s">
        <v>82</v>
      </c>
      <c r="G42" t="s">
        <v>43</v>
      </c>
    </row>
    <row r="43" spans="1:7" x14ac:dyDescent="0.25">
      <c r="A43">
        <v>42</v>
      </c>
      <c r="B43" t="s">
        <v>95</v>
      </c>
      <c r="C43" t="s">
        <v>6</v>
      </c>
      <c r="D43" t="s">
        <v>96</v>
      </c>
      <c r="F43" t="s">
        <v>97</v>
      </c>
    </row>
    <row r="44" spans="1:7" x14ac:dyDescent="0.25">
      <c r="A44">
        <v>43</v>
      </c>
      <c r="B44" t="s">
        <v>98</v>
      </c>
      <c r="C44" t="s">
        <v>6</v>
      </c>
      <c r="D44" t="s">
        <v>96</v>
      </c>
      <c r="F44" t="s">
        <v>99</v>
      </c>
    </row>
    <row r="45" spans="1:7" x14ac:dyDescent="0.25">
      <c r="A45">
        <v>44</v>
      </c>
      <c r="B45" t="s">
        <v>100</v>
      </c>
      <c r="C45" t="s">
        <v>6</v>
      </c>
      <c r="D45" t="s">
        <v>100</v>
      </c>
    </row>
    <row r="46" spans="1:7" x14ac:dyDescent="0.25">
      <c r="A46">
        <v>45</v>
      </c>
      <c r="B46" t="s">
        <v>101</v>
      </c>
      <c r="C46" t="s">
        <v>6</v>
      </c>
      <c r="D46" t="s">
        <v>7</v>
      </c>
      <c r="F46" t="s">
        <v>97</v>
      </c>
    </row>
    <row r="47" spans="1:7" x14ac:dyDescent="0.25">
      <c r="A47">
        <v>46</v>
      </c>
      <c r="B47" t="s">
        <v>102</v>
      </c>
      <c r="C47" t="s">
        <v>6</v>
      </c>
      <c r="D47" t="s">
        <v>7</v>
      </c>
      <c r="F47" t="s">
        <v>99</v>
      </c>
    </row>
    <row r="48" spans="1:7" x14ac:dyDescent="0.25">
      <c r="A48">
        <v>47</v>
      </c>
      <c r="B48" t="s">
        <v>103</v>
      </c>
      <c r="C48" t="s">
        <v>6</v>
      </c>
      <c r="D48" t="s">
        <v>7</v>
      </c>
      <c r="F48" t="s">
        <v>104</v>
      </c>
    </row>
    <row r="49" spans="1:7" x14ac:dyDescent="0.25">
      <c r="A49">
        <v>48</v>
      </c>
      <c r="B49" t="s">
        <v>105</v>
      </c>
      <c r="C49" t="s">
        <v>6</v>
      </c>
      <c r="D49" t="s">
        <v>105</v>
      </c>
    </row>
    <row r="50" spans="1:7" x14ac:dyDescent="0.25">
      <c r="A50">
        <v>49</v>
      </c>
      <c r="B50" t="s">
        <v>106</v>
      </c>
      <c r="C50" t="s">
        <v>6</v>
      </c>
      <c r="D50" t="s">
        <v>106</v>
      </c>
    </row>
    <row r="51" spans="1:7" x14ac:dyDescent="0.25">
      <c r="A51">
        <v>50</v>
      </c>
      <c r="B51" t="s">
        <v>107</v>
      </c>
      <c r="C51" t="s">
        <v>6</v>
      </c>
      <c r="D51" t="s">
        <v>12</v>
      </c>
      <c r="F51" t="s">
        <v>97</v>
      </c>
    </row>
    <row r="52" spans="1:7" x14ac:dyDescent="0.25">
      <c r="A52">
        <v>51</v>
      </c>
      <c r="B52" t="s">
        <v>108</v>
      </c>
      <c r="C52" t="s">
        <v>6</v>
      </c>
      <c r="D52" t="s">
        <v>12</v>
      </c>
      <c r="F52" t="s">
        <v>99</v>
      </c>
    </row>
    <row r="53" spans="1:7" x14ac:dyDescent="0.25">
      <c r="A53">
        <v>52</v>
      </c>
      <c r="B53" t="s">
        <v>109</v>
      </c>
      <c r="C53" t="s">
        <v>6</v>
      </c>
      <c r="D53" t="s">
        <v>109</v>
      </c>
    </row>
    <row r="54" spans="1:7" x14ac:dyDescent="0.25">
      <c r="A54">
        <v>98</v>
      </c>
      <c r="B54" t="s">
        <v>110</v>
      </c>
      <c r="C54" t="s">
        <v>13</v>
      </c>
      <c r="E54" t="s">
        <v>111</v>
      </c>
      <c r="F54" t="s">
        <v>99</v>
      </c>
      <c r="G54" t="s">
        <v>112</v>
      </c>
    </row>
    <row r="55" spans="1:7" x14ac:dyDescent="0.25">
      <c r="A55">
        <v>99</v>
      </c>
      <c r="B55" t="s">
        <v>113</v>
      </c>
      <c r="C55" t="s">
        <v>13</v>
      </c>
      <c r="E55" t="s">
        <v>114</v>
      </c>
      <c r="F55" t="s">
        <v>115</v>
      </c>
    </row>
    <row r="56" spans="1:7" x14ac:dyDescent="0.25">
      <c r="A56">
        <v>100</v>
      </c>
      <c r="B56" t="s">
        <v>116</v>
      </c>
      <c r="C56" t="s">
        <v>13</v>
      </c>
      <c r="E56" t="s">
        <v>116</v>
      </c>
    </row>
    <row r="57" spans="1:7" x14ac:dyDescent="0.25">
      <c r="A57">
        <v>101</v>
      </c>
      <c r="B57" t="s">
        <v>117</v>
      </c>
      <c r="C57" t="s">
        <v>15</v>
      </c>
      <c r="E57" t="s">
        <v>117</v>
      </c>
    </row>
    <row r="58" spans="1:7" x14ac:dyDescent="0.25">
      <c r="A58">
        <v>102</v>
      </c>
      <c r="B58" t="s">
        <v>118</v>
      </c>
      <c r="C58" t="s">
        <v>15</v>
      </c>
      <c r="E58" t="s">
        <v>118</v>
      </c>
    </row>
    <row r="59" spans="1:7" x14ac:dyDescent="0.25">
      <c r="A59">
        <v>103</v>
      </c>
      <c r="B59" t="s">
        <v>119</v>
      </c>
      <c r="C59" t="s">
        <v>15</v>
      </c>
      <c r="E59" t="s">
        <v>119</v>
      </c>
    </row>
    <row r="60" spans="1:7" x14ac:dyDescent="0.25">
      <c r="A60">
        <v>104</v>
      </c>
      <c r="B60" t="s">
        <v>150</v>
      </c>
      <c r="C60" t="s">
        <v>15</v>
      </c>
      <c r="E60" t="s">
        <v>150</v>
      </c>
    </row>
    <row r="61" spans="1:7" x14ac:dyDescent="0.25">
      <c r="A61">
        <v>105</v>
      </c>
      <c r="B61" t="s">
        <v>120</v>
      </c>
      <c r="C61" t="s">
        <v>15</v>
      </c>
      <c r="E61" t="s">
        <v>120</v>
      </c>
    </row>
    <row r="62" spans="1:7" x14ac:dyDescent="0.25">
      <c r="A62">
        <v>106</v>
      </c>
      <c r="B62" t="s">
        <v>121</v>
      </c>
      <c r="C62" t="s">
        <v>15</v>
      </c>
      <c r="E62" t="s">
        <v>121</v>
      </c>
    </row>
    <row r="63" spans="1:7" x14ac:dyDescent="0.25">
      <c r="A63">
        <v>107</v>
      </c>
      <c r="B63" t="s">
        <v>122</v>
      </c>
      <c r="C63" t="s">
        <v>15</v>
      </c>
      <c r="E63" t="s">
        <v>122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758EB-2C08-46B6-8B8C-885746921152}">
  <dimension ref="A1:E6"/>
  <sheetViews>
    <sheetView workbookViewId="0">
      <selection activeCell="C3" sqref="C3"/>
    </sheetView>
  </sheetViews>
  <sheetFormatPr defaultRowHeight="15" x14ac:dyDescent="0.25"/>
  <cols>
    <col min="1" max="1" width="4.85546875" bestFit="1" customWidth="1"/>
    <col min="2" max="2" width="26.5703125" bestFit="1" customWidth="1"/>
    <col min="3" max="3" width="7.85546875" bestFit="1" customWidth="1"/>
    <col min="4" max="4" width="8.5703125" bestFit="1" customWidth="1"/>
    <col min="5" max="5" width="78.7109375" bestFit="1" customWidth="1"/>
    <col min="6" max="6" width="81.140625" customWidth="1"/>
    <col min="7" max="7" width="81.140625" bestFit="1" customWidth="1"/>
  </cols>
  <sheetData>
    <row r="1" spans="1:5" x14ac:dyDescent="0.25">
      <c r="A1" t="s">
        <v>0</v>
      </c>
      <c r="B1" t="s">
        <v>123</v>
      </c>
      <c r="C1" t="s">
        <v>151</v>
      </c>
      <c r="D1" t="s">
        <v>2</v>
      </c>
      <c r="E1" t="s">
        <v>21</v>
      </c>
    </row>
    <row r="2" spans="1:5" x14ac:dyDescent="0.25">
      <c r="A2">
        <v>1</v>
      </c>
      <c r="B2" t="s">
        <v>124</v>
      </c>
      <c r="D2" t="s">
        <v>152</v>
      </c>
      <c r="E2" t="s">
        <v>153</v>
      </c>
    </row>
    <row r="3" spans="1:5" x14ac:dyDescent="0.25">
      <c r="A3">
        <v>2</v>
      </c>
      <c r="B3" t="s">
        <v>125</v>
      </c>
      <c r="D3" t="s">
        <v>152</v>
      </c>
      <c r="E3" t="s">
        <v>138</v>
      </c>
    </row>
    <row r="4" spans="1:5" x14ac:dyDescent="0.25">
      <c r="A4">
        <v>3</v>
      </c>
      <c r="B4" t="s">
        <v>126</v>
      </c>
      <c r="D4" t="s">
        <v>152</v>
      </c>
      <c r="E4" t="s">
        <v>139</v>
      </c>
    </row>
    <row r="5" spans="1:5" x14ac:dyDescent="0.25">
      <c r="A5">
        <v>4</v>
      </c>
      <c r="B5" t="s">
        <v>127</v>
      </c>
      <c r="D5" t="s">
        <v>152</v>
      </c>
      <c r="E5" t="s">
        <v>140</v>
      </c>
    </row>
    <row r="6" spans="1:5" x14ac:dyDescent="0.25">
      <c r="A6">
        <v>5</v>
      </c>
      <c r="B6" t="s">
        <v>145</v>
      </c>
      <c r="C6">
        <v>2000</v>
      </c>
      <c r="D6" t="s">
        <v>154</v>
      </c>
      <c r="E6" t="s">
        <v>146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ADA27-3687-42C1-BBF8-6C327593732A}">
  <dimension ref="A1:L206"/>
  <sheetViews>
    <sheetView workbookViewId="0">
      <selection activeCell="B2" sqref="B2"/>
    </sheetView>
  </sheetViews>
  <sheetFormatPr defaultRowHeight="15" x14ac:dyDescent="0.25"/>
  <cols>
    <col min="1" max="1" width="4.85546875" bestFit="1" customWidth="1"/>
    <col min="2" max="2" width="26.28515625" bestFit="1" customWidth="1"/>
    <col min="3" max="3" width="15.85546875" bestFit="1" customWidth="1"/>
    <col min="4" max="4" width="26.28515625" bestFit="1" customWidth="1"/>
    <col min="5" max="6" width="18.28515625" bestFit="1" customWidth="1"/>
    <col min="7" max="8" width="16.5703125" bestFit="1" customWidth="1"/>
    <col min="9" max="9" width="17.28515625" bestFit="1" customWidth="1"/>
    <col min="10" max="11" width="21.42578125" bestFit="1" customWidth="1"/>
    <col min="12" max="12" width="11.5703125" bestFit="1" customWidth="1"/>
  </cols>
  <sheetData>
    <row r="1" spans="1:12" x14ac:dyDescent="0.25">
      <c r="A1" t="s">
        <v>0</v>
      </c>
      <c r="B1" t="s">
        <v>19</v>
      </c>
      <c r="C1" t="s">
        <v>20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</row>
    <row r="2" spans="1:12" x14ac:dyDescent="0.25">
      <c r="A2">
        <v>1</v>
      </c>
      <c r="B2" t="s">
        <v>55</v>
      </c>
      <c r="C2">
        <v>3990</v>
      </c>
      <c r="D2" t="s">
        <v>55</v>
      </c>
      <c r="E2" t="s">
        <v>155</v>
      </c>
      <c r="F2" t="s">
        <v>155</v>
      </c>
      <c r="G2" t="s">
        <v>155</v>
      </c>
      <c r="H2" t="s">
        <v>155</v>
      </c>
      <c r="I2" t="s">
        <v>155</v>
      </c>
      <c r="J2" t="s">
        <v>155</v>
      </c>
      <c r="K2" t="s">
        <v>155</v>
      </c>
    </row>
    <row r="3" spans="1:12" x14ac:dyDescent="0.25">
      <c r="A3">
        <v>2</v>
      </c>
      <c r="B3" t="s">
        <v>56</v>
      </c>
      <c r="C3">
        <v>3990</v>
      </c>
      <c r="D3" t="s">
        <v>56</v>
      </c>
      <c r="E3" t="s">
        <v>155</v>
      </c>
      <c r="F3" t="s">
        <v>155</v>
      </c>
      <c r="G3" t="s">
        <v>155</v>
      </c>
      <c r="H3" t="s">
        <v>155</v>
      </c>
      <c r="I3" t="s">
        <v>155</v>
      </c>
      <c r="J3" t="s">
        <v>155</v>
      </c>
      <c r="K3" t="s">
        <v>155</v>
      </c>
    </row>
    <row r="4" spans="1:12" x14ac:dyDescent="0.25">
      <c r="A4">
        <v>3</v>
      </c>
      <c r="B4" t="s">
        <v>57</v>
      </c>
      <c r="C4">
        <v>3990</v>
      </c>
      <c r="D4" t="s">
        <v>57</v>
      </c>
      <c r="E4" t="s">
        <v>155</v>
      </c>
      <c r="F4" t="s">
        <v>155</v>
      </c>
      <c r="G4" t="s">
        <v>155</v>
      </c>
      <c r="H4" t="s">
        <v>155</v>
      </c>
      <c r="I4" t="s">
        <v>155</v>
      </c>
      <c r="J4" t="s">
        <v>155</v>
      </c>
      <c r="K4" t="s">
        <v>155</v>
      </c>
    </row>
    <row r="5" spans="1:12" x14ac:dyDescent="0.25">
      <c r="A5">
        <v>4</v>
      </c>
      <c r="B5" t="s">
        <v>44</v>
      </c>
      <c r="C5">
        <v>3990</v>
      </c>
      <c r="D5" t="s">
        <v>44</v>
      </c>
      <c r="E5" t="s">
        <v>155</v>
      </c>
      <c r="F5" t="s">
        <v>155</v>
      </c>
      <c r="G5" t="s">
        <v>155</v>
      </c>
      <c r="H5" t="s">
        <v>155</v>
      </c>
      <c r="I5" t="s">
        <v>155</v>
      </c>
      <c r="J5" t="s">
        <v>155</v>
      </c>
      <c r="K5" t="s">
        <v>155</v>
      </c>
    </row>
    <row r="6" spans="1:12" x14ac:dyDescent="0.25">
      <c r="A6">
        <v>5</v>
      </c>
      <c r="B6" t="s">
        <v>58</v>
      </c>
      <c r="C6">
        <v>3990</v>
      </c>
      <c r="D6" t="s">
        <v>58</v>
      </c>
      <c r="E6" t="s">
        <v>155</v>
      </c>
      <c r="F6" t="s">
        <v>155</v>
      </c>
      <c r="G6" t="s">
        <v>155</v>
      </c>
      <c r="H6" t="s">
        <v>155</v>
      </c>
      <c r="I6" t="s">
        <v>155</v>
      </c>
      <c r="J6" t="s">
        <v>155</v>
      </c>
      <c r="K6" t="s">
        <v>155</v>
      </c>
    </row>
    <row r="7" spans="1:12" x14ac:dyDescent="0.25">
      <c r="A7">
        <v>6</v>
      </c>
      <c r="B7" t="s">
        <v>59</v>
      </c>
      <c r="C7">
        <v>3990</v>
      </c>
      <c r="D7" t="s">
        <v>59</v>
      </c>
      <c r="E7" t="s">
        <v>155</v>
      </c>
      <c r="F7" t="s">
        <v>155</v>
      </c>
      <c r="G7" t="s">
        <v>155</v>
      </c>
      <c r="H7" t="s">
        <v>155</v>
      </c>
      <c r="I7" t="s">
        <v>155</v>
      </c>
      <c r="J7" t="s">
        <v>155</v>
      </c>
      <c r="K7" t="s">
        <v>155</v>
      </c>
    </row>
    <row r="8" spans="1:12" x14ac:dyDescent="0.25">
      <c r="A8">
        <v>7</v>
      </c>
      <c r="B8" t="s">
        <v>61</v>
      </c>
      <c r="C8">
        <v>3990</v>
      </c>
      <c r="D8" t="s">
        <v>61</v>
      </c>
      <c r="E8" t="s">
        <v>155</v>
      </c>
      <c r="F8" t="s">
        <v>155</v>
      </c>
      <c r="G8" t="s">
        <v>155</v>
      </c>
      <c r="H8" t="s">
        <v>155</v>
      </c>
      <c r="I8" t="s">
        <v>155</v>
      </c>
      <c r="J8" t="s">
        <v>155</v>
      </c>
      <c r="K8" t="s">
        <v>155</v>
      </c>
    </row>
    <row r="9" spans="1:12" x14ac:dyDescent="0.25">
      <c r="A9">
        <v>8</v>
      </c>
      <c r="B9" t="s">
        <v>62</v>
      </c>
      <c r="C9">
        <v>3990</v>
      </c>
      <c r="D9" t="s">
        <v>62</v>
      </c>
      <c r="E9" t="s">
        <v>155</v>
      </c>
      <c r="F9" t="s">
        <v>155</v>
      </c>
      <c r="G9" t="s">
        <v>155</v>
      </c>
      <c r="H9" t="s">
        <v>155</v>
      </c>
      <c r="I9" t="s">
        <v>155</v>
      </c>
      <c r="J9" t="s">
        <v>155</v>
      </c>
      <c r="K9" t="s">
        <v>155</v>
      </c>
    </row>
    <row r="10" spans="1:12" x14ac:dyDescent="0.25">
      <c r="A10">
        <v>9</v>
      </c>
      <c r="B10" t="s">
        <v>45</v>
      </c>
      <c r="C10">
        <v>3990</v>
      </c>
      <c r="D10" t="s">
        <v>45</v>
      </c>
      <c r="E10" t="s">
        <v>155</v>
      </c>
      <c r="F10" t="s">
        <v>155</v>
      </c>
      <c r="G10" t="s">
        <v>155</v>
      </c>
      <c r="H10" t="s">
        <v>155</v>
      </c>
      <c r="I10" t="s">
        <v>155</v>
      </c>
      <c r="J10" t="s">
        <v>155</v>
      </c>
      <c r="K10" t="s">
        <v>155</v>
      </c>
    </row>
    <row r="11" spans="1:12" x14ac:dyDescent="0.25">
      <c r="A11">
        <v>10</v>
      </c>
      <c r="B11" t="s">
        <v>63</v>
      </c>
      <c r="C11">
        <v>3990</v>
      </c>
      <c r="D11" t="s">
        <v>63</v>
      </c>
      <c r="E11" t="s">
        <v>155</v>
      </c>
      <c r="F11" t="s">
        <v>155</v>
      </c>
      <c r="G11" t="s">
        <v>155</v>
      </c>
      <c r="H11" t="s">
        <v>155</v>
      </c>
      <c r="I11" t="s">
        <v>155</v>
      </c>
      <c r="J11" t="s">
        <v>155</v>
      </c>
      <c r="K11" t="s">
        <v>155</v>
      </c>
    </row>
    <row r="12" spans="1:12" x14ac:dyDescent="0.25">
      <c r="A12">
        <v>11</v>
      </c>
      <c r="B12" t="s">
        <v>64</v>
      </c>
      <c r="C12">
        <v>3990</v>
      </c>
      <c r="D12" t="s">
        <v>64</v>
      </c>
      <c r="E12" t="s">
        <v>155</v>
      </c>
      <c r="F12" t="s">
        <v>155</v>
      </c>
      <c r="G12" t="s">
        <v>155</v>
      </c>
      <c r="H12" t="s">
        <v>155</v>
      </c>
      <c r="I12" t="s">
        <v>155</v>
      </c>
      <c r="J12" t="s">
        <v>155</v>
      </c>
      <c r="K12" t="s">
        <v>155</v>
      </c>
    </row>
    <row r="13" spans="1:12" x14ac:dyDescent="0.25">
      <c r="A13">
        <v>12</v>
      </c>
      <c r="B13" t="s">
        <v>65</v>
      </c>
      <c r="C13">
        <v>3990</v>
      </c>
      <c r="D13" t="s">
        <v>65</v>
      </c>
      <c r="E13" t="s">
        <v>155</v>
      </c>
      <c r="F13" t="s">
        <v>155</v>
      </c>
      <c r="G13" t="s">
        <v>155</v>
      </c>
      <c r="H13" t="s">
        <v>155</v>
      </c>
      <c r="I13" t="s">
        <v>155</v>
      </c>
      <c r="J13" t="s">
        <v>155</v>
      </c>
      <c r="K13" t="s">
        <v>155</v>
      </c>
    </row>
    <row r="14" spans="1:12" x14ac:dyDescent="0.25">
      <c r="A14">
        <v>13</v>
      </c>
      <c r="B14" t="s">
        <v>66</v>
      </c>
      <c r="C14">
        <v>3990</v>
      </c>
      <c r="D14" t="s">
        <v>66</v>
      </c>
      <c r="E14" t="s">
        <v>155</v>
      </c>
      <c r="F14" t="s">
        <v>155</v>
      </c>
      <c r="G14" t="s">
        <v>155</v>
      </c>
      <c r="H14" t="s">
        <v>155</v>
      </c>
      <c r="I14" t="s">
        <v>155</v>
      </c>
      <c r="J14" t="s">
        <v>155</v>
      </c>
      <c r="K14" t="s">
        <v>155</v>
      </c>
    </row>
    <row r="15" spans="1:12" x14ac:dyDescent="0.25">
      <c r="A15">
        <v>14</v>
      </c>
      <c r="B15" t="s">
        <v>67</v>
      </c>
      <c r="C15">
        <v>3990</v>
      </c>
      <c r="D15" t="s">
        <v>67</v>
      </c>
      <c r="E15" t="s">
        <v>155</v>
      </c>
      <c r="F15" t="s">
        <v>155</v>
      </c>
      <c r="G15" t="s">
        <v>155</v>
      </c>
      <c r="H15" t="s">
        <v>155</v>
      </c>
      <c r="I15" t="s">
        <v>155</v>
      </c>
      <c r="J15" t="s">
        <v>155</v>
      </c>
      <c r="K15" t="s">
        <v>155</v>
      </c>
    </row>
    <row r="16" spans="1:12" x14ac:dyDescent="0.25">
      <c r="A16">
        <v>15</v>
      </c>
      <c r="B16" t="s">
        <v>68</v>
      </c>
      <c r="C16">
        <v>3990</v>
      </c>
      <c r="D16" t="s">
        <v>68</v>
      </c>
      <c r="E16" t="s">
        <v>155</v>
      </c>
      <c r="F16" t="s">
        <v>155</v>
      </c>
      <c r="G16" t="s">
        <v>155</v>
      </c>
      <c r="H16" t="s">
        <v>155</v>
      </c>
      <c r="I16" t="s">
        <v>155</v>
      </c>
      <c r="J16" t="s">
        <v>155</v>
      </c>
      <c r="K16" t="s">
        <v>155</v>
      </c>
    </row>
    <row r="17" spans="1:11" x14ac:dyDescent="0.25">
      <c r="A17">
        <v>16</v>
      </c>
      <c r="B17" t="s">
        <v>69</v>
      </c>
      <c r="C17">
        <v>3990</v>
      </c>
      <c r="D17" t="s">
        <v>69</v>
      </c>
      <c r="E17" t="s">
        <v>155</v>
      </c>
      <c r="F17" t="s">
        <v>155</v>
      </c>
      <c r="G17" t="s">
        <v>155</v>
      </c>
      <c r="H17" t="s">
        <v>155</v>
      </c>
      <c r="I17" t="s">
        <v>155</v>
      </c>
      <c r="J17" t="s">
        <v>155</v>
      </c>
      <c r="K17" t="s">
        <v>155</v>
      </c>
    </row>
    <row r="18" spans="1:11" x14ac:dyDescent="0.25">
      <c r="A18">
        <v>17</v>
      </c>
      <c r="B18" t="s">
        <v>70</v>
      </c>
      <c r="C18">
        <v>3990</v>
      </c>
      <c r="D18" t="s">
        <v>70</v>
      </c>
      <c r="E18" t="s">
        <v>155</v>
      </c>
      <c r="F18" t="s">
        <v>155</v>
      </c>
      <c r="G18" t="s">
        <v>155</v>
      </c>
      <c r="H18" t="s">
        <v>155</v>
      </c>
      <c r="I18" t="s">
        <v>155</v>
      </c>
      <c r="J18" t="s">
        <v>155</v>
      </c>
      <c r="K18" t="s">
        <v>155</v>
      </c>
    </row>
    <row r="19" spans="1:11" x14ac:dyDescent="0.25">
      <c r="A19">
        <v>18</v>
      </c>
      <c r="B19" t="s">
        <v>71</v>
      </c>
      <c r="C19">
        <v>3990</v>
      </c>
      <c r="D19" t="s">
        <v>71</v>
      </c>
      <c r="E19" t="s">
        <v>155</v>
      </c>
      <c r="F19" t="s">
        <v>155</v>
      </c>
      <c r="G19" t="s">
        <v>155</v>
      </c>
      <c r="H19" t="s">
        <v>155</v>
      </c>
      <c r="I19" t="s">
        <v>155</v>
      </c>
      <c r="J19" t="s">
        <v>155</v>
      </c>
      <c r="K19" t="s">
        <v>155</v>
      </c>
    </row>
    <row r="20" spans="1:11" x14ac:dyDescent="0.25">
      <c r="A20">
        <v>19</v>
      </c>
      <c r="B20" t="s">
        <v>47</v>
      </c>
      <c r="C20">
        <v>3990</v>
      </c>
      <c r="D20" t="s">
        <v>47</v>
      </c>
      <c r="E20" t="s">
        <v>155</v>
      </c>
      <c r="F20" t="s">
        <v>155</v>
      </c>
      <c r="G20" t="s">
        <v>155</v>
      </c>
      <c r="H20" t="s">
        <v>155</v>
      </c>
      <c r="I20" t="s">
        <v>155</v>
      </c>
      <c r="J20" t="s">
        <v>155</v>
      </c>
      <c r="K20" t="s">
        <v>155</v>
      </c>
    </row>
    <row r="21" spans="1:11" x14ac:dyDescent="0.25">
      <c r="A21">
        <v>20</v>
      </c>
      <c r="B21" t="s">
        <v>72</v>
      </c>
      <c r="C21">
        <v>3990</v>
      </c>
      <c r="D21" t="s">
        <v>72</v>
      </c>
      <c r="E21" t="s">
        <v>155</v>
      </c>
      <c r="F21" t="s">
        <v>155</v>
      </c>
      <c r="G21" t="s">
        <v>155</v>
      </c>
      <c r="H21" t="s">
        <v>155</v>
      </c>
      <c r="I21" t="s">
        <v>155</v>
      </c>
      <c r="J21" t="s">
        <v>155</v>
      </c>
      <c r="K21" t="s">
        <v>155</v>
      </c>
    </row>
    <row r="22" spans="1:11" x14ac:dyDescent="0.25">
      <c r="A22">
        <v>21</v>
      </c>
      <c r="B22" t="s">
        <v>73</v>
      </c>
      <c r="C22">
        <v>3990</v>
      </c>
      <c r="D22" t="s">
        <v>73</v>
      </c>
      <c r="E22" t="s">
        <v>155</v>
      </c>
      <c r="F22" t="s">
        <v>155</v>
      </c>
      <c r="G22" t="s">
        <v>155</v>
      </c>
      <c r="H22" t="s">
        <v>155</v>
      </c>
      <c r="I22" t="s">
        <v>155</v>
      </c>
      <c r="J22" t="s">
        <v>155</v>
      </c>
      <c r="K22" t="s">
        <v>155</v>
      </c>
    </row>
    <row r="23" spans="1:11" x14ac:dyDescent="0.25">
      <c r="A23">
        <v>22</v>
      </c>
      <c r="B23" t="s">
        <v>75</v>
      </c>
      <c r="C23">
        <v>3990</v>
      </c>
      <c r="D23" t="s">
        <v>75</v>
      </c>
      <c r="E23" t="s">
        <v>155</v>
      </c>
      <c r="F23" t="s">
        <v>155</v>
      </c>
      <c r="G23" t="s">
        <v>155</v>
      </c>
      <c r="H23" t="s">
        <v>155</v>
      </c>
      <c r="I23" t="s">
        <v>155</v>
      </c>
      <c r="J23" t="s">
        <v>155</v>
      </c>
      <c r="K23" t="s">
        <v>155</v>
      </c>
    </row>
    <row r="24" spans="1:11" x14ac:dyDescent="0.25">
      <c r="A24">
        <v>23</v>
      </c>
      <c r="B24" t="s">
        <v>77</v>
      </c>
      <c r="C24">
        <v>3990</v>
      </c>
      <c r="D24" t="s">
        <v>77</v>
      </c>
      <c r="E24" t="s">
        <v>155</v>
      </c>
      <c r="F24" t="s">
        <v>155</v>
      </c>
      <c r="G24" t="s">
        <v>155</v>
      </c>
      <c r="H24" t="s">
        <v>155</v>
      </c>
      <c r="I24" t="s">
        <v>155</v>
      </c>
      <c r="J24" t="s">
        <v>155</v>
      </c>
      <c r="K24" t="s">
        <v>155</v>
      </c>
    </row>
    <row r="25" spans="1:11" x14ac:dyDescent="0.25">
      <c r="A25">
        <v>24</v>
      </c>
      <c r="B25" t="s">
        <v>78</v>
      </c>
      <c r="C25">
        <v>3990</v>
      </c>
      <c r="D25" t="s">
        <v>78</v>
      </c>
      <c r="E25" t="s">
        <v>155</v>
      </c>
      <c r="F25" t="s">
        <v>155</v>
      </c>
      <c r="G25" t="s">
        <v>155</v>
      </c>
      <c r="H25" t="s">
        <v>155</v>
      </c>
      <c r="I25" t="s">
        <v>155</v>
      </c>
      <c r="J25" t="s">
        <v>155</v>
      </c>
      <c r="K25" t="s">
        <v>155</v>
      </c>
    </row>
    <row r="26" spans="1:11" x14ac:dyDescent="0.25">
      <c r="A26">
        <v>25</v>
      </c>
      <c r="B26" t="s">
        <v>79</v>
      </c>
      <c r="C26">
        <v>3990</v>
      </c>
      <c r="D26" t="s">
        <v>79</v>
      </c>
      <c r="E26" t="s">
        <v>155</v>
      </c>
      <c r="F26" t="s">
        <v>155</v>
      </c>
      <c r="G26" t="s">
        <v>155</v>
      </c>
      <c r="H26" t="s">
        <v>155</v>
      </c>
      <c r="I26" t="s">
        <v>155</v>
      </c>
      <c r="J26" t="s">
        <v>155</v>
      </c>
      <c r="K26" t="s">
        <v>155</v>
      </c>
    </row>
    <row r="27" spans="1:11" x14ac:dyDescent="0.25">
      <c r="A27">
        <v>26</v>
      </c>
      <c r="B27" t="s">
        <v>80</v>
      </c>
      <c r="C27">
        <v>3990</v>
      </c>
      <c r="D27" t="s">
        <v>80</v>
      </c>
      <c r="E27" t="s">
        <v>155</v>
      </c>
      <c r="F27" t="s">
        <v>155</v>
      </c>
      <c r="G27" t="s">
        <v>155</v>
      </c>
      <c r="H27" t="s">
        <v>155</v>
      </c>
      <c r="I27" t="s">
        <v>155</v>
      </c>
      <c r="J27" t="s">
        <v>155</v>
      </c>
      <c r="K27" t="s">
        <v>155</v>
      </c>
    </row>
    <row r="28" spans="1:11" x14ac:dyDescent="0.25">
      <c r="A28">
        <v>27</v>
      </c>
      <c r="B28" t="s">
        <v>81</v>
      </c>
      <c r="C28">
        <v>3990</v>
      </c>
      <c r="D28" t="s">
        <v>81</v>
      </c>
      <c r="E28" t="s">
        <v>155</v>
      </c>
      <c r="F28" t="s">
        <v>155</v>
      </c>
      <c r="G28" t="s">
        <v>155</v>
      </c>
      <c r="H28" t="s">
        <v>155</v>
      </c>
      <c r="I28" t="s">
        <v>155</v>
      </c>
      <c r="J28" t="s">
        <v>155</v>
      </c>
      <c r="K28" t="s">
        <v>155</v>
      </c>
    </row>
    <row r="29" spans="1:11" x14ac:dyDescent="0.25">
      <c r="A29">
        <v>28</v>
      </c>
      <c r="B29" t="s">
        <v>83</v>
      </c>
      <c r="C29">
        <v>3990</v>
      </c>
      <c r="D29" t="s">
        <v>83</v>
      </c>
      <c r="E29" t="s">
        <v>155</v>
      </c>
      <c r="F29" t="s">
        <v>155</v>
      </c>
      <c r="G29" t="s">
        <v>155</v>
      </c>
      <c r="H29" t="s">
        <v>155</v>
      </c>
      <c r="I29" t="s">
        <v>155</v>
      </c>
      <c r="J29" t="s">
        <v>155</v>
      </c>
      <c r="K29" t="s">
        <v>155</v>
      </c>
    </row>
    <row r="30" spans="1:11" x14ac:dyDescent="0.25">
      <c r="A30">
        <v>29</v>
      </c>
      <c r="B30" t="s">
        <v>84</v>
      </c>
      <c r="C30">
        <v>3990</v>
      </c>
      <c r="D30" t="s">
        <v>84</v>
      </c>
      <c r="E30" t="s">
        <v>155</v>
      </c>
      <c r="F30" t="s">
        <v>155</v>
      </c>
      <c r="G30" t="s">
        <v>155</v>
      </c>
      <c r="H30" t="s">
        <v>155</v>
      </c>
      <c r="I30" t="s">
        <v>155</v>
      </c>
      <c r="J30" t="s">
        <v>155</v>
      </c>
      <c r="K30" t="s">
        <v>155</v>
      </c>
    </row>
    <row r="31" spans="1:11" x14ac:dyDescent="0.25">
      <c r="A31">
        <v>30</v>
      </c>
      <c r="B31" t="s">
        <v>85</v>
      </c>
      <c r="C31">
        <v>3990</v>
      </c>
      <c r="D31" t="s">
        <v>85</v>
      </c>
      <c r="E31" t="s">
        <v>155</v>
      </c>
      <c r="F31" t="s">
        <v>155</v>
      </c>
      <c r="G31" t="s">
        <v>155</v>
      </c>
      <c r="H31" t="s">
        <v>155</v>
      </c>
      <c r="I31" t="s">
        <v>155</v>
      </c>
      <c r="J31" t="s">
        <v>155</v>
      </c>
      <c r="K31" t="s">
        <v>155</v>
      </c>
    </row>
    <row r="32" spans="1:11" x14ac:dyDescent="0.25">
      <c r="A32">
        <v>31</v>
      </c>
      <c r="B32" t="s">
        <v>86</v>
      </c>
      <c r="C32">
        <v>3990</v>
      </c>
      <c r="D32" t="s">
        <v>86</v>
      </c>
      <c r="E32" t="s">
        <v>155</v>
      </c>
      <c r="F32" t="s">
        <v>155</v>
      </c>
      <c r="G32" t="s">
        <v>155</v>
      </c>
      <c r="H32" t="s">
        <v>155</v>
      </c>
      <c r="I32" t="s">
        <v>155</v>
      </c>
      <c r="J32" t="s">
        <v>155</v>
      </c>
      <c r="K32" t="s">
        <v>155</v>
      </c>
    </row>
    <row r="33" spans="1:11" x14ac:dyDescent="0.25">
      <c r="A33">
        <v>32</v>
      </c>
      <c r="B33" t="s">
        <v>87</v>
      </c>
      <c r="C33">
        <v>3990</v>
      </c>
      <c r="D33" t="s">
        <v>87</v>
      </c>
      <c r="E33" t="s">
        <v>155</v>
      </c>
      <c r="F33" t="s">
        <v>155</v>
      </c>
      <c r="G33" t="s">
        <v>155</v>
      </c>
      <c r="H33" t="s">
        <v>155</v>
      </c>
      <c r="I33" t="s">
        <v>155</v>
      </c>
      <c r="J33" t="s">
        <v>155</v>
      </c>
      <c r="K33" t="s">
        <v>155</v>
      </c>
    </row>
    <row r="34" spans="1:11" x14ac:dyDescent="0.25">
      <c r="A34">
        <v>33</v>
      </c>
      <c r="B34" t="s">
        <v>88</v>
      </c>
      <c r="C34">
        <v>3990</v>
      </c>
      <c r="D34" t="s">
        <v>88</v>
      </c>
      <c r="E34" t="s">
        <v>155</v>
      </c>
      <c r="F34" t="s">
        <v>155</v>
      </c>
      <c r="G34" t="s">
        <v>155</v>
      </c>
      <c r="H34" t="s">
        <v>155</v>
      </c>
      <c r="I34" t="s">
        <v>155</v>
      </c>
      <c r="J34" t="s">
        <v>155</v>
      </c>
      <c r="K34" t="s">
        <v>155</v>
      </c>
    </row>
    <row r="35" spans="1:11" x14ac:dyDescent="0.25">
      <c r="A35">
        <v>34</v>
      </c>
      <c r="B35" t="s">
        <v>89</v>
      </c>
      <c r="C35">
        <v>3990</v>
      </c>
      <c r="D35" t="s">
        <v>89</v>
      </c>
      <c r="E35" t="s">
        <v>155</v>
      </c>
      <c r="F35" t="s">
        <v>155</v>
      </c>
      <c r="G35" t="s">
        <v>155</v>
      </c>
      <c r="H35" t="s">
        <v>155</v>
      </c>
      <c r="I35" t="s">
        <v>155</v>
      </c>
      <c r="J35" t="s">
        <v>155</v>
      </c>
      <c r="K35" t="s">
        <v>155</v>
      </c>
    </row>
    <row r="36" spans="1:11" x14ac:dyDescent="0.25">
      <c r="A36">
        <v>35</v>
      </c>
      <c r="B36" t="s">
        <v>91</v>
      </c>
      <c r="C36">
        <v>3990</v>
      </c>
      <c r="D36" t="s">
        <v>91</v>
      </c>
      <c r="E36" t="s">
        <v>155</v>
      </c>
      <c r="F36" t="s">
        <v>155</v>
      </c>
      <c r="G36" t="s">
        <v>155</v>
      </c>
      <c r="H36" t="s">
        <v>155</v>
      </c>
      <c r="I36" t="s">
        <v>155</v>
      </c>
      <c r="J36" t="s">
        <v>155</v>
      </c>
      <c r="K36" t="s">
        <v>155</v>
      </c>
    </row>
    <row r="37" spans="1:11" x14ac:dyDescent="0.25">
      <c r="A37">
        <v>36</v>
      </c>
      <c r="B37" t="s">
        <v>92</v>
      </c>
      <c r="C37">
        <v>3990</v>
      </c>
      <c r="D37" t="s">
        <v>92</v>
      </c>
      <c r="E37" t="s">
        <v>155</v>
      </c>
      <c r="F37" t="s">
        <v>155</v>
      </c>
      <c r="G37" t="s">
        <v>155</v>
      </c>
      <c r="H37" t="s">
        <v>155</v>
      </c>
      <c r="I37" t="s">
        <v>155</v>
      </c>
      <c r="J37" t="s">
        <v>155</v>
      </c>
      <c r="K37" t="s">
        <v>155</v>
      </c>
    </row>
    <row r="38" spans="1:11" x14ac:dyDescent="0.25">
      <c r="A38">
        <v>37</v>
      </c>
      <c r="B38" t="s">
        <v>93</v>
      </c>
      <c r="C38">
        <v>3990</v>
      </c>
      <c r="D38" t="s">
        <v>93</v>
      </c>
      <c r="E38" t="s">
        <v>155</v>
      </c>
      <c r="F38" t="s">
        <v>155</v>
      </c>
      <c r="G38" t="s">
        <v>155</v>
      </c>
      <c r="H38" t="s">
        <v>155</v>
      </c>
      <c r="I38" t="s">
        <v>155</v>
      </c>
      <c r="J38" t="s">
        <v>155</v>
      </c>
      <c r="K38" t="s">
        <v>155</v>
      </c>
    </row>
    <row r="39" spans="1:11" x14ac:dyDescent="0.25">
      <c r="A39">
        <v>38</v>
      </c>
      <c r="B39" t="s">
        <v>94</v>
      </c>
      <c r="C39">
        <v>3990</v>
      </c>
      <c r="D39" t="s">
        <v>94</v>
      </c>
      <c r="E39" t="s">
        <v>155</v>
      </c>
      <c r="F39" t="s">
        <v>155</v>
      </c>
      <c r="G39" t="s">
        <v>155</v>
      </c>
      <c r="H39" t="s">
        <v>155</v>
      </c>
      <c r="I39" t="s">
        <v>155</v>
      </c>
      <c r="J39" t="s">
        <v>155</v>
      </c>
      <c r="K39" t="s">
        <v>155</v>
      </c>
    </row>
    <row r="40" spans="1:11" x14ac:dyDescent="0.25">
      <c r="A40">
        <v>39</v>
      </c>
      <c r="B40" t="s">
        <v>95</v>
      </c>
      <c r="C40">
        <v>3990</v>
      </c>
      <c r="D40" t="s">
        <v>95</v>
      </c>
      <c r="E40" t="s">
        <v>155</v>
      </c>
      <c r="F40" t="s">
        <v>155</v>
      </c>
      <c r="G40" t="s">
        <v>155</v>
      </c>
      <c r="H40" t="s">
        <v>155</v>
      </c>
      <c r="I40" t="s">
        <v>155</v>
      </c>
      <c r="J40" t="s">
        <v>155</v>
      </c>
      <c r="K40" t="s">
        <v>155</v>
      </c>
    </row>
    <row r="41" spans="1:11" x14ac:dyDescent="0.25">
      <c r="A41">
        <v>40</v>
      </c>
      <c r="B41" t="s">
        <v>98</v>
      </c>
      <c r="C41">
        <v>3990</v>
      </c>
      <c r="D41" t="s">
        <v>98</v>
      </c>
      <c r="E41" t="s">
        <v>155</v>
      </c>
      <c r="F41" t="s">
        <v>155</v>
      </c>
      <c r="G41" t="s">
        <v>155</v>
      </c>
      <c r="H41" t="s">
        <v>155</v>
      </c>
      <c r="I41" t="s">
        <v>155</v>
      </c>
      <c r="J41" t="s">
        <v>155</v>
      </c>
      <c r="K41" t="s">
        <v>155</v>
      </c>
    </row>
    <row r="42" spans="1:11" x14ac:dyDescent="0.25">
      <c r="A42">
        <v>41</v>
      </c>
      <c r="B42" t="s">
        <v>100</v>
      </c>
      <c r="C42">
        <v>3990</v>
      </c>
      <c r="D42" t="s">
        <v>100</v>
      </c>
      <c r="E42" t="s">
        <v>155</v>
      </c>
      <c r="F42" t="s">
        <v>155</v>
      </c>
      <c r="G42" t="s">
        <v>155</v>
      </c>
      <c r="H42" t="s">
        <v>155</v>
      </c>
      <c r="I42" t="s">
        <v>155</v>
      </c>
      <c r="J42" t="s">
        <v>155</v>
      </c>
      <c r="K42" t="s">
        <v>155</v>
      </c>
    </row>
    <row r="43" spans="1:11" x14ac:dyDescent="0.25">
      <c r="A43">
        <v>42</v>
      </c>
      <c r="B43" t="s">
        <v>101</v>
      </c>
      <c r="C43">
        <v>3990</v>
      </c>
      <c r="D43" t="s">
        <v>101</v>
      </c>
      <c r="E43" t="s">
        <v>155</v>
      </c>
      <c r="F43" t="s">
        <v>155</v>
      </c>
      <c r="G43" t="s">
        <v>155</v>
      </c>
      <c r="H43" t="s">
        <v>155</v>
      </c>
      <c r="I43" t="s">
        <v>155</v>
      </c>
      <c r="J43" t="s">
        <v>155</v>
      </c>
      <c r="K43" t="s">
        <v>155</v>
      </c>
    </row>
    <row r="44" spans="1:11" x14ac:dyDescent="0.25">
      <c r="A44">
        <v>43</v>
      </c>
      <c r="B44" t="s">
        <v>102</v>
      </c>
      <c r="C44">
        <v>3990</v>
      </c>
      <c r="D44" t="s">
        <v>102</v>
      </c>
      <c r="E44" t="s">
        <v>155</v>
      </c>
      <c r="F44" t="s">
        <v>155</v>
      </c>
      <c r="G44" t="s">
        <v>155</v>
      </c>
      <c r="H44" t="s">
        <v>155</v>
      </c>
      <c r="I44" t="s">
        <v>155</v>
      </c>
      <c r="J44" t="s">
        <v>155</v>
      </c>
      <c r="K44" t="s">
        <v>155</v>
      </c>
    </row>
    <row r="45" spans="1:11" x14ac:dyDescent="0.25">
      <c r="A45">
        <v>44</v>
      </c>
      <c r="B45" t="s">
        <v>103</v>
      </c>
      <c r="C45">
        <v>3990</v>
      </c>
      <c r="D45" t="s">
        <v>103</v>
      </c>
      <c r="E45" t="s">
        <v>155</v>
      </c>
      <c r="F45" t="s">
        <v>155</v>
      </c>
      <c r="G45" t="s">
        <v>155</v>
      </c>
      <c r="H45" t="s">
        <v>155</v>
      </c>
      <c r="I45" t="s">
        <v>155</v>
      </c>
      <c r="J45" t="s">
        <v>155</v>
      </c>
      <c r="K45" t="s">
        <v>155</v>
      </c>
    </row>
    <row r="46" spans="1:11" x14ac:dyDescent="0.25">
      <c r="A46">
        <v>45</v>
      </c>
      <c r="B46" t="s">
        <v>105</v>
      </c>
      <c r="C46">
        <v>3990</v>
      </c>
      <c r="D46" t="s">
        <v>105</v>
      </c>
      <c r="E46" t="s">
        <v>155</v>
      </c>
      <c r="F46" t="s">
        <v>155</v>
      </c>
      <c r="G46" t="s">
        <v>155</v>
      </c>
      <c r="H46" t="s">
        <v>155</v>
      </c>
      <c r="I46" t="s">
        <v>155</v>
      </c>
      <c r="J46" t="s">
        <v>155</v>
      </c>
      <c r="K46" t="s">
        <v>155</v>
      </c>
    </row>
    <row r="47" spans="1:11" x14ac:dyDescent="0.25">
      <c r="A47">
        <v>46</v>
      </c>
      <c r="B47" t="s">
        <v>106</v>
      </c>
      <c r="C47">
        <v>3990</v>
      </c>
      <c r="D47" t="s">
        <v>106</v>
      </c>
      <c r="E47" t="s">
        <v>155</v>
      </c>
      <c r="F47" t="s">
        <v>155</v>
      </c>
      <c r="G47" t="s">
        <v>155</v>
      </c>
      <c r="H47" t="s">
        <v>155</v>
      </c>
      <c r="I47" t="s">
        <v>155</v>
      </c>
      <c r="J47" t="s">
        <v>155</v>
      </c>
      <c r="K47" t="s">
        <v>155</v>
      </c>
    </row>
    <row r="48" spans="1:11" x14ac:dyDescent="0.25">
      <c r="A48">
        <v>47</v>
      </c>
      <c r="B48" t="s">
        <v>107</v>
      </c>
      <c r="C48">
        <v>3990</v>
      </c>
      <c r="D48" t="s">
        <v>107</v>
      </c>
      <c r="E48" t="s">
        <v>155</v>
      </c>
      <c r="F48" t="s">
        <v>155</v>
      </c>
      <c r="G48" t="s">
        <v>155</v>
      </c>
      <c r="H48" t="s">
        <v>155</v>
      </c>
      <c r="I48" t="s">
        <v>155</v>
      </c>
      <c r="J48" t="s">
        <v>155</v>
      </c>
      <c r="K48" t="s">
        <v>155</v>
      </c>
    </row>
    <row r="49" spans="1:11" x14ac:dyDescent="0.25">
      <c r="A49">
        <v>48</v>
      </c>
      <c r="B49" t="s">
        <v>108</v>
      </c>
      <c r="C49">
        <v>3990</v>
      </c>
      <c r="D49" t="s">
        <v>108</v>
      </c>
      <c r="E49" t="s">
        <v>155</v>
      </c>
      <c r="F49" t="s">
        <v>155</v>
      </c>
      <c r="G49" t="s">
        <v>155</v>
      </c>
      <c r="H49" t="s">
        <v>155</v>
      </c>
      <c r="I49" t="s">
        <v>155</v>
      </c>
      <c r="J49" t="s">
        <v>155</v>
      </c>
      <c r="K49" t="s">
        <v>155</v>
      </c>
    </row>
    <row r="50" spans="1:11" x14ac:dyDescent="0.25">
      <c r="A50">
        <v>49</v>
      </c>
      <c r="B50" t="s">
        <v>109</v>
      </c>
      <c r="C50">
        <v>3990</v>
      </c>
      <c r="D50" t="s">
        <v>109</v>
      </c>
      <c r="E50" t="s">
        <v>156</v>
      </c>
      <c r="F50" t="s">
        <v>155</v>
      </c>
      <c r="G50" t="s">
        <v>155</v>
      </c>
      <c r="H50" t="s">
        <v>155</v>
      </c>
      <c r="I50" t="s">
        <v>155</v>
      </c>
      <c r="J50" t="s">
        <v>155</v>
      </c>
      <c r="K50" t="s">
        <v>155</v>
      </c>
    </row>
    <row r="51" spans="1:11" x14ac:dyDescent="0.25">
      <c r="D51" t="s">
        <v>55</v>
      </c>
      <c r="E51" t="s">
        <v>56</v>
      </c>
      <c r="F51" t="s">
        <v>57</v>
      </c>
      <c r="G51" t="s">
        <v>44</v>
      </c>
      <c r="H51" t="s">
        <v>58</v>
      </c>
      <c r="I51" t="s">
        <v>59</v>
      </c>
      <c r="J51" t="s">
        <v>61</v>
      </c>
      <c r="K51" t="s">
        <v>62</v>
      </c>
    </row>
    <row r="52" spans="1:11" x14ac:dyDescent="0.25">
      <c r="D52" t="s">
        <v>55</v>
      </c>
      <c r="E52" t="s">
        <v>56</v>
      </c>
      <c r="F52" t="s">
        <v>57</v>
      </c>
      <c r="G52" t="s">
        <v>44</v>
      </c>
      <c r="H52" t="s">
        <v>58</v>
      </c>
      <c r="I52" t="s">
        <v>59</v>
      </c>
      <c r="J52" t="s">
        <v>61</v>
      </c>
      <c r="K52" t="s">
        <v>62</v>
      </c>
    </row>
    <row r="53" spans="1:11" x14ac:dyDescent="0.25">
      <c r="D53" t="s">
        <v>55</v>
      </c>
      <c r="E53" t="s">
        <v>56</v>
      </c>
      <c r="F53" t="s">
        <v>57</v>
      </c>
      <c r="G53" t="s">
        <v>44</v>
      </c>
      <c r="H53" t="s">
        <v>58</v>
      </c>
      <c r="I53" t="s">
        <v>59</v>
      </c>
      <c r="J53" t="s">
        <v>61</v>
      </c>
      <c r="K53" t="s">
        <v>62</v>
      </c>
    </row>
    <row r="54" spans="1:11" x14ac:dyDescent="0.25">
      <c r="D54" t="s">
        <v>55</v>
      </c>
      <c r="E54" t="s">
        <v>56</v>
      </c>
      <c r="F54" t="s">
        <v>57</v>
      </c>
      <c r="G54" t="s">
        <v>44</v>
      </c>
      <c r="H54" t="s">
        <v>58</v>
      </c>
      <c r="I54" t="s">
        <v>59</v>
      </c>
      <c r="J54" t="s">
        <v>61</v>
      </c>
      <c r="K54" t="s">
        <v>62</v>
      </c>
    </row>
    <row r="55" spans="1:11" x14ac:dyDescent="0.25">
      <c r="D55" t="s">
        <v>55</v>
      </c>
      <c r="E55" t="s">
        <v>56</v>
      </c>
      <c r="F55" t="s">
        <v>57</v>
      </c>
      <c r="G55" t="s">
        <v>44</v>
      </c>
      <c r="H55" t="s">
        <v>58</v>
      </c>
      <c r="I55" t="s">
        <v>59</v>
      </c>
      <c r="J55" t="s">
        <v>61</v>
      </c>
      <c r="K55" t="s">
        <v>62</v>
      </c>
    </row>
    <row r="56" spans="1:11" x14ac:dyDescent="0.25">
      <c r="D56" t="s">
        <v>55</v>
      </c>
      <c r="E56" t="s">
        <v>56</v>
      </c>
      <c r="F56" t="s">
        <v>57</v>
      </c>
      <c r="G56" t="s">
        <v>44</v>
      </c>
      <c r="H56" t="s">
        <v>58</v>
      </c>
      <c r="I56" t="s">
        <v>59</v>
      </c>
      <c r="J56" t="s">
        <v>61</v>
      </c>
      <c r="K56" t="s">
        <v>62</v>
      </c>
    </row>
    <row r="57" spans="1:11" x14ac:dyDescent="0.25">
      <c r="D57" t="s">
        <v>55</v>
      </c>
      <c r="E57" t="s">
        <v>56</v>
      </c>
      <c r="F57" t="s">
        <v>57</v>
      </c>
      <c r="G57" t="s">
        <v>44</v>
      </c>
      <c r="H57" t="s">
        <v>58</v>
      </c>
      <c r="I57" t="s">
        <v>59</v>
      </c>
      <c r="J57" t="s">
        <v>61</v>
      </c>
      <c r="K57" t="s">
        <v>62</v>
      </c>
    </row>
    <row r="58" spans="1:11" x14ac:dyDescent="0.25">
      <c r="D58" t="s">
        <v>55</v>
      </c>
      <c r="E58" t="s">
        <v>56</v>
      </c>
      <c r="F58" t="s">
        <v>57</v>
      </c>
      <c r="G58" t="s">
        <v>44</v>
      </c>
      <c r="H58" t="s">
        <v>58</v>
      </c>
      <c r="I58" t="s">
        <v>59</v>
      </c>
      <c r="J58" t="s">
        <v>61</v>
      </c>
      <c r="K58" t="s">
        <v>62</v>
      </c>
    </row>
    <row r="59" spans="1:11" x14ac:dyDescent="0.25">
      <c r="D59" t="s">
        <v>55</v>
      </c>
      <c r="E59" t="s">
        <v>56</v>
      </c>
      <c r="F59" t="s">
        <v>57</v>
      </c>
      <c r="G59" t="s">
        <v>44</v>
      </c>
      <c r="H59" t="s">
        <v>58</v>
      </c>
      <c r="I59" t="s">
        <v>59</v>
      </c>
      <c r="J59" t="s">
        <v>61</v>
      </c>
      <c r="K59" t="s">
        <v>62</v>
      </c>
    </row>
    <row r="60" spans="1:11" x14ac:dyDescent="0.25">
      <c r="D60" t="s">
        <v>55</v>
      </c>
      <c r="E60" t="s">
        <v>56</v>
      </c>
      <c r="F60" t="s">
        <v>57</v>
      </c>
      <c r="G60" t="s">
        <v>44</v>
      </c>
      <c r="H60" t="s">
        <v>58</v>
      </c>
      <c r="I60" t="s">
        <v>59</v>
      </c>
      <c r="J60" t="s">
        <v>61</v>
      </c>
      <c r="K60" t="s">
        <v>62</v>
      </c>
    </row>
    <row r="61" spans="1:11" x14ac:dyDescent="0.25">
      <c r="D61" t="s">
        <v>55</v>
      </c>
      <c r="E61" t="s">
        <v>56</v>
      </c>
      <c r="F61" t="s">
        <v>57</v>
      </c>
      <c r="G61" t="s">
        <v>44</v>
      </c>
      <c r="H61" t="s">
        <v>58</v>
      </c>
      <c r="I61" t="s">
        <v>59</v>
      </c>
      <c r="J61" t="s">
        <v>61</v>
      </c>
      <c r="K61" t="s">
        <v>62</v>
      </c>
    </row>
    <row r="62" spans="1:11" x14ac:dyDescent="0.25">
      <c r="D62" t="s">
        <v>55</v>
      </c>
      <c r="E62" t="s">
        <v>56</v>
      </c>
      <c r="F62" t="s">
        <v>57</v>
      </c>
      <c r="G62" t="s">
        <v>44</v>
      </c>
      <c r="H62" t="s">
        <v>58</v>
      </c>
      <c r="I62" t="s">
        <v>59</v>
      </c>
      <c r="J62" t="s">
        <v>61</v>
      </c>
      <c r="K62" t="s">
        <v>62</v>
      </c>
    </row>
    <row r="63" spans="1:11" x14ac:dyDescent="0.25">
      <c r="D63" t="s">
        <v>55</v>
      </c>
      <c r="E63" t="s">
        <v>56</v>
      </c>
      <c r="F63" t="s">
        <v>57</v>
      </c>
      <c r="G63" t="s">
        <v>44</v>
      </c>
      <c r="H63" t="s">
        <v>58</v>
      </c>
      <c r="I63" t="s">
        <v>59</v>
      </c>
      <c r="J63" t="s">
        <v>61</v>
      </c>
      <c r="K63" t="s">
        <v>62</v>
      </c>
    </row>
    <row r="64" spans="1:11" x14ac:dyDescent="0.25">
      <c r="D64" t="s">
        <v>55</v>
      </c>
      <c r="E64" t="s">
        <v>56</v>
      </c>
      <c r="F64" t="s">
        <v>57</v>
      </c>
      <c r="G64" t="s">
        <v>44</v>
      </c>
      <c r="H64" t="s">
        <v>58</v>
      </c>
      <c r="I64" t="s">
        <v>59</v>
      </c>
      <c r="J64" t="s">
        <v>61</v>
      </c>
      <c r="K64" t="s">
        <v>62</v>
      </c>
    </row>
    <row r="65" spans="4:11" x14ac:dyDescent="0.25">
      <c r="D65" t="s">
        <v>55</v>
      </c>
      <c r="E65" t="s">
        <v>56</v>
      </c>
      <c r="F65" t="s">
        <v>57</v>
      </c>
      <c r="G65" t="s">
        <v>44</v>
      </c>
      <c r="H65" t="s">
        <v>58</v>
      </c>
      <c r="I65" t="s">
        <v>59</v>
      </c>
      <c r="J65" t="s">
        <v>61</v>
      </c>
      <c r="K65" t="s">
        <v>62</v>
      </c>
    </row>
    <row r="66" spans="4:11" x14ac:dyDescent="0.25">
      <c r="D66" t="s">
        <v>55</v>
      </c>
      <c r="E66" t="s">
        <v>56</v>
      </c>
      <c r="F66" t="s">
        <v>57</v>
      </c>
      <c r="G66" t="s">
        <v>44</v>
      </c>
      <c r="H66" t="s">
        <v>58</v>
      </c>
      <c r="I66" t="s">
        <v>59</v>
      </c>
      <c r="J66" t="s">
        <v>61</v>
      </c>
      <c r="K66" t="s">
        <v>62</v>
      </c>
    </row>
    <row r="67" spans="4:11" x14ac:dyDescent="0.25">
      <c r="D67" t="s">
        <v>55</v>
      </c>
      <c r="E67" t="s">
        <v>56</v>
      </c>
      <c r="F67" t="s">
        <v>57</v>
      </c>
      <c r="G67" t="s">
        <v>44</v>
      </c>
      <c r="H67" t="s">
        <v>58</v>
      </c>
      <c r="I67" t="s">
        <v>59</v>
      </c>
      <c r="J67" t="s">
        <v>61</v>
      </c>
      <c r="K67" t="s">
        <v>62</v>
      </c>
    </row>
    <row r="68" spans="4:11" x14ac:dyDescent="0.25">
      <c r="D68" t="s">
        <v>55</v>
      </c>
      <c r="E68" t="s">
        <v>56</v>
      </c>
      <c r="F68" t="s">
        <v>57</v>
      </c>
      <c r="G68" t="s">
        <v>44</v>
      </c>
      <c r="H68" t="s">
        <v>58</v>
      </c>
      <c r="I68" t="s">
        <v>59</v>
      </c>
      <c r="J68" t="s">
        <v>61</v>
      </c>
      <c r="K68" t="s">
        <v>62</v>
      </c>
    </row>
    <row r="69" spans="4:11" x14ac:dyDescent="0.25">
      <c r="D69" t="s">
        <v>55</v>
      </c>
      <c r="E69" t="s">
        <v>56</v>
      </c>
      <c r="F69" t="s">
        <v>57</v>
      </c>
      <c r="G69" t="s">
        <v>44</v>
      </c>
      <c r="H69" t="s">
        <v>58</v>
      </c>
      <c r="I69" t="s">
        <v>59</v>
      </c>
      <c r="J69" t="s">
        <v>61</v>
      </c>
      <c r="K69" t="s">
        <v>62</v>
      </c>
    </row>
    <row r="70" spans="4:11" x14ac:dyDescent="0.25">
      <c r="D70" t="s">
        <v>55</v>
      </c>
      <c r="E70" t="s">
        <v>56</v>
      </c>
      <c r="F70" t="s">
        <v>57</v>
      </c>
      <c r="G70" t="s">
        <v>44</v>
      </c>
      <c r="H70" t="s">
        <v>58</v>
      </c>
      <c r="I70" t="s">
        <v>59</v>
      </c>
      <c r="J70" t="s">
        <v>61</v>
      </c>
      <c r="K70" t="s">
        <v>62</v>
      </c>
    </row>
    <row r="71" spans="4:11" x14ac:dyDescent="0.25">
      <c r="D71" t="s">
        <v>55</v>
      </c>
      <c r="E71" t="s">
        <v>56</v>
      </c>
      <c r="F71" t="s">
        <v>57</v>
      </c>
      <c r="G71" t="s">
        <v>44</v>
      </c>
      <c r="H71" t="s">
        <v>58</v>
      </c>
      <c r="I71" t="s">
        <v>59</v>
      </c>
      <c r="J71" t="s">
        <v>61</v>
      </c>
      <c r="K71" t="s">
        <v>62</v>
      </c>
    </row>
    <row r="72" spans="4:11" x14ac:dyDescent="0.25">
      <c r="D72" t="s">
        <v>55</v>
      </c>
      <c r="E72" t="s">
        <v>56</v>
      </c>
      <c r="F72" t="s">
        <v>57</v>
      </c>
      <c r="G72" t="s">
        <v>44</v>
      </c>
      <c r="H72" t="s">
        <v>58</v>
      </c>
      <c r="I72" t="s">
        <v>59</v>
      </c>
      <c r="J72" t="s">
        <v>61</v>
      </c>
      <c r="K72" t="s">
        <v>62</v>
      </c>
    </row>
    <row r="73" spans="4:11" x14ac:dyDescent="0.25">
      <c r="D73" t="s">
        <v>55</v>
      </c>
      <c r="E73" t="s">
        <v>56</v>
      </c>
      <c r="F73" t="s">
        <v>57</v>
      </c>
      <c r="G73" t="s">
        <v>44</v>
      </c>
      <c r="H73" t="s">
        <v>58</v>
      </c>
      <c r="I73" t="s">
        <v>59</v>
      </c>
      <c r="J73" t="s">
        <v>61</v>
      </c>
      <c r="K73" t="s">
        <v>62</v>
      </c>
    </row>
    <row r="74" spans="4:11" x14ac:dyDescent="0.25">
      <c r="D74" t="s">
        <v>55</v>
      </c>
      <c r="E74" t="s">
        <v>56</v>
      </c>
      <c r="F74" t="s">
        <v>57</v>
      </c>
      <c r="G74" t="s">
        <v>44</v>
      </c>
      <c r="H74" t="s">
        <v>58</v>
      </c>
      <c r="I74" t="s">
        <v>59</v>
      </c>
      <c r="J74" t="s">
        <v>61</v>
      </c>
      <c r="K74" t="s">
        <v>62</v>
      </c>
    </row>
    <row r="75" spans="4:11" x14ac:dyDescent="0.25">
      <c r="D75" t="s">
        <v>55</v>
      </c>
      <c r="E75" t="s">
        <v>56</v>
      </c>
      <c r="F75" t="s">
        <v>57</v>
      </c>
      <c r="G75" t="s">
        <v>44</v>
      </c>
      <c r="H75" t="s">
        <v>58</v>
      </c>
      <c r="I75" t="s">
        <v>59</v>
      </c>
      <c r="J75" t="s">
        <v>61</v>
      </c>
      <c r="K75" t="s">
        <v>62</v>
      </c>
    </row>
    <row r="76" spans="4:11" x14ac:dyDescent="0.25">
      <c r="D76" t="s">
        <v>55</v>
      </c>
      <c r="E76" t="s">
        <v>56</v>
      </c>
      <c r="F76" t="s">
        <v>57</v>
      </c>
      <c r="G76" t="s">
        <v>44</v>
      </c>
      <c r="H76" t="s">
        <v>58</v>
      </c>
      <c r="I76" t="s">
        <v>59</v>
      </c>
      <c r="J76" t="s">
        <v>61</v>
      </c>
      <c r="K76" t="s">
        <v>62</v>
      </c>
    </row>
    <row r="77" spans="4:11" x14ac:dyDescent="0.25">
      <c r="D77" t="s">
        <v>55</v>
      </c>
      <c r="E77" t="s">
        <v>56</v>
      </c>
      <c r="F77" t="s">
        <v>57</v>
      </c>
      <c r="G77" t="s">
        <v>44</v>
      </c>
      <c r="H77" t="s">
        <v>58</v>
      </c>
      <c r="I77" t="s">
        <v>59</v>
      </c>
      <c r="J77" t="s">
        <v>61</v>
      </c>
      <c r="K77" t="s">
        <v>62</v>
      </c>
    </row>
    <row r="78" spans="4:11" x14ac:dyDescent="0.25">
      <c r="D78" t="s">
        <v>55</v>
      </c>
      <c r="E78" t="s">
        <v>56</v>
      </c>
      <c r="F78" t="s">
        <v>57</v>
      </c>
      <c r="G78" t="s">
        <v>44</v>
      </c>
      <c r="H78" t="s">
        <v>58</v>
      </c>
      <c r="I78" t="s">
        <v>59</v>
      </c>
      <c r="J78" t="s">
        <v>61</v>
      </c>
      <c r="K78" t="s">
        <v>62</v>
      </c>
    </row>
    <row r="79" spans="4:11" x14ac:dyDescent="0.25">
      <c r="D79" t="s">
        <v>55</v>
      </c>
      <c r="E79" t="s">
        <v>56</v>
      </c>
      <c r="F79" t="s">
        <v>57</v>
      </c>
      <c r="G79" t="s">
        <v>44</v>
      </c>
      <c r="H79" t="s">
        <v>58</v>
      </c>
      <c r="I79" t="s">
        <v>59</v>
      </c>
      <c r="J79" t="s">
        <v>61</v>
      </c>
      <c r="K79" t="s">
        <v>62</v>
      </c>
    </row>
    <row r="80" spans="4:11" x14ac:dyDescent="0.25">
      <c r="D80" t="s">
        <v>55</v>
      </c>
      <c r="E80" t="s">
        <v>56</v>
      </c>
      <c r="F80" t="s">
        <v>57</v>
      </c>
      <c r="G80" t="s">
        <v>44</v>
      </c>
      <c r="H80" t="s">
        <v>58</v>
      </c>
      <c r="I80" t="s">
        <v>59</v>
      </c>
      <c r="J80" t="s">
        <v>61</v>
      </c>
      <c r="K80" t="s">
        <v>62</v>
      </c>
    </row>
    <row r="81" spans="4:11" x14ac:dyDescent="0.25">
      <c r="D81" t="s">
        <v>55</v>
      </c>
      <c r="E81" t="s">
        <v>56</v>
      </c>
      <c r="F81" t="s">
        <v>57</v>
      </c>
      <c r="G81" t="s">
        <v>44</v>
      </c>
      <c r="H81" t="s">
        <v>58</v>
      </c>
      <c r="I81" t="s">
        <v>59</v>
      </c>
      <c r="J81" t="s">
        <v>61</v>
      </c>
      <c r="K81" t="s">
        <v>62</v>
      </c>
    </row>
    <row r="82" spans="4:11" x14ac:dyDescent="0.25">
      <c r="D82" t="s">
        <v>55</v>
      </c>
      <c r="E82" t="s">
        <v>56</v>
      </c>
      <c r="F82" t="s">
        <v>57</v>
      </c>
      <c r="G82" t="s">
        <v>44</v>
      </c>
      <c r="H82" t="s">
        <v>58</v>
      </c>
      <c r="I82" t="s">
        <v>59</v>
      </c>
      <c r="J82" t="s">
        <v>61</v>
      </c>
      <c r="K82" t="s">
        <v>62</v>
      </c>
    </row>
    <row r="83" spans="4:11" x14ac:dyDescent="0.25">
      <c r="D83" t="s">
        <v>55</v>
      </c>
      <c r="E83" t="s">
        <v>56</v>
      </c>
      <c r="F83" t="s">
        <v>57</v>
      </c>
      <c r="G83" t="s">
        <v>44</v>
      </c>
      <c r="H83" t="s">
        <v>58</v>
      </c>
      <c r="I83" t="s">
        <v>59</v>
      </c>
      <c r="J83" t="s">
        <v>61</v>
      </c>
      <c r="K83" t="s">
        <v>62</v>
      </c>
    </row>
    <row r="84" spans="4:11" x14ac:dyDescent="0.25">
      <c r="D84" t="s">
        <v>55</v>
      </c>
      <c r="E84" t="s">
        <v>56</v>
      </c>
      <c r="F84" t="s">
        <v>57</v>
      </c>
      <c r="G84" t="s">
        <v>44</v>
      </c>
      <c r="H84" t="s">
        <v>58</v>
      </c>
      <c r="I84" t="s">
        <v>59</v>
      </c>
      <c r="J84" t="s">
        <v>61</v>
      </c>
      <c r="K84" t="s">
        <v>62</v>
      </c>
    </row>
    <row r="85" spans="4:11" x14ac:dyDescent="0.25">
      <c r="D85" t="s">
        <v>55</v>
      </c>
      <c r="E85" t="s">
        <v>56</v>
      </c>
      <c r="F85" t="s">
        <v>57</v>
      </c>
      <c r="G85" t="s">
        <v>44</v>
      </c>
      <c r="H85" t="s">
        <v>58</v>
      </c>
      <c r="I85" t="s">
        <v>59</v>
      </c>
      <c r="J85" t="s">
        <v>61</v>
      </c>
      <c r="K85" t="s">
        <v>62</v>
      </c>
    </row>
    <row r="86" spans="4:11" x14ac:dyDescent="0.25">
      <c r="D86" t="s">
        <v>55</v>
      </c>
      <c r="E86" t="s">
        <v>56</v>
      </c>
      <c r="F86" t="s">
        <v>57</v>
      </c>
      <c r="G86" t="s">
        <v>44</v>
      </c>
      <c r="H86" t="s">
        <v>58</v>
      </c>
      <c r="I86" t="s">
        <v>59</v>
      </c>
      <c r="J86" t="s">
        <v>61</v>
      </c>
      <c r="K86" t="s">
        <v>62</v>
      </c>
    </row>
    <row r="87" spans="4:11" x14ac:dyDescent="0.25">
      <c r="D87" t="s">
        <v>55</v>
      </c>
      <c r="E87" t="s">
        <v>56</v>
      </c>
      <c r="F87" t="s">
        <v>57</v>
      </c>
      <c r="G87" t="s">
        <v>44</v>
      </c>
      <c r="H87" t="s">
        <v>58</v>
      </c>
      <c r="I87" t="s">
        <v>59</v>
      </c>
      <c r="J87" t="s">
        <v>61</v>
      </c>
      <c r="K87" t="s">
        <v>62</v>
      </c>
    </row>
    <row r="88" spans="4:11" x14ac:dyDescent="0.25">
      <c r="D88" t="s">
        <v>55</v>
      </c>
      <c r="E88" t="s">
        <v>56</v>
      </c>
      <c r="F88" t="s">
        <v>57</v>
      </c>
      <c r="G88" t="s">
        <v>44</v>
      </c>
      <c r="H88" t="s">
        <v>58</v>
      </c>
      <c r="I88" t="s">
        <v>59</v>
      </c>
      <c r="J88" t="s">
        <v>61</v>
      </c>
      <c r="K88" t="s">
        <v>62</v>
      </c>
    </row>
    <row r="89" spans="4:11" x14ac:dyDescent="0.25">
      <c r="D89" t="s">
        <v>55</v>
      </c>
      <c r="E89" t="s">
        <v>56</v>
      </c>
      <c r="F89" t="s">
        <v>57</v>
      </c>
      <c r="G89" t="s">
        <v>44</v>
      </c>
      <c r="H89" t="s">
        <v>58</v>
      </c>
      <c r="I89" t="s">
        <v>59</v>
      </c>
      <c r="J89" t="s">
        <v>61</v>
      </c>
      <c r="K89" t="s">
        <v>62</v>
      </c>
    </row>
    <row r="90" spans="4:11" x14ac:dyDescent="0.25">
      <c r="D90" t="s">
        <v>55</v>
      </c>
      <c r="E90" t="s">
        <v>56</v>
      </c>
      <c r="F90" t="s">
        <v>57</v>
      </c>
      <c r="G90" t="s">
        <v>44</v>
      </c>
      <c r="H90" t="s">
        <v>58</v>
      </c>
      <c r="I90" t="s">
        <v>59</v>
      </c>
      <c r="J90" t="s">
        <v>61</v>
      </c>
      <c r="K90" t="s">
        <v>62</v>
      </c>
    </row>
    <row r="91" spans="4:11" x14ac:dyDescent="0.25">
      <c r="D91" t="s">
        <v>55</v>
      </c>
      <c r="E91" t="s">
        <v>56</v>
      </c>
      <c r="F91" t="s">
        <v>57</v>
      </c>
      <c r="G91" t="s">
        <v>44</v>
      </c>
      <c r="H91" t="s">
        <v>58</v>
      </c>
      <c r="I91" t="s">
        <v>59</v>
      </c>
      <c r="J91" t="s">
        <v>61</v>
      </c>
      <c r="K91" t="s">
        <v>62</v>
      </c>
    </row>
    <row r="92" spans="4:11" x14ac:dyDescent="0.25">
      <c r="D92" t="s">
        <v>55</v>
      </c>
      <c r="E92" t="s">
        <v>56</v>
      </c>
      <c r="F92" t="s">
        <v>57</v>
      </c>
      <c r="G92" t="s">
        <v>44</v>
      </c>
      <c r="H92" t="s">
        <v>58</v>
      </c>
      <c r="I92" t="s">
        <v>59</v>
      </c>
      <c r="J92" t="s">
        <v>61</v>
      </c>
      <c r="K92" t="s">
        <v>62</v>
      </c>
    </row>
    <row r="93" spans="4:11" x14ac:dyDescent="0.25">
      <c r="D93" t="s">
        <v>55</v>
      </c>
      <c r="E93" t="s">
        <v>56</v>
      </c>
      <c r="F93" t="s">
        <v>57</v>
      </c>
      <c r="G93" t="s">
        <v>44</v>
      </c>
      <c r="H93" t="s">
        <v>58</v>
      </c>
      <c r="I93" t="s">
        <v>59</v>
      </c>
      <c r="J93" t="s">
        <v>61</v>
      </c>
      <c r="K93" t="s">
        <v>62</v>
      </c>
    </row>
    <row r="94" spans="4:11" x14ac:dyDescent="0.25">
      <c r="D94" t="s">
        <v>55</v>
      </c>
      <c r="E94" t="s">
        <v>56</v>
      </c>
      <c r="F94" t="s">
        <v>57</v>
      </c>
      <c r="G94" t="s">
        <v>44</v>
      </c>
      <c r="H94" t="s">
        <v>58</v>
      </c>
      <c r="I94" t="s">
        <v>59</v>
      </c>
      <c r="J94" t="s">
        <v>61</v>
      </c>
      <c r="K94" t="s">
        <v>62</v>
      </c>
    </row>
    <row r="95" spans="4:11" x14ac:dyDescent="0.25">
      <c r="D95" t="s">
        <v>55</v>
      </c>
      <c r="E95" t="s">
        <v>56</v>
      </c>
      <c r="F95" t="s">
        <v>57</v>
      </c>
      <c r="G95" t="s">
        <v>44</v>
      </c>
      <c r="H95" t="s">
        <v>58</v>
      </c>
      <c r="I95" t="s">
        <v>59</v>
      </c>
      <c r="J95" t="s">
        <v>61</v>
      </c>
      <c r="K95" t="s">
        <v>62</v>
      </c>
    </row>
    <row r="96" spans="4:11" x14ac:dyDescent="0.25">
      <c r="D96" t="s">
        <v>55</v>
      </c>
      <c r="E96" t="s">
        <v>56</v>
      </c>
      <c r="F96" t="s">
        <v>57</v>
      </c>
      <c r="G96" t="s">
        <v>44</v>
      </c>
      <c r="H96" t="s">
        <v>58</v>
      </c>
      <c r="I96" t="s">
        <v>59</v>
      </c>
      <c r="J96" t="s">
        <v>61</v>
      </c>
      <c r="K96" t="s">
        <v>62</v>
      </c>
    </row>
    <row r="97" spans="4:11" x14ac:dyDescent="0.25">
      <c r="D97" t="s">
        <v>55</v>
      </c>
      <c r="E97" t="s">
        <v>56</v>
      </c>
      <c r="F97" t="s">
        <v>57</v>
      </c>
      <c r="G97" t="s">
        <v>44</v>
      </c>
      <c r="H97" t="s">
        <v>58</v>
      </c>
      <c r="I97" t="s">
        <v>59</v>
      </c>
      <c r="J97" t="s">
        <v>61</v>
      </c>
      <c r="K97" t="s">
        <v>62</v>
      </c>
    </row>
    <row r="98" spans="4:11" x14ac:dyDescent="0.25">
      <c r="D98" t="s">
        <v>55</v>
      </c>
      <c r="E98" t="s">
        <v>56</v>
      </c>
      <c r="F98" t="s">
        <v>57</v>
      </c>
      <c r="G98" t="s">
        <v>44</v>
      </c>
      <c r="H98" t="s">
        <v>58</v>
      </c>
      <c r="I98" t="s">
        <v>59</v>
      </c>
      <c r="J98" t="s">
        <v>61</v>
      </c>
      <c r="K98" t="s">
        <v>62</v>
      </c>
    </row>
    <row r="99" spans="4:11" x14ac:dyDescent="0.25">
      <c r="D99" t="s">
        <v>55</v>
      </c>
      <c r="E99" t="s">
        <v>56</v>
      </c>
      <c r="F99" t="s">
        <v>57</v>
      </c>
      <c r="G99" t="s">
        <v>44</v>
      </c>
      <c r="H99" t="s">
        <v>58</v>
      </c>
      <c r="I99" t="s">
        <v>59</v>
      </c>
      <c r="J99" t="s">
        <v>61</v>
      </c>
      <c r="K99" t="s">
        <v>62</v>
      </c>
    </row>
    <row r="100" spans="4:11" x14ac:dyDescent="0.25">
      <c r="D100" t="s">
        <v>55</v>
      </c>
      <c r="E100" t="s">
        <v>56</v>
      </c>
      <c r="F100" t="s">
        <v>57</v>
      </c>
      <c r="G100" t="s">
        <v>44</v>
      </c>
      <c r="H100" t="s">
        <v>58</v>
      </c>
      <c r="I100" t="s">
        <v>59</v>
      </c>
      <c r="J100" t="s">
        <v>61</v>
      </c>
      <c r="K100" t="s">
        <v>62</v>
      </c>
    </row>
    <row r="101" spans="4:11" x14ac:dyDescent="0.25">
      <c r="D101" t="s">
        <v>55</v>
      </c>
      <c r="E101" t="s">
        <v>56</v>
      </c>
      <c r="F101" t="s">
        <v>57</v>
      </c>
      <c r="G101" t="s">
        <v>44</v>
      </c>
      <c r="H101" t="s">
        <v>58</v>
      </c>
      <c r="I101" t="s">
        <v>59</v>
      </c>
      <c r="J101" t="s">
        <v>61</v>
      </c>
      <c r="K101" t="s">
        <v>62</v>
      </c>
    </row>
    <row r="102" spans="4:11" x14ac:dyDescent="0.25">
      <c r="D102" t="s">
        <v>55</v>
      </c>
      <c r="E102" t="s">
        <v>56</v>
      </c>
      <c r="F102" t="s">
        <v>57</v>
      </c>
      <c r="G102" t="s">
        <v>44</v>
      </c>
      <c r="H102" t="s">
        <v>58</v>
      </c>
      <c r="I102" t="s">
        <v>59</v>
      </c>
      <c r="J102" t="s">
        <v>61</v>
      </c>
      <c r="K102" t="s">
        <v>62</v>
      </c>
    </row>
    <row r="103" spans="4:11" x14ac:dyDescent="0.25">
      <c r="D103" t="s">
        <v>55</v>
      </c>
      <c r="E103" t="s">
        <v>56</v>
      </c>
      <c r="F103" t="s">
        <v>57</v>
      </c>
      <c r="G103" t="s">
        <v>44</v>
      </c>
      <c r="H103" t="s">
        <v>58</v>
      </c>
      <c r="I103" t="s">
        <v>59</v>
      </c>
      <c r="J103" t="s">
        <v>61</v>
      </c>
      <c r="K103" t="s">
        <v>62</v>
      </c>
    </row>
    <row r="104" spans="4:11" x14ac:dyDescent="0.25">
      <c r="D104" t="s">
        <v>55</v>
      </c>
      <c r="E104" t="s">
        <v>56</v>
      </c>
      <c r="F104" t="s">
        <v>57</v>
      </c>
      <c r="G104" t="s">
        <v>44</v>
      </c>
      <c r="H104" t="s">
        <v>58</v>
      </c>
      <c r="I104" t="s">
        <v>59</v>
      </c>
      <c r="J104" t="s">
        <v>61</v>
      </c>
      <c r="K104" t="s">
        <v>62</v>
      </c>
    </row>
    <row r="105" spans="4:11" x14ac:dyDescent="0.25">
      <c r="D105" t="s">
        <v>55</v>
      </c>
      <c r="E105" t="s">
        <v>56</v>
      </c>
      <c r="F105" t="s">
        <v>57</v>
      </c>
      <c r="G105" t="s">
        <v>44</v>
      </c>
      <c r="H105" t="s">
        <v>58</v>
      </c>
      <c r="I105" t="s">
        <v>59</v>
      </c>
      <c r="J105" t="s">
        <v>61</v>
      </c>
      <c r="K105" t="s">
        <v>62</v>
      </c>
    </row>
    <row r="106" spans="4:11" x14ac:dyDescent="0.25">
      <c r="D106" t="s">
        <v>55</v>
      </c>
      <c r="E106" t="s">
        <v>56</v>
      </c>
      <c r="F106" t="s">
        <v>57</v>
      </c>
      <c r="G106" t="s">
        <v>44</v>
      </c>
      <c r="H106" t="s">
        <v>58</v>
      </c>
      <c r="I106" t="s">
        <v>59</v>
      </c>
      <c r="J106" t="s">
        <v>61</v>
      </c>
      <c r="K106" t="s">
        <v>62</v>
      </c>
    </row>
    <row r="107" spans="4:11" x14ac:dyDescent="0.25">
      <c r="D107" t="s">
        <v>55</v>
      </c>
      <c r="E107" t="s">
        <v>56</v>
      </c>
      <c r="F107" t="s">
        <v>57</v>
      </c>
      <c r="G107" t="s">
        <v>44</v>
      </c>
      <c r="H107" t="s">
        <v>58</v>
      </c>
      <c r="I107" t="s">
        <v>59</v>
      </c>
      <c r="J107" t="s">
        <v>61</v>
      </c>
      <c r="K107" t="s">
        <v>62</v>
      </c>
    </row>
    <row r="108" spans="4:11" x14ac:dyDescent="0.25">
      <c r="D108" t="s">
        <v>55</v>
      </c>
      <c r="E108" t="s">
        <v>56</v>
      </c>
      <c r="F108" t="s">
        <v>57</v>
      </c>
      <c r="G108" t="s">
        <v>44</v>
      </c>
      <c r="H108" t="s">
        <v>58</v>
      </c>
      <c r="I108" t="s">
        <v>59</v>
      </c>
      <c r="J108" t="s">
        <v>61</v>
      </c>
      <c r="K108" t="s">
        <v>62</v>
      </c>
    </row>
    <row r="109" spans="4:11" x14ac:dyDescent="0.25">
      <c r="D109" t="s">
        <v>55</v>
      </c>
      <c r="E109" t="s">
        <v>56</v>
      </c>
      <c r="F109" t="s">
        <v>57</v>
      </c>
      <c r="G109" t="s">
        <v>44</v>
      </c>
      <c r="H109" t="s">
        <v>58</v>
      </c>
      <c r="I109" t="s">
        <v>59</v>
      </c>
      <c r="J109" t="s">
        <v>61</v>
      </c>
      <c r="K109" t="s">
        <v>62</v>
      </c>
    </row>
    <row r="110" spans="4:11" x14ac:dyDescent="0.25">
      <c r="D110" t="s">
        <v>55</v>
      </c>
      <c r="E110" t="s">
        <v>56</v>
      </c>
      <c r="F110" t="s">
        <v>57</v>
      </c>
      <c r="G110" t="s">
        <v>44</v>
      </c>
      <c r="H110" t="s">
        <v>58</v>
      </c>
      <c r="I110" t="s">
        <v>59</v>
      </c>
      <c r="J110" t="s">
        <v>61</v>
      </c>
      <c r="K110" t="s">
        <v>62</v>
      </c>
    </row>
    <row r="111" spans="4:11" x14ac:dyDescent="0.25">
      <c r="D111" t="s">
        <v>55</v>
      </c>
      <c r="E111" t="s">
        <v>56</v>
      </c>
      <c r="F111" t="s">
        <v>57</v>
      </c>
      <c r="G111" t="s">
        <v>44</v>
      </c>
      <c r="H111" t="s">
        <v>58</v>
      </c>
      <c r="I111" t="s">
        <v>59</v>
      </c>
      <c r="J111" t="s">
        <v>61</v>
      </c>
      <c r="K111" t="s">
        <v>62</v>
      </c>
    </row>
    <row r="112" spans="4:11" x14ac:dyDescent="0.25">
      <c r="D112" t="s">
        <v>55</v>
      </c>
      <c r="E112" t="s">
        <v>56</v>
      </c>
      <c r="F112" t="s">
        <v>57</v>
      </c>
      <c r="G112" t="s">
        <v>44</v>
      </c>
      <c r="H112" t="s">
        <v>58</v>
      </c>
      <c r="I112" t="s">
        <v>59</v>
      </c>
      <c r="J112" t="s">
        <v>61</v>
      </c>
      <c r="K112" t="s">
        <v>62</v>
      </c>
    </row>
    <row r="113" spans="4:11" x14ac:dyDescent="0.25">
      <c r="D113" t="s">
        <v>55</v>
      </c>
      <c r="E113" t="s">
        <v>56</v>
      </c>
      <c r="F113" t="s">
        <v>57</v>
      </c>
      <c r="G113" t="s">
        <v>44</v>
      </c>
      <c r="H113" t="s">
        <v>58</v>
      </c>
      <c r="I113" t="s">
        <v>59</v>
      </c>
      <c r="J113" t="s">
        <v>61</v>
      </c>
      <c r="K113" t="s">
        <v>62</v>
      </c>
    </row>
    <row r="114" spans="4:11" x14ac:dyDescent="0.25">
      <c r="D114" t="s">
        <v>55</v>
      </c>
      <c r="E114" t="s">
        <v>56</v>
      </c>
      <c r="F114" t="s">
        <v>57</v>
      </c>
      <c r="G114" t="s">
        <v>44</v>
      </c>
      <c r="H114" t="s">
        <v>58</v>
      </c>
      <c r="I114" t="s">
        <v>59</v>
      </c>
      <c r="J114" t="s">
        <v>61</v>
      </c>
      <c r="K114" t="s">
        <v>62</v>
      </c>
    </row>
    <row r="115" spans="4:11" x14ac:dyDescent="0.25">
      <c r="D115" t="s">
        <v>55</v>
      </c>
      <c r="E115" t="s">
        <v>56</v>
      </c>
      <c r="F115" t="s">
        <v>57</v>
      </c>
      <c r="G115" t="s">
        <v>44</v>
      </c>
      <c r="H115" t="s">
        <v>58</v>
      </c>
      <c r="I115" t="s">
        <v>59</v>
      </c>
      <c r="J115" t="s">
        <v>61</v>
      </c>
      <c r="K115" t="s">
        <v>62</v>
      </c>
    </row>
    <row r="116" spans="4:11" x14ac:dyDescent="0.25">
      <c r="D116" t="s">
        <v>55</v>
      </c>
      <c r="E116" t="s">
        <v>56</v>
      </c>
      <c r="F116" t="s">
        <v>57</v>
      </c>
      <c r="G116" t="s">
        <v>44</v>
      </c>
      <c r="H116" t="s">
        <v>58</v>
      </c>
      <c r="I116" t="s">
        <v>59</v>
      </c>
      <c r="J116" t="s">
        <v>61</v>
      </c>
      <c r="K116" t="s">
        <v>62</v>
      </c>
    </row>
    <row r="117" spans="4:11" x14ac:dyDescent="0.25">
      <c r="D117" t="s">
        <v>55</v>
      </c>
      <c r="E117" t="s">
        <v>56</v>
      </c>
      <c r="F117" t="s">
        <v>57</v>
      </c>
      <c r="G117" t="s">
        <v>44</v>
      </c>
      <c r="H117" t="s">
        <v>58</v>
      </c>
      <c r="I117" t="s">
        <v>59</v>
      </c>
      <c r="J117" t="s">
        <v>61</v>
      </c>
      <c r="K117" t="s">
        <v>62</v>
      </c>
    </row>
    <row r="118" spans="4:11" x14ac:dyDescent="0.25">
      <c r="D118" t="s">
        <v>55</v>
      </c>
      <c r="E118" t="s">
        <v>56</v>
      </c>
      <c r="F118" t="s">
        <v>57</v>
      </c>
      <c r="G118" t="s">
        <v>44</v>
      </c>
      <c r="H118" t="s">
        <v>58</v>
      </c>
      <c r="I118" t="s">
        <v>59</v>
      </c>
      <c r="J118" t="s">
        <v>61</v>
      </c>
      <c r="K118" t="s">
        <v>62</v>
      </c>
    </row>
    <row r="119" spans="4:11" x14ac:dyDescent="0.25">
      <c r="D119" t="s">
        <v>55</v>
      </c>
      <c r="E119" t="s">
        <v>56</v>
      </c>
      <c r="F119" t="s">
        <v>57</v>
      </c>
      <c r="G119" t="s">
        <v>44</v>
      </c>
      <c r="H119" t="s">
        <v>58</v>
      </c>
      <c r="I119" t="s">
        <v>59</v>
      </c>
      <c r="J119" t="s">
        <v>61</v>
      </c>
      <c r="K119" t="s">
        <v>62</v>
      </c>
    </row>
    <row r="120" spans="4:11" x14ac:dyDescent="0.25">
      <c r="D120" t="s">
        <v>55</v>
      </c>
      <c r="E120" t="s">
        <v>56</v>
      </c>
      <c r="F120" t="s">
        <v>57</v>
      </c>
      <c r="G120" t="s">
        <v>44</v>
      </c>
      <c r="H120" t="s">
        <v>58</v>
      </c>
      <c r="I120" t="s">
        <v>59</v>
      </c>
      <c r="J120" t="s">
        <v>61</v>
      </c>
      <c r="K120" t="s">
        <v>62</v>
      </c>
    </row>
    <row r="121" spans="4:11" x14ac:dyDescent="0.25">
      <c r="D121" t="s">
        <v>55</v>
      </c>
      <c r="E121" t="s">
        <v>56</v>
      </c>
      <c r="F121" t="s">
        <v>57</v>
      </c>
      <c r="G121" t="s">
        <v>44</v>
      </c>
      <c r="H121" t="s">
        <v>58</v>
      </c>
      <c r="I121" t="s">
        <v>59</v>
      </c>
      <c r="J121" t="s">
        <v>61</v>
      </c>
      <c r="K121" t="s">
        <v>62</v>
      </c>
    </row>
    <row r="122" spans="4:11" x14ac:dyDescent="0.25">
      <c r="D122" t="s">
        <v>55</v>
      </c>
      <c r="E122" t="s">
        <v>56</v>
      </c>
      <c r="F122" t="s">
        <v>57</v>
      </c>
      <c r="G122" t="s">
        <v>44</v>
      </c>
      <c r="H122" t="s">
        <v>58</v>
      </c>
      <c r="I122" t="s">
        <v>59</v>
      </c>
      <c r="J122" t="s">
        <v>61</v>
      </c>
      <c r="K122" t="s">
        <v>62</v>
      </c>
    </row>
    <row r="123" spans="4:11" x14ac:dyDescent="0.25">
      <c r="D123" t="s">
        <v>55</v>
      </c>
      <c r="E123" t="s">
        <v>56</v>
      </c>
      <c r="F123" t="s">
        <v>57</v>
      </c>
      <c r="G123" t="s">
        <v>44</v>
      </c>
      <c r="H123" t="s">
        <v>58</v>
      </c>
      <c r="I123" t="s">
        <v>59</v>
      </c>
      <c r="J123" t="s">
        <v>61</v>
      </c>
      <c r="K123" t="s">
        <v>62</v>
      </c>
    </row>
    <row r="124" spans="4:11" x14ac:dyDescent="0.25">
      <c r="D124" t="s">
        <v>55</v>
      </c>
      <c r="E124" t="s">
        <v>56</v>
      </c>
      <c r="F124" t="s">
        <v>57</v>
      </c>
      <c r="G124" t="s">
        <v>44</v>
      </c>
      <c r="H124" t="s">
        <v>58</v>
      </c>
      <c r="I124" t="s">
        <v>59</v>
      </c>
      <c r="J124" t="s">
        <v>61</v>
      </c>
      <c r="K124" t="s">
        <v>62</v>
      </c>
    </row>
    <row r="125" spans="4:11" x14ac:dyDescent="0.25">
      <c r="D125" t="s">
        <v>55</v>
      </c>
      <c r="E125" t="s">
        <v>56</v>
      </c>
      <c r="F125" t="s">
        <v>57</v>
      </c>
      <c r="G125" t="s">
        <v>44</v>
      </c>
      <c r="H125" t="s">
        <v>58</v>
      </c>
      <c r="I125" t="s">
        <v>59</v>
      </c>
      <c r="J125" t="s">
        <v>61</v>
      </c>
      <c r="K125" t="s">
        <v>62</v>
      </c>
    </row>
    <row r="126" spans="4:11" x14ac:dyDescent="0.25">
      <c r="D126" t="s">
        <v>55</v>
      </c>
      <c r="E126" t="s">
        <v>56</v>
      </c>
      <c r="F126" t="s">
        <v>57</v>
      </c>
      <c r="G126" t="s">
        <v>44</v>
      </c>
      <c r="H126" t="s">
        <v>58</v>
      </c>
      <c r="I126" t="s">
        <v>59</v>
      </c>
      <c r="J126" t="s">
        <v>61</v>
      </c>
      <c r="K126" t="s">
        <v>62</v>
      </c>
    </row>
    <row r="127" spans="4:11" x14ac:dyDescent="0.25">
      <c r="D127" t="s">
        <v>55</v>
      </c>
      <c r="E127" t="s">
        <v>56</v>
      </c>
      <c r="F127" t="s">
        <v>57</v>
      </c>
      <c r="G127" t="s">
        <v>44</v>
      </c>
      <c r="H127" t="s">
        <v>58</v>
      </c>
      <c r="I127" t="s">
        <v>59</v>
      </c>
      <c r="J127" t="s">
        <v>61</v>
      </c>
      <c r="K127" t="s">
        <v>62</v>
      </c>
    </row>
    <row r="128" spans="4:11" x14ac:dyDescent="0.25">
      <c r="D128" t="s">
        <v>55</v>
      </c>
      <c r="E128" t="s">
        <v>56</v>
      </c>
      <c r="F128" t="s">
        <v>57</v>
      </c>
      <c r="G128" t="s">
        <v>44</v>
      </c>
      <c r="H128" t="s">
        <v>58</v>
      </c>
      <c r="I128" t="s">
        <v>59</v>
      </c>
      <c r="J128" t="s">
        <v>61</v>
      </c>
      <c r="K128" t="s">
        <v>62</v>
      </c>
    </row>
    <row r="129" spans="4:11" x14ac:dyDescent="0.25">
      <c r="D129" t="s">
        <v>55</v>
      </c>
      <c r="E129" t="s">
        <v>56</v>
      </c>
      <c r="F129" t="s">
        <v>57</v>
      </c>
      <c r="G129" t="s">
        <v>44</v>
      </c>
      <c r="H129" t="s">
        <v>58</v>
      </c>
      <c r="I129" t="s">
        <v>59</v>
      </c>
      <c r="J129" t="s">
        <v>61</v>
      </c>
      <c r="K129" t="s">
        <v>62</v>
      </c>
    </row>
    <row r="130" spans="4:11" x14ac:dyDescent="0.25">
      <c r="D130" t="s">
        <v>55</v>
      </c>
      <c r="E130" t="s">
        <v>56</v>
      </c>
      <c r="F130" t="s">
        <v>57</v>
      </c>
      <c r="G130" t="s">
        <v>44</v>
      </c>
      <c r="H130" t="s">
        <v>58</v>
      </c>
      <c r="I130" t="s">
        <v>59</v>
      </c>
      <c r="J130" t="s">
        <v>61</v>
      </c>
      <c r="K130" t="s">
        <v>62</v>
      </c>
    </row>
    <row r="131" spans="4:11" x14ac:dyDescent="0.25">
      <c r="D131" t="s">
        <v>55</v>
      </c>
      <c r="E131" t="s">
        <v>56</v>
      </c>
      <c r="F131" t="s">
        <v>57</v>
      </c>
      <c r="G131" t="s">
        <v>44</v>
      </c>
      <c r="H131" t="s">
        <v>58</v>
      </c>
      <c r="I131" t="s">
        <v>59</v>
      </c>
      <c r="J131" t="s">
        <v>61</v>
      </c>
      <c r="K131" t="s">
        <v>62</v>
      </c>
    </row>
    <row r="132" spans="4:11" x14ac:dyDescent="0.25">
      <c r="D132" t="s">
        <v>55</v>
      </c>
      <c r="E132" t="s">
        <v>56</v>
      </c>
      <c r="F132" t="s">
        <v>57</v>
      </c>
      <c r="G132" t="s">
        <v>44</v>
      </c>
      <c r="H132" t="s">
        <v>58</v>
      </c>
      <c r="I132" t="s">
        <v>59</v>
      </c>
      <c r="J132" t="s">
        <v>61</v>
      </c>
      <c r="K132" t="s">
        <v>62</v>
      </c>
    </row>
    <row r="133" spans="4:11" x14ac:dyDescent="0.25">
      <c r="D133" t="s">
        <v>55</v>
      </c>
      <c r="E133" t="s">
        <v>56</v>
      </c>
      <c r="F133" t="s">
        <v>57</v>
      </c>
      <c r="G133" t="s">
        <v>44</v>
      </c>
      <c r="H133" t="s">
        <v>58</v>
      </c>
      <c r="I133" t="s">
        <v>59</v>
      </c>
      <c r="J133" t="s">
        <v>61</v>
      </c>
      <c r="K133" t="s">
        <v>62</v>
      </c>
    </row>
    <row r="134" spans="4:11" x14ac:dyDescent="0.25">
      <c r="D134" t="s">
        <v>55</v>
      </c>
      <c r="E134" t="s">
        <v>56</v>
      </c>
      <c r="F134" t="s">
        <v>57</v>
      </c>
      <c r="G134" t="s">
        <v>44</v>
      </c>
      <c r="H134" t="s">
        <v>58</v>
      </c>
      <c r="I134" t="s">
        <v>59</v>
      </c>
      <c r="J134" t="s">
        <v>61</v>
      </c>
      <c r="K134" t="s">
        <v>62</v>
      </c>
    </row>
    <row r="135" spans="4:11" x14ac:dyDescent="0.25">
      <c r="D135" t="s">
        <v>55</v>
      </c>
      <c r="E135" t="s">
        <v>56</v>
      </c>
      <c r="F135" t="s">
        <v>57</v>
      </c>
      <c r="G135" t="s">
        <v>44</v>
      </c>
      <c r="H135" t="s">
        <v>58</v>
      </c>
      <c r="I135" t="s">
        <v>59</v>
      </c>
      <c r="J135" t="s">
        <v>61</v>
      </c>
      <c r="K135" t="s">
        <v>62</v>
      </c>
    </row>
    <row r="136" spans="4:11" x14ac:dyDescent="0.25">
      <c r="D136" t="s">
        <v>55</v>
      </c>
      <c r="E136" t="s">
        <v>56</v>
      </c>
      <c r="F136" t="s">
        <v>57</v>
      </c>
      <c r="G136" t="s">
        <v>44</v>
      </c>
      <c r="H136" t="s">
        <v>58</v>
      </c>
      <c r="I136" t="s">
        <v>59</v>
      </c>
      <c r="J136" t="s">
        <v>61</v>
      </c>
      <c r="K136" t="s">
        <v>62</v>
      </c>
    </row>
    <row r="137" spans="4:11" x14ac:dyDescent="0.25">
      <c r="D137" t="s">
        <v>55</v>
      </c>
      <c r="E137" t="s">
        <v>56</v>
      </c>
      <c r="F137" t="s">
        <v>57</v>
      </c>
      <c r="G137" t="s">
        <v>44</v>
      </c>
      <c r="H137" t="s">
        <v>58</v>
      </c>
      <c r="I137" t="s">
        <v>59</v>
      </c>
      <c r="J137" t="s">
        <v>61</v>
      </c>
      <c r="K137" t="s">
        <v>62</v>
      </c>
    </row>
    <row r="138" spans="4:11" x14ac:dyDescent="0.25">
      <c r="D138" t="s">
        <v>55</v>
      </c>
      <c r="E138" t="s">
        <v>56</v>
      </c>
      <c r="F138" t="s">
        <v>57</v>
      </c>
      <c r="G138" t="s">
        <v>44</v>
      </c>
      <c r="H138" t="s">
        <v>58</v>
      </c>
      <c r="I138" t="s">
        <v>59</v>
      </c>
      <c r="J138" t="s">
        <v>61</v>
      </c>
      <c r="K138" t="s">
        <v>62</v>
      </c>
    </row>
    <row r="139" spans="4:11" x14ac:dyDescent="0.25">
      <c r="D139" t="s">
        <v>55</v>
      </c>
      <c r="E139" t="s">
        <v>56</v>
      </c>
      <c r="F139" t="s">
        <v>57</v>
      </c>
      <c r="G139" t="s">
        <v>44</v>
      </c>
      <c r="H139" t="s">
        <v>58</v>
      </c>
      <c r="I139" t="s">
        <v>59</v>
      </c>
      <c r="J139" t="s">
        <v>61</v>
      </c>
      <c r="K139" t="s">
        <v>62</v>
      </c>
    </row>
    <row r="140" spans="4:11" x14ac:dyDescent="0.25">
      <c r="D140" t="s">
        <v>55</v>
      </c>
      <c r="E140" t="s">
        <v>56</v>
      </c>
      <c r="F140" t="s">
        <v>57</v>
      </c>
      <c r="G140" t="s">
        <v>44</v>
      </c>
      <c r="H140" t="s">
        <v>58</v>
      </c>
      <c r="I140" t="s">
        <v>59</v>
      </c>
      <c r="J140" t="s">
        <v>61</v>
      </c>
      <c r="K140" t="s">
        <v>62</v>
      </c>
    </row>
    <row r="141" spans="4:11" x14ac:dyDescent="0.25">
      <c r="D141" t="s">
        <v>55</v>
      </c>
      <c r="E141" t="s">
        <v>56</v>
      </c>
      <c r="F141" t="s">
        <v>57</v>
      </c>
      <c r="G141" t="s">
        <v>44</v>
      </c>
      <c r="H141" t="s">
        <v>58</v>
      </c>
      <c r="I141" t="s">
        <v>59</v>
      </c>
      <c r="J141" t="s">
        <v>61</v>
      </c>
      <c r="K141" t="s">
        <v>62</v>
      </c>
    </row>
    <row r="142" spans="4:11" x14ac:dyDescent="0.25">
      <c r="D142" t="s">
        <v>55</v>
      </c>
      <c r="E142" t="s">
        <v>56</v>
      </c>
      <c r="F142" t="s">
        <v>57</v>
      </c>
      <c r="G142" t="s">
        <v>44</v>
      </c>
      <c r="H142" t="s">
        <v>58</v>
      </c>
      <c r="I142" t="s">
        <v>59</v>
      </c>
      <c r="J142" t="s">
        <v>61</v>
      </c>
      <c r="K142" t="s">
        <v>62</v>
      </c>
    </row>
    <row r="143" spans="4:11" x14ac:dyDescent="0.25">
      <c r="D143" t="s">
        <v>55</v>
      </c>
      <c r="E143" t="s">
        <v>56</v>
      </c>
      <c r="F143" t="s">
        <v>57</v>
      </c>
      <c r="G143" t="s">
        <v>44</v>
      </c>
      <c r="H143" t="s">
        <v>58</v>
      </c>
      <c r="I143" t="s">
        <v>59</v>
      </c>
      <c r="J143" t="s">
        <v>61</v>
      </c>
      <c r="K143" t="s">
        <v>62</v>
      </c>
    </row>
    <row r="144" spans="4:11" x14ac:dyDescent="0.25">
      <c r="D144" t="s">
        <v>55</v>
      </c>
      <c r="E144" t="s">
        <v>56</v>
      </c>
      <c r="F144" t="s">
        <v>57</v>
      </c>
      <c r="G144" t="s">
        <v>44</v>
      </c>
      <c r="H144" t="s">
        <v>58</v>
      </c>
      <c r="I144" t="s">
        <v>59</v>
      </c>
      <c r="J144" t="s">
        <v>61</v>
      </c>
      <c r="K144" t="s">
        <v>62</v>
      </c>
    </row>
    <row r="145" spans="4:11" x14ac:dyDescent="0.25">
      <c r="D145" t="s">
        <v>55</v>
      </c>
      <c r="E145" t="s">
        <v>56</v>
      </c>
      <c r="F145" t="s">
        <v>57</v>
      </c>
      <c r="G145" t="s">
        <v>44</v>
      </c>
      <c r="H145" t="s">
        <v>58</v>
      </c>
      <c r="I145" t="s">
        <v>59</v>
      </c>
      <c r="J145" t="s">
        <v>61</v>
      </c>
      <c r="K145" t="s">
        <v>62</v>
      </c>
    </row>
    <row r="146" spans="4:11" x14ac:dyDescent="0.25">
      <c r="D146" t="s">
        <v>55</v>
      </c>
      <c r="E146" t="s">
        <v>56</v>
      </c>
      <c r="F146" t="s">
        <v>57</v>
      </c>
      <c r="G146" t="s">
        <v>44</v>
      </c>
      <c r="H146" t="s">
        <v>58</v>
      </c>
      <c r="I146" t="s">
        <v>59</v>
      </c>
      <c r="J146" t="s">
        <v>61</v>
      </c>
      <c r="K146" t="s">
        <v>62</v>
      </c>
    </row>
    <row r="147" spans="4:11" x14ac:dyDescent="0.25">
      <c r="D147" t="s">
        <v>55</v>
      </c>
      <c r="E147" t="s">
        <v>56</v>
      </c>
      <c r="F147" t="s">
        <v>57</v>
      </c>
      <c r="G147" t="s">
        <v>44</v>
      </c>
      <c r="H147" t="s">
        <v>58</v>
      </c>
      <c r="I147" t="s">
        <v>59</v>
      </c>
      <c r="J147" t="s">
        <v>61</v>
      </c>
      <c r="K147" t="s">
        <v>62</v>
      </c>
    </row>
    <row r="148" spans="4:11" x14ac:dyDescent="0.25">
      <c r="D148" t="s">
        <v>55</v>
      </c>
      <c r="E148" t="s">
        <v>56</v>
      </c>
      <c r="F148" t="s">
        <v>57</v>
      </c>
      <c r="G148" t="s">
        <v>44</v>
      </c>
      <c r="H148" t="s">
        <v>58</v>
      </c>
      <c r="I148" t="s">
        <v>59</v>
      </c>
      <c r="J148" t="s">
        <v>61</v>
      </c>
      <c r="K148" t="s">
        <v>62</v>
      </c>
    </row>
    <row r="149" spans="4:11" x14ac:dyDescent="0.25">
      <c r="D149" t="s">
        <v>55</v>
      </c>
      <c r="E149" t="s">
        <v>56</v>
      </c>
      <c r="F149" t="s">
        <v>57</v>
      </c>
      <c r="G149" t="s">
        <v>44</v>
      </c>
      <c r="H149" t="s">
        <v>58</v>
      </c>
      <c r="I149" t="s">
        <v>59</v>
      </c>
      <c r="J149" t="s">
        <v>61</v>
      </c>
      <c r="K149" t="s">
        <v>62</v>
      </c>
    </row>
    <row r="150" spans="4:11" x14ac:dyDescent="0.25">
      <c r="D150" t="s">
        <v>55</v>
      </c>
      <c r="E150" t="s">
        <v>56</v>
      </c>
      <c r="F150" t="s">
        <v>57</v>
      </c>
      <c r="G150" t="s">
        <v>44</v>
      </c>
      <c r="H150" t="s">
        <v>58</v>
      </c>
      <c r="I150" t="s">
        <v>59</v>
      </c>
      <c r="J150" t="s">
        <v>61</v>
      </c>
      <c r="K150" t="s">
        <v>62</v>
      </c>
    </row>
    <row r="151" spans="4:11" x14ac:dyDescent="0.25">
      <c r="D151" t="s">
        <v>55</v>
      </c>
      <c r="E151" t="s">
        <v>56</v>
      </c>
      <c r="F151" t="s">
        <v>57</v>
      </c>
      <c r="G151" t="s">
        <v>44</v>
      </c>
      <c r="H151" t="s">
        <v>58</v>
      </c>
      <c r="I151" t="s">
        <v>59</v>
      </c>
      <c r="J151" t="s">
        <v>61</v>
      </c>
      <c r="K151" t="s">
        <v>62</v>
      </c>
    </row>
    <row r="152" spans="4:11" x14ac:dyDescent="0.25">
      <c r="D152" t="s">
        <v>55</v>
      </c>
      <c r="E152" t="s">
        <v>56</v>
      </c>
      <c r="F152" t="s">
        <v>57</v>
      </c>
      <c r="G152" t="s">
        <v>44</v>
      </c>
      <c r="H152" t="s">
        <v>58</v>
      </c>
      <c r="I152" t="s">
        <v>59</v>
      </c>
      <c r="J152" t="s">
        <v>61</v>
      </c>
      <c r="K152" t="s">
        <v>62</v>
      </c>
    </row>
    <row r="153" spans="4:11" x14ac:dyDescent="0.25">
      <c r="D153" t="s">
        <v>55</v>
      </c>
      <c r="E153" t="s">
        <v>56</v>
      </c>
      <c r="F153" t="s">
        <v>57</v>
      </c>
      <c r="G153" t="s">
        <v>44</v>
      </c>
      <c r="H153" t="s">
        <v>58</v>
      </c>
      <c r="I153" t="s">
        <v>59</v>
      </c>
      <c r="J153" t="s">
        <v>61</v>
      </c>
      <c r="K153" t="s">
        <v>62</v>
      </c>
    </row>
    <row r="154" spans="4:11" x14ac:dyDescent="0.25">
      <c r="D154" t="s">
        <v>55</v>
      </c>
      <c r="E154" t="s">
        <v>56</v>
      </c>
      <c r="F154" t="s">
        <v>57</v>
      </c>
      <c r="G154" t="s">
        <v>44</v>
      </c>
      <c r="H154" t="s">
        <v>58</v>
      </c>
      <c r="I154" t="s">
        <v>59</v>
      </c>
      <c r="J154" t="s">
        <v>61</v>
      </c>
      <c r="K154" t="s">
        <v>62</v>
      </c>
    </row>
    <row r="155" spans="4:11" x14ac:dyDescent="0.25">
      <c r="D155" t="s">
        <v>55</v>
      </c>
      <c r="E155" t="s">
        <v>56</v>
      </c>
      <c r="F155" t="s">
        <v>57</v>
      </c>
      <c r="G155" t="s">
        <v>44</v>
      </c>
      <c r="H155" t="s">
        <v>58</v>
      </c>
      <c r="I155" t="s">
        <v>59</v>
      </c>
      <c r="J155" t="s">
        <v>61</v>
      </c>
      <c r="K155" t="s">
        <v>62</v>
      </c>
    </row>
    <row r="156" spans="4:11" x14ac:dyDescent="0.25">
      <c r="D156" t="s">
        <v>55</v>
      </c>
      <c r="E156" t="s">
        <v>56</v>
      </c>
      <c r="F156" t="s">
        <v>57</v>
      </c>
      <c r="G156" t="s">
        <v>44</v>
      </c>
      <c r="H156" t="s">
        <v>58</v>
      </c>
      <c r="I156" t="s">
        <v>59</v>
      </c>
      <c r="J156" t="s">
        <v>61</v>
      </c>
      <c r="K156" t="s">
        <v>62</v>
      </c>
    </row>
    <row r="157" spans="4:11" x14ac:dyDescent="0.25">
      <c r="D157" t="s">
        <v>55</v>
      </c>
      <c r="E157" t="s">
        <v>56</v>
      </c>
      <c r="F157" t="s">
        <v>57</v>
      </c>
      <c r="G157" t="s">
        <v>44</v>
      </c>
      <c r="H157" t="s">
        <v>58</v>
      </c>
      <c r="I157" t="s">
        <v>59</v>
      </c>
      <c r="J157" t="s">
        <v>61</v>
      </c>
      <c r="K157" t="s">
        <v>62</v>
      </c>
    </row>
    <row r="158" spans="4:11" x14ac:dyDescent="0.25">
      <c r="D158" t="s">
        <v>55</v>
      </c>
      <c r="E158" t="s">
        <v>56</v>
      </c>
      <c r="F158" t="s">
        <v>57</v>
      </c>
      <c r="G158" t="s">
        <v>44</v>
      </c>
      <c r="H158" t="s">
        <v>58</v>
      </c>
      <c r="I158" t="s">
        <v>59</v>
      </c>
      <c r="J158" t="s">
        <v>61</v>
      </c>
      <c r="K158" t="s">
        <v>62</v>
      </c>
    </row>
    <row r="159" spans="4:11" x14ac:dyDescent="0.25">
      <c r="D159" t="s">
        <v>55</v>
      </c>
      <c r="E159" t="s">
        <v>56</v>
      </c>
      <c r="F159" t="s">
        <v>57</v>
      </c>
      <c r="G159" t="s">
        <v>44</v>
      </c>
      <c r="H159" t="s">
        <v>58</v>
      </c>
      <c r="I159" t="s">
        <v>59</v>
      </c>
      <c r="J159" t="s">
        <v>61</v>
      </c>
      <c r="K159" t="s">
        <v>62</v>
      </c>
    </row>
    <row r="160" spans="4:11" x14ac:dyDescent="0.25">
      <c r="D160" t="s">
        <v>55</v>
      </c>
      <c r="E160" t="s">
        <v>56</v>
      </c>
      <c r="F160" t="s">
        <v>57</v>
      </c>
      <c r="G160" t="s">
        <v>44</v>
      </c>
      <c r="H160" t="s">
        <v>58</v>
      </c>
      <c r="I160" t="s">
        <v>59</v>
      </c>
      <c r="J160" t="s">
        <v>61</v>
      </c>
      <c r="K160" t="s">
        <v>62</v>
      </c>
    </row>
    <row r="161" spans="4:11" x14ac:dyDescent="0.25">
      <c r="D161" t="s">
        <v>55</v>
      </c>
      <c r="E161" t="s">
        <v>56</v>
      </c>
      <c r="F161" t="s">
        <v>57</v>
      </c>
      <c r="G161" t="s">
        <v>44</v>
      </c>
      <c r="H161" t="s">
        <v>58</v>
      </c>
      <c r="I161" t="s">
        <v>59</v>
      </c>
      <c r="J161" t="s">
        <v>61</v>
      </c>
      <c r="K161" t="s">
        <v>62</v>
      </c>
    </row>
    <row r="162" spans="4:11" x14ac:dyDescent="0.25">
      <c r="D162" t="s">
        <v>55</v>
      </c>
      <c r="E162" t="s">
        <v>56</v>
      </c>
      <c r="F162" t="s">
        <v>57</v>
      </c>
      <c r="G162" t="s">
        <v>44</v>
      </c>
      <c r="H162" t="s">
        <v>58</v>
      </c>
      <c r="I162" t="s">
        <v>59</v>
      </c>
      <c r="J162" t="s">
        <v>61</v>
      </c>
      <c r="K162" t="s">
        <v>62</v>
      </c>
    </row>
    <row r="163" spans="4:11" x14ac:dyDescent="0.25">
      <c r="D163" t="s">
        <v>55</v>
      </c>
      <c r="E163" t="s">
        <v>56</v>
      </c>
      <c r="F163" t="s">
        <v>57</v>
      </c>
      <c r="G163" t="s">
        <v>44</v>
      </c>
      <c r="H163" t="s">
        <v>58</v>
      </c>
      <c r="I163" t="s">
        <v>59</v>
      </c>
      <c r="J163" t="s">
        <v>61</v>
      </c>
      <c r="K163" t="s">
        <v>62</v>
      </c>
    </row>
    <row r="164" spans="4:11" x14ac:dyDescent="0.25">
      <c r="D164" t="s">
        <v>55</v>
      </c>
      <c r="E164" t="s">
        <v>56</v>
      </c>
      <c r="F164" t="s">
        <v>57</v>
      </c>
      <c r="G164" t="s">
        <v>44</v>
      </c>
      <c r="H164" t="s">
        <v>58</v>
      </c>
      <c r="I164" t="s">
        <v>59</v>
      </c>
      <c r="J164" t="s">
        <v>61</v>
      </c>
      <c r="K164" t="s">
        <v>62</v>
      </c>
    </row>
    <row r="165" spans="4:11" x14ac:dyDescent="0.25">
      <c r="D165" t="s">
        <v>55</v>
      </c>
      <c r="E165" t="s">
        <v>56</v>
      </c>
      <c r="F165" t="s">
        <v>57</v>
      </c>
      <c r="G165" t="s">
        <v>44</v>
      </c>
      <c r="H165" t="s">
        <v>58</v>
      </c>
      <c r="I165" t="s">
        <v>59</v>
      </c>
      <c r="J165" t="s">
        <v>61</v>
      </c>
      <c r="K165" t="s">
        <v>62</v>
      </c>
    </row>
    <row r="166" spans="4:11" x14ac:dyDescent="0.25">
      <c r="D166" t="s">
        <v>55</v>
      </c>
      <c r="E166" t="s">
        <v>56</v>
      </c>
      <c r="F166" t="s">
        <v>57</v>
      </c>
      <c r="G166" t="s">
        <v>44</v>
      </c>
      <c r="H166" t="s">
        <v>58</v>
      </c>
      <c r="I166" t="s">
        <v>59</v>
      </c>
      <c r="J166" t="s">
        <v>61</v>
      </c>
      <c r="K166" t="s">
        <v>62</v>
      </c>
    </row>
    <row r="167" spans="4:11" x14ac:dyDescent="0.25">
      <c r="D167" t="s">
        <v>55</v>
      </c>
      <c r="E167" t="s">
        <v>56</v>
      </c>
      <c r="F167" t="s">
        <v>57</v>
      </c>
      <c r="G167" t="s">
        <v>44</v>
      </c>
      <c r="H167" t="s">
        <v>58</v>
      </c>
      <c r="I167" t="s">
        <v>59</v>
      </c>
      <c r="J167" t="s">
        <v>61</v>
      </c>
      <c r="K167" t="s">
        <v>62</v>
      </c>
    </row>
    <row r="168" spans="4:11" x14ac:dyDescent="0.25">
      <c r="D168" t="s">
        <v>55</v>
      </c>
      <c r="E168" t="s">
        <v>56</v>
      </c>
      <c r="F168" t="s">
        <v>57</v>
      </c>
      <c r="G168" t="s">
        <v>44</v>
      </c>
      <c r="H168" t="s">
        <v>58</v>
      </c>
      <c r="I168" t="s">
        <v>59</v>
      </c>
      <c r="J168" t="s">
        <v>61</v>
      </c>
      <c r="K168" t="s">
        <v>62</v>
      </c>
    </row>
    <row r="169" spans="4:11" x14ac:dyDescent="0.25">
      <c r="D169" t="s">
        <v>55</v>
      </c>
      <c r="E169" t="s">
        <v>56</v>
      </c>
      <c r="F169" t="s">
        <v>57</v>
      </c>
      <c r="G169" t="s">
        <v>44</v>
      </c>
      <c r="H169" t="s">
        <v>58</v>
      </c>
      <c r="I169" t="s">
        <v>59</v>
      </c>
      <c r="J169" t="s">
        <v>61</v>
      </c>
      <c r="K169" t="s">
        <v>62</v>
      </c>
    </row>
    <row r="170" spans="4:11" x14ac:dyDescent="0.25">
      <c r="D170" t="s">
        <v>55</v>
      </c>
      <c r="E170" t="s">
        <v>56</v>
      </c>
      <c r="F170" t="s">
        <v>57</v>
      </c>
      <c r="G170" t="s">
        <v>44</v>
      </c>
      <c r="H170" t="s">
        <v>58</v>
      </c>
      <c r="I170" t="s">
        <v>59</v>
      </c>
      <c r="J170" t="s">
        <v>61</v>
      </c>
      <c r="K170" t="s">
        <v>62</v>
      </c>
    </row>
    <row r="171" spans="4:11" x14ac:dyDescent="0.25">
      <c r="D171" t="s">
        <v>55</v>
      </c>
      <c r="E171" t="s">
        <v>56</v>
      </c>
      <c r="F171" t="s">
        <v>57</v>
      </c>
      <c r="G171" t="s">
        <v>44</v>
      </c>
      <c r="H171" t="s">
        <v>58</v>
      </c>
      <c r="I171" t="s">
        <v>59</v>
      </c>
      <c r="J171" t="s">
        <v>61</v>
      </c>
      <c r="K171" t="s">
        <v>62</v>
      </c>
    </row>
    <row r="172" spans="4:11" x14ac:dyDescent="0.25">
      <c r="D172" t="s">
        <v>55</v>
      </c>
      <c r="E172" t="s">
        <v>56</v>
      </c>
      <c r="F172" t="s">
        <v>57</v>
      </c>
      <c r="G172" t="s">
        <v>44</v>
      </c>
      <c r="H172" t="s">
        <v>58</v>
      </c>
      <c r="I172" t="s">
        <v>59</v>
      </c>
      <c r="J172" t="s">
        <v>61</v>
      </c>
      <c r="K172" t="s">
        <v>62</v>
      </c>
    </row>
    <row r="173" spans="4:11" x14ac:dyDescent="0.25">
      <c r="D173" t="s">
        <v>55</v>
      </c>
      <c r="E173" t="s">
        <v>56</v>
      </c>
      <c r="F173" t="s">
        <v>57</v>
      </c>
      <c r="G173" t="s">
        <v>44</v>
      </c>
      <c r="H173" t="s">
        <v>58</v>
      </c>
      <c r="I173" t="s">
        <v>59</v>
      </c>
      <c r="J173" t="s">
        <v>61</v>
      </c>
      <c r="K173" t="s">
        <v>62</v>
      </c>
    </row>
    <row r="174" spans="4:11" x14ac:dyDescent="0.25">
      <c r="D174" t="s">
        <v>55</v>
      </c>
      <c r="E174" t="s">
        <v>56</v>
      </c>
      <c r="F174" t="s">
        <v>57</v>
      </c>
      <c r="G174" t="s">
        <v>44</v>
      </c>
      <c r="H174" t="s">
        <v>58</v>
      </c>
      <c r="I174" t="s">
        <v>59</v>
      </c>
      <c r="J174" t="s">
        <v>61</v>
      </c>
      <c r="K174" t="s">
        <v>62</v>
      </c>
    </row>
    <row r="175" spans="4:11" x14ac:dyDescent="0.25">
      <c r="D175" t="s">
        <v>55</v>
      </c>
      <c r="E175" t="s">
        <v>56</v>
      </c>
      <c r="F175" t="s">
        <v>57</v>
      </c>
      <c r="G175" t="s">
        <v>44</v>
      </c>
      <c r="H175" t="s">
        <v>58</v>
      </c>
      <c r="I175" t="s">
        <v>59</v>
      </c>
      <c r="J175" t="s">
        <v>61</v>
      </c>
      <c r="K175" t="s">
        <v>62</v>
      </c>
    </row>
    <row r="176" spans="4:11" x14ac:dyDescent="0.25">
      <c r="D176" t="s">
        <v>55</v>
      </c>
      <c r="E176" t="s">
        <v>56</v>
      </c>
      <c r="F176" t="s">
        <v>57</v>
      </c>
      <c r="G176" t="s">
        <v>44</v>
      </c>
      <c r="H176" t="s">
        <v>58</v>
      </c>
      <c r="I176" t="s">
        <v>59</v>
      </c>
      <c r="J176" t="s">
        <v>61</v>
      </c>
      <c r="K176" t="s">
        <v>62</v>
      </c>
    </row>
    <row r="177" spans="4:11" x14ac:dyDescent="0.25">
      <c r="D177" t="s">
        <v>55</v>
      </c>
      <c r="E177" t="s">
        <v>56</v>
      </c>
      <c r="F177" t="s">
        <v>57</v>
      </c>
      <c r="G177" t="s">
        <v>44</v>
      </c>
      <c r="H177" t="s">
        <v>58</v>
      </c>
      <c r="I177" t="s">
        <v>59</v>
      </c>
      <c r="J177" t="s">
        <v>61</v>
      </c>
      <c r="K177" t="s">
        <v>62</v>
      </c>
    </row>
    <row r="178" spans="4:11" x14ac:dyDescent="0.25">
      <c r="D178" t="s">
        <v>55</v>
      </c>
      <c r="E178" t="s">
        <v>56</v>
      </c>
      <c r="F178" t="s">
        <v>57</v>
      </c>
      <c r="G178" t="s">
        <v>44</v>
      </c>
      <c r="H178" t="s">
        <v>58</v>
      </c>
      <c r="I178" t="s">
        <v>59</v>
      </c>
      <c r="J178" t="s">
        <v>61</v>
      </c>
      <c r="K178" t="s">
        <v>62</v>
      </c>
    </row>
    <row r="179" spans="4:11" x14ac:dyDescent="0.25">
      <c r="D179" t="s">
        <v>55</v>
      </c>
      <c r="E179" t="s">
        <v>56</v>
      </c>
      <c r="F179" t="s">
        <v>57</v>
      </c>
      <c r="G179" t="s">
        <v>44</v>
      </c>
      <c r="H179" t="s">
        <v>58</v>
      </c>
      <c r="I179" t="s">
        <v>59</v>
      </c>
      <c r="J179" t="s">
        <v>61</v>
      </c>
      <c r="K179" t="s">
        <v>62</v>
      </c>
    </row>
    <row r="180" spans="4:11" x14ac:dyDescent="0.25">
      <c r="D180" t="s">
        <v>55</v>
      </c>
      <c r="E180" t="s">
        <v>56</v>
      </c>
      <c r="F180" t="s">
        <v>57</v>
      </c>
      <c r="G180" t="s">
        <v>44</v>
      </c>
      <c r="H180" t="s">
        <v>58</v>
      </c>
      <c r="I180" t="s">
        <v>59</v>
      </c>
      <c r="J180" t="s">
        <v>61</v>
      </c>
      <c r="K180" t="s">
        <v>62</v>
      </c>
    </row>
    <row r="181" spans="4:11" x14ac:dyDescent="0.25">
      <c r="D181" t="s">
        <v>55</v>
      </c>
      <c r="E181" t="s">
        <v>56</v>
      </c>
      <c r="F181" t="s">
        <v>57</v>
      </c>
      <c r="G181" t="s">
        <v>44</v>
      </c>
      <c r="H181" t="s">
        <v>58</v>
      </c>
      <c r="I181" t="s">
        <v>59</v>
      </c>
      <c r="J181" t="s">
        <v>61</v>
      </c>
      <c r="K181" t="s">
        <v>62</v>
      </c>
    </row>
    <row r="182" spans="4:11" x14ac:dyDescent="0.25">
      <c r="D182" t="s">
        <v>55</v>
      </c>
      <c r="E182" t="s">
        <v>56</v>
      </c>
      <c r="F182" t="s">
        <v>57</v>
      </c>
      <c r="G182" t="s">
        <v>44</v>
      </c>
      <c r="H182" t="s">
        <v>58</v>
      </c>
      <c r="I182" t="s">
        <v>59</v>
      </c>
      <c r="J182" t="s">
        <v>61</v>
      </c>
      <c r="K182" t="s">
        <v>62</v>
      </c>
    </row>
    <row r="183" spans="4:11" x14ac:dyDescent="0.25">
      <c r="D183" t="s">
        <v>55</v>
      </c>
      <c r="E183" t="s">
        <v>56</v>
      </c>
      <c r="F183" t="s">
        <v>57</v>
      </c>
      <c r="G183" t="s">
        <v>44</v>
      </c>
      <c r="H183" t="s">
        <v>58</v>
      </c>
      <c r="I183" t="s">
        <v>59</v>
      </c>
      <c r="J183" t="s">
        <v>61</v>
      </c>
      <c r="K183" t="s">
        <v>62</v>
      </c>
    </row>
    <row r="184" spans="4:11" x14ac:dyDescent="0.25">
      <c r="D184" t="s">
        <v>55</v>
      </c>
      <c r="E184" t="s">
        <v>56</v>
      </c>
      <c r="F184" t="s">
        <v>57</v>
      </c>
      <c r="G184" t="s">
        <v>44</v>
      </c>
      <c r="H184" t="s">
        <v>58</v>
      </c>
      <c r="I184" t="s">
        <v>59</v>
      </c>
      <c r="J184" t="s">
        <v>61</v>
      </c>
      <c r="K184" t="s">
        <v>62</v>
      </c>
    </row>
    <row r="185" spans="4:11" x14ac:dyDescent="0.25">
      <c r="D185" t="s">
        <v>55</v>
      </c>
      <c r="E185" t="s">
        <v>56</v>
      </c>
      <c r="F185" t="s">
        <v>57</v>
      </c>
      <c r="G185" t="s">
        <v>44</v>
      </c>
      <c r="H185" t="s">
        <v>58</v>
      </c>
      <c r="I185" t="s">
        <v>59</v>
      </c>
      <c r="J185" t="s">
        <v>61</v>
      </c>
      <c r="K185" t="s">
        <v>62</v>
      </c>
    </row>
    <row r="186" spans="4:11" x14ac:dyDescent="0.25">
      <c r="D186" t="s">
        <v>55</v>
      </c>
      <c r="E186" t="s">
        <v>56</v>
      </c>
      <c r="F186" t="s">
        <v>57</v>
      </c>
      <c r="G186" t="s">
        <v>44</v>
      </c>
      <c r="H186" t="s">
        <v>58</v>
      </c>
      <c r="I186" t="s">
        <v>59</v>
      </c>
      <c r="J186" t="s">
        <v>61</v>
      </c>
      <c r="K186" t="s">
        <v>62</v>
      </c>
    </row>
    <row r="187" spans="4:11" x14ac:dyDescent="0.25">
      <c r="D187" t="s">
        <v>55</v>
      </c>
      <c r="E187" t="s">
        <v>56</v>
      </c>
      <c r="F187" t="s">
        <v>57</v>
      </c>
      <c r="G187" t="s">
        <v>44</v>
      </c>
      <c r="H187" t="s">
        <v>58</v>
      </c>
      <c r="I187" t="s">
        <v>59</v>
      </c>
      <c r="J187" t="s">
        <v>61</v>
      </c>
      <c r="K187" t="s">
        <v>62</v>
      </c>
    </row>
    <row r="188" spans="4:11" x14ac:dyDescent="0.25">
      <c r="D188" t="s">
        <v>55</v>
      </c>
      <c r="E188" t="s">
        <v>56</v>
      </c>
      <c r="F188" t="s">
        <v>57</v>
      </c>
      <c r="G188" t="s">
        <v>44</v>
      </c>
      <c r="H188" t="s">
        <v>58</v>
      </c>
      <c r="I188" t="s">
        <v>59</v>
      </c>
      <c r="J188" t="s">
        <v>61</v>
      </c>
      <c r="K188" t="s">
        <v>62</v>
      </c>
    </row>
    <row r="189" spans="4:11" x14ac:dyDescent="0.25">
      <c r="D189" t="s">
        <v>55</v>
      </c>
      <c r="E189" t="s">
        <v>56</v>
      </c>
      <c r="F189" t="s">
        <v>57</v>
      </c>
      <c r="G189" t="s">
        <v>44</v>
      </c>
      <c r="H189" t="s">
        <v>58</v>
      </c>
      <c r="I189" t="s">
        <v>59</v>
      </c>
      <c r="J189" t="s">
        <v>61</v>
      </c>
      <c r="K189" t="s">
        <v>62</v>
      </c>
    </row>
    <row r="190" spans="4:11" x14ac:dyDescent="0.25">
      <c r="D190" t="s">
        <v>55</v>
      </c>
      <c r="E190" t="s">
        <v>56</v>
      </c>
      <c r="F190" t="s">
        <v>57</v>
      </c>
      <c r="G190" t="s">
        <v>44</v>
      </c>
      <c r="H190" t="s">
        <v>58</v>
      </c>
      <c r="I190" t="s">
        <v>59</v>
      </c>
      <c r="J190" t="s">
        <v>61</v>
      </c>
      <c r="K190" t="s">
        <v>62</v>
      </c>
    </row>
    <row r="191" spans="4:11" x14ac:dyDescent="0.25">
      <c r="D191" t="s">
        <v>55</v>
      </c>
      <c r="E191" t="s">
        <v>56</v>
      </c>
      <c r="F191" t="s">
        <v>57</v>
      </c>
      <c r="G191" t="s">
        <v>44</v>
      </c>
      <c r="H191" t="s">
        <v>58</v>
      </c>
      <c r="I191" t="s">
        <v>59</v>
      </c>
      <c r="J191" t="s">
        <v>61</v>
      </c>
      <c r="K191" t="s">
        <v>62</v>
      </c>
    </row>
    <row r="192" spans="4:11" x14ac:dyDescent="0.25">
      <c r="D192" t="s">
        <v>55</v>
      </c>
      <c r="E192" t="s">
        <v>56</v>
      </c>
      <c r="F192" t="s">
        <v>57</v>
      </c>
      <c r="G192" t="s">
        <v>44</v>
      </c>
      <c r="H192" t="s">
        <v>58</v>
      </c>
      <c r="I192" t="s">
        <v>59</v>
      </c>
      <c r="J192" t="s">
        <v>61</v>
      </c>
      <c r="K192" t="s">
        <v>62</v>
      </c>
    </row>
    <row r="193" spans="4:11" x14ac:dyDescent="0.25">
      <c r="D193" t="s">
        <v>55</v>
      </c>
      <c r="E193" t="s">
        <v>56</v>
      </c>
      <c r="F193" t="s">
        <v>57</v>
      </c>
      <c r="G193" t="s">
        <v>44</v>
      </c>
      <c r="H193" t="s">
        <v>58</v>
      </c>
      <c r="I193" t="s">
        <v>59</v>
      </c>
      <c r="J193" t="s">
        <v>61</v>
      </c>
      <c r="K193" t="s">
        <v>62</v>
      </c>
    </row>
    <row r="194" spans="4:11" x14ac:dyDescent="0.25">
      <c r="D194" t="s">
        <v>55</v>
      </c>
      <c r="E194" t="s">
        <v>56</v>
      </c>
      <c r="F194" t="s">
        <v>57</v>
      </c>
      <c r="G194" t="s">
        <v>44</v>
      </c>
      <c r="H194" t="s">
        <v>58</v>
      </c>
      <c r="I194" t="s">
        <v>59</v>
      </c>
      <c r="J194" t="s">
        <v>61</v>
      </c>
      <c r="K194" t="s">
        <v>62</v>
      </c>
    </row>
    <row r="195" spans="4:11" x14ac:dyDescent="0.25">
      <c r="D195" t="s">
        <v>55</v>
      </c>
      <c r="E195" t="s">
        <v>56</v>
      </c>
      <c r="F195" t="s">
        <v>57</v>
      </c>
      <c r="G195" t="s">
        <v>44</v>
      </c>
      <c r="H195" t="s">
        <v>58</v>
      </c>
      <c r="I195" t="s">
        <v>59</v>
      </c>
      <c r="J195" t="s">
        <v>61</v>
      </c>
      <c r="K195" t="s">
        <v>62</v>
      </c>
    </row>
    <row r="196" spans="4:11" x14ac:dyDescent="0.25">
      <c r="D196" t="s">
        <v>55</v>
      </c>
      <c r="E196" t="s">
        <v>56</v>
      </c>
      <c r="F196" t="s">
        <v>57</v>
      </c>
      <c r="G196" t="s">
        <v>44</v>
      </c>
      <c r="H196" t="s">
        <v>58</v>
      </c>
      <c r="I196" t="s">
        <v>59</v>
      </c>
      <c r="J196" t="s">
        <v>61</v>
      </c>
      <c r="K196" t="s">
        <v>62</v>
      </c>
    </row>
    <row r="197" spans="4:11" x14ac:dyDescent="0.25">
      <c r="D197" t="s">
        <v>55</v>
      </c>
      <c r="E197" t="s">
        <v>56</v>
      </c>
      <c r="F197" t="s">
        <v>57</v>
      </c>
      <c r="G197" t="s">
        <v>44</v>
      </c>
      <c r="H197" t="s">
        <v>58</v>
      </c>
      <c r="I197" t="s">
        <v>59</v>
      </c>
      <c r="J197" t="s">
        <v>61</v>
      </c>
      <c r="K197" t="s">
        <v>62</v>
      </c>
    </row>
    <row r="198" spans="4:11" x14ac:dyDescent="0.25">
      <c r="D198" t="s">
        <v>55</v>
      </c>
      <c r="E198" t="s">
        <v>56</v>
      </c>
      <c r="F198" t="s">
        <v>57</v>
      </c>
      <c r="G198" t="s">
        <v>44</v>
      </c>
      <c r="H198" t="s">
        <v>58</v>
      </c>
      <c r="I198" t="s">
        <v>59</v>
      </c>
      <c r="J198" t="s">
        <v>61</v>
      </c>
      <c r="K198" t="s">
        <v>62</v>
      </c>
    </row>
    <row r="199" spans="4:11" x14ac:dyDescent="0.25">
      <c r="D199" t="s">
        <v>55</v>
      </c>
      <c r="E199" t="s">
        <v>56</v>
      </c>
      <c r="F199" t="s">
        <v>57</v>
      </c>
      <c r="G199" t="s">
        <v>44</v>
      </c>
      <c r="H199" t="s">
        <v>58</v>
      </c>
      <c r="I199" t="s">
        <v>59</v>
      </c>
      <c r="J199" t="s">
        <v>61</v>
      </c>
      <c r="K199" t="s">
        <v>62</v>
      </c>
    </row>
    <row r="200" spans="4:11" x14ac:dyDescent="0.25">
      <c r="D200" t="s">
        <v>55</v>
      </c>
      <c r="E200" t="s">
        <v>56</v>
      </c>
      <c r="F200" t="s">
        <v>57</v>
      </c>
      <c r="G200" t="s">
        <v>44</v>
      </c>
      <c r="H200" t="s">
        <v>58</v>
      </c>
      <c r="I200" t="s">
        <v>59</v>
      </c>
      <c r="J200" t="s">
        <v>61</v>
      </c>
      <c r="K200" t="s">
        <v>62</v>
      </c>
    </row>
    <row r="201" spans="4:11" x14ac:dyDescent="0.25">
      <c r="D201" t="s">
        <v>55</v>
      </c>
      <c r="E201" t="s">
        <v>56</v>
      </c>
      <c r="F201" t="s">
        <v>57</v>
      </c>
      <c r="G201" t="s">
        <v>44</v>
      </c>
      <c r="H201" t="s">
        <v>58</v>
      </c>
      <c r="I201" t="s">
        <v>59</v>
      </c>
      <c r="J201" t="s">
        <v>61</v>
      </c>
      <c r="K201" t="s">
        <v>62</v>
      </c>
    </row>
    <row r="202" spans="4:11" x14ac:dyDescent="0.25">
      <c r="D202" t="s">
        <v>55</v>
      </c>
      <c r="E202" t="s">
        <v>56</v>
      </c>
      <c r="F202" t="s">
        <v>57</v>
      </c>
      <c r="G202" t="s">
        <v>44</v>
      </c>
      <c r="H202" t="s">
        <v>58</v>
      </c>
      <c r="I202" t="s">
        <v>59</v>
      </c>
      <c r="J202" t="s">
        <v>61</v>
      </c>
      <c r="K202" t="s">
        <v>62</v>
      </c>
    </row>
    <row r="203" spans="4:11" x14ac:dyDescent="0.25">
      <c r="D203" t="s">
        <v>55</v>
      </c>
      <c r="E203" t="s">
        <v>56</v>
      </c>
      <c r="F203" t="s">
        <v>57</v>
      </c>
      <c r="G203" t="s">
        <v>44</v>
      </c>
      <c r="H203" t="s">
        <v>58</v>
      </c>
      <c r="I203" t="s">
        <v>59</v>
      </c>
      <c r="J203" t="s">
        <v>61</v>
      </c>
      <c r="K203" t="s">
        <v>62</v>
      </c>
    </row>
    <row r="204" spans="4:11" x14ac:dyDescent="0.25">
      <c r="D204" t="s">
        <v>55</v>
      </c>
      <c r="E204" t="s">
        <v>56</v>
      </c>
      <c r="F204" t="s">
        <v>57</v>
      </c>
      <c r="G204" t="s">
        <v>44</v>
      </c>
      <c r="H204" t="s">
        <v>58</v>
      </c>
      <c r="I204" t="s">
        <v>59</v>
      </c>
      <c r="J204" t="s">
        <v>61</v>
      </c>
      <c r="K204" t="s">
        <v>62</v>
      </c>
    </row>
    <row r="205" spans="4:11" x14ac:dyDescent="0.25">
      <c r="D205" t="s">
        <v>55</v>
      </c>
      <c r="E205" t="s">
        <v>56</v>
      </c>
      <c r="F205" t="s">
        <v>57</v>
      </c>
      <c r="G205" t="s">
        <v>44</v>
      </c>
      <c r="H205" t="s">
        <v>58</v>
      </c>
      <c r="I205" t="s">
        <v>59</v>
      </c>
      <c r="J205" t="s">
        <v>61</v>
      </c>
      <c r="K205" t="s">
        <v>62</v>
      </c>
    </row>
    <row r="206" spans="4:11" x14ac:dyDescent="0.25">
      <c r="D206" t="s">
        <v>55</v>
      </c>
      <c r="E206" t="s">
        <v>56</v>
      </c>
      <c r="F206" t="s">
        <v>57</v>
      </c>
      <c r="G206" t="s">
        <v>44</v>
      </c>
      <c r="H206" t="s">
        <v>58</v>
      </c>
      <c r="I206" t="s">
        <v>59</v>
      </c>
      <c r="J206" t="s">
        <v>61</v>
      </c>
      <c r="K206" t="s">
        <v>62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85D7D-4204-44A2-9117-BCC173B02ECF}">
  <dimension ref="A1:C8"/>
  <sheetViews>
    <sheetView workbookViewId="0">
      <selection activeCell="B5" sqref="B5"/>
    </sheetView>
  </sheetViews>
  <sheetFormatPr defaultRowHeight="15" x14ac:dyDescent="0.25"/>
  <cols>
    <col min="1" max="1" width="4.85546875" bestFit="1" customWidth="1"/>
    <col min="2" max="2" width="15.5703125" bestFit="1" customWidth="1"/>
    <col min="3" max="3" width="15.28515625" bestFit="1" customWidth="1"/>
  </cols>
  <sheetData>
    <row r="1" spans="1:3" x14ac:dyDescent="0.25">
      <c r="A1" t="s">
        <v>0</v>
      </c>
      <c r="B1" t="s">
        <v>129</v>
      </c>
      <c r="C1" t="s">
        <v>130</v>
      </c>
    </row>
    <row r="2" spans="1:3" x14ac:dyDescent="0.25">
      <c r="A2">
        <v>1</v>
      </c>
      <c r="B2" t="s">
        <v>136</v>
      </c>
      <c r="C2">
        <v>250</v>
      </c>
    </row>
    <row r="3" spans="1:3" x14ac:dyDescent="0.25">
      <c r="A3">
        <v>2</v>
      </c>
      <c r="B3" t="s">
        <v>141</v>
      </c>
      <c r="C3">
        <v>100</v>
      </c>
    </row>
    <row r="4" spans="1:3" x14ac:dyDescent="0.25">
      <c r="A4">
        <v>3</v>
      </c>
      <c r="B4" t="s">
        <v>142</v>
      </c>
      <c r="C4">
        <v>100</v>
      </c>
    </row>
    <row r="5" spans="1:3" x14ac:dyDescent="0.25">
      <c r="A5">
        <v>4</v>
      </c>
      <c r="B5" t="s">
        <v>143</v>
      </c>
      <c r="C5">
        <v>100</v>
      </c>
    </row>
    <row r="6" spans="1:3" x14ac:dyDescent="0.25">
      <c r="A6">
        <v>5</v>
      </c>
      <c r="B6" t="s">
        <v>131</v>
      </c>
      <c r="C6">
        <v>5000</v>
      </c>
    </row>
    <row r="7" spans="1:3" x14ac:dyDescent="0.25">
      <c r="A7">
        <v>6</v>
      </c>
      <c r="B7" t="s">
        <v>132</v>
      </c>
      <c r="C7">
        <v>300</v>
      </c>
    </row>
    <row r="8" spans="1:3" x14ac:dyDescent="0.25">
      <c r="A8">
        <v>42</v>
      </c>
      <c r="B8" t="s">
        <v>54</v>
      </c>
      <c r="C8">
        <v>1000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M17"/>
  <sheetViews>
    <sheetView tabSelected="1" topLeftCell="D1" zoomScaleNormal="100" workbookViewId="0">
      <selection activeCell="J27" sqref="J27"/>
    </sheetView>
  </sheetViews>
  <sheetFormatPr defaultRowHeight="15" x14ac:dyDescent="0.25"/>
  <cols>
    <col min="2" max="2" width="18.42578125" customWidth="1"/>
    <col min="3" max="3" width="42.7109375" customWidth="1"/>
    <col min="4" max="7" width="21.140625" customWidth="1"/>
    <col min="8" max="8" width="22.42578125" customWidth="1"/>
    <col min="9" max="9" width="18" customWidth="1"/>
    <col min="10" max="10" width="19.7109375" customWidth="1"/>
    <col min="11" max="11" width="24.5703125" customWidth="1"/>
    <col min="12" max="12" width="25.28515625" customWidth="1"/>
    <col min="13" max="13" width="185.7109375" bestFit="1" customWidth="1"/>
  </cols>
  <sheetData>
    <row r="1" spans="2:13" x14ac:dyDescent="0.25">
      <c r="C1" s="25" t="s">
        <v>18</v>
      </c>
      <c r="D1" s="25"/>
      <c r="E1" s="10"/>
      <c r="F1" s="10"/>
      <c r="G1" s="10"/>
    </row>
    <row r="2" spans="2:13" ht="15.75" thickBot="1" x14ac:dyDescent="0.3">
      <c r="B2" s="1" t="s">
        <v>9</v>
      </c>
      <c r="C2" s="1" t="s">
        <v>137</v>
      </c>
      <c r="D2" s="1" t="s">
        <v>22</v>
      </c>
      <c r="E2" s="1" t="s">
        <v>51</v>
      </c>
      <c r="F2" s="1" t="s">
        <v>52</v>
      </c>
      <c r="G2" s="1" t="s">
        <v>53</v>
      </c>
      <c r="H2" s="1" t="s">
        <v>14</v>
      </c>
      <c r="I2" s="1" t="s">
        <v>128</v>
      </c>
      <c r="J2" s="1" t="s">
        <v>133</v>
      </c>
      <c r="K2" s="1" t="s">
        <v>134</v>
      </c>
      <c r="L2" s="1" t="s">
        <v>135</v>
      </c>
      <c r="M2" s="1" t="s">
        <v>144</v>
      </c>
    </row>
    <row r="3" spans="2:13" x14ac:dyDescent="0.25">
      <c r="B3" s="2">
        <v>45786</v>
      </c>
      <c r="C3" s="8" t="s">
        <v>109</v>
      </c>
      <c r="D3" s="5">
        <f xml:space="preserve"> _xlfn.IFNA( VLOOKUP(_TBL_SALES[[#This Row],[MAIN PRODUCT]], MAIN_PRODUCT[[PRODUCT NAME]:[DEFAULT PRICE]], 2), "")</f>
        <v>3990</v>
      </c>
      <c r="E3" s="15" t="s">
        <v>131</v>
      </c>
      <c r="F3" s="16"/>
      <c r="G3" s="16"/>
      <c r="H3" s="17" t="s">
        <v>124</v>
      </c>
      <c r="I3" s="12">
        <v>2500</v>
      </c>
      <c r="J3" s="5">
        <f>IFERROR(_TBL_SALES[[#This Row],[Add Ons Cost]]+_TBL_SALES[[#This Row],[PRICE DEFAULT]], "")</f>
        <v>6490</v>
      </c>
      <c r="K3" s="23"/>
      <c r="L3" s="24"/>
      <c r="M3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>Nec ,Speaker</v>
      </c>
    </row>
    <row r="4" spans="2:13" x14ac:dyDescent="0.25">
      <c r="B4" s="2"/>
      <c r="C4" s="8"/>
      <c r="D4" s="5" t="str">
        <f xml:space="preserve"> _xlfn.IFNA( VLOOKUP(_TBL_SALES[[#This Row],[MAIN PRODUCT]], MAIN_PRODUCT[[PRODUCT NAME]:[DEFAULT PRICE]], 2), "")</f>
        <v/>
      </c>
      <c r="E4" s="13"/>
      <c r="F4" s="12"/>
      <c r="G4" s="12"/>
      <c r="H4" s="14"/>
      <c r="I4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4" s="5" t="str">
        <f>IFERROR(_TBL_SALES[[#This Row],[Add Ons Cost]]+_TBL_SALES[[#This Row],[PRICE DEFAULT]], "")</f>
        <v/>
      </c>
      <c r="K4" s="22"/>
      <c r="L4" s="21"/>
      <c r="M4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5" spans="2:13" x14ac:dyDescent="0.25">
      <c r="B5" s="2"/>
      <c r="C5" s="8"/>
      <c r="D5" s="5" t="str">
        <f xml:space="preserve"> _xlfn.IFNA( VLOOKUP(_TBL_SALES[[#This Row],[MAIN PRODUCT]], MAIN_PRODUCT[[PRODUCT NAME]:[DEFAULT PRICE]], 2), "")</f>
        <v/>
      </c>
      <c r="E5" s="13"/>
      <c r="F5" s="12"/>
      <c r="G5" s="12"/>
      <c r="H5" s="14"/>
      <c r="I5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5" s="5" t="str">
        <f>IFERROR(_TBL_SALES[[#This Row],[Add Ons Cost]]+_TBL_SALES[[#This Row],[PRICE DEFAULT]], "")</f>
        <v/>
      </c>
      <c r="K5" s="22"/>
      <c r="L5" s="21"/>
      <c r="M5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6" spans="2:13" x14ac:dyDescent="0.25">
      <c r="B6" s="2"/>
      <c r="C6" s="8"/>
      <c r="D6" s="5" t="str">
        <f xml:space="preserve"> _xlfn.IFNA( VLOOKUP(_TBL_SALES[[#This Row],[MAIN PRODUCT]], MAIN_PRODUCT[[PRODUCT NAME]:[DEFAULT PRICE]], 2), "")</f>
        <v/>
      </c>
      <c r="E6" s="13"/>
      <c r="F6" s="12"/>
      <c r="G6" s="12"/>
      <c r="H6" s="14"/>
      <c r="I6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6" s="5" t="str">
        <f>IFERROR(_TBL_SALES[[#This Row],[Add Ons Cost]]+_TBL_SALES[[#This Row],[PRICE DEFAULT]], "")</f>
        <v/>
      </c>
      <c r="K6" s="22"/>
      <c r="L6" s="21"/>
      <c r="M6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7" spans="2:13" x14ac:dyDescent="0.25">
      <c r="B7" s="2"/>
      <c r="C7" s="8"/>
      <c r="D7" s="5" t="str">
        <f xml:space="preserve"> _xlfn.IFNA( VLOOKUP(_TBL_SALES[[#This Row],[MAIN PRODUCT]], MAIN_PRODUCT[[PRODUCT NAME]:[DEFAULT PRICE]], 2), "")</f>
        <v/>
      </c>
      <c r="E7" s="13"/>
      <c r="F7" s="12"/>
      <c r="G7" s="12"/>
      <c r="H7" s="14"/>
      <c r="I7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7" s="5" t="str">
        <f>IFERROR(_TBL_SALES[[#This Row],[Add Ons Cost]]+_TBL_SALES[[#This Row],[PRICE DEFAULT]], "")</f>
        <v/>
      </c>
      <c r="K7" s="22"/>
      <c r="L7" s="21"/>
      <c r="M7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8" spans="2:13" x14ac:dyDescent="0.25">
      <c r="B8" s="2"/>
      <c r="C8" s="8"/>
      <c r="D8" s="5" t="str">
        <f xml:space="preserve"> _xlfn.IFNA( VLOOKUP(_TBL_SALES[[#This Row],[MAIN PRODUCT]], MAIN_PRODUCT[[PRODUCT NAME]:[DEFAULT PRICE]], 2), "")</f>
        <v/>
      </c>
      <c r="E8" s="13"/>
      <c r="F8" s="12"/>
      <c r="G8" s="12"/>
      <c r="H8" s="14"/>
      <c r="I8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8" s="5" t="str">
        <f>IFERROR(_TBL_SALES[[#This Row],[Add Ons Cost]]+_TBL_SALES[[#This Row],[PRICE DEFAULT]], "")</f>
        <v/>
      </c>
      <c r="K8" s="22"/>
      <c r="L8" s="21"/>
      <c r="M8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9" spans="2:13" x14ac:dyDescent="0.25">
      <c r="B9" s="2"/>
      <c r="C9" s="8"/>
      <c r="D9" s="5" t="str">
        <f xml:space="preserve"> _xlfn.IFNA( VLOOKUP(_TBL_SALES[[#This Row],[MAIN PRODUCT]], MAIN_PRODUCT[[PRODUCT NAME]:[DEFAULT PRICE]], 2), "")</f>
        <v/>
      </c>
      <c r="E9" s="13"/>
      <c r="F9" s="12"/>
      <c r="G9" s="12"/>
      <c r="H9" s="14"/>
      <c r="I9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9" s="5" t="str">
        <f>IFERROR(_TBL_SALES[[#This Row],[Add Ons Cost]]+_TBL_SALES[[#This Row],[PRICE DEFAULT]], "")</f>
        <v/>
      </c>
      <c r="K9" s="13"/>
      <c r="L9" s="14"/>
      <c r="M9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0" spans="2:13" x14ac:dyDescent="0.25">
      <c r="B10" s="2"/>
      <c r="C10" s="8"/>
      <c r="D10" s="5" t="str">
        <f xml:space="preserve"> _xlfn.IFNA( VLOOKUP(_TBL_SALES[[#This Row],[MAIN PRODUCT]], MAIN_PRODUCT[[PRODUCT NAME]:[DEFAULT PRICE]], 2), "")</f>
        <v/>
      </c>
      <c r="E10" s="13"/>
      <c r="F10" s="12"/>
      <c r="G10" s="12"/>
      <c r="H10" s="14"/>
      <c r="I10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10" s="5" t="str">
        <f>IFERROR(_TBL_SALES[[#This Row],[Add Ons Cost]]+_TBL_SALES[[#This Row],[PRICE DEFAULT]], "")</f>
        <v/>
      </c>
      <c r="K10" s="13"/>
      <c r="L10" s="14"/>
      <c r="M10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1" spans="2:13" x14ac:dyDescent="0.25">
      <c r="B11" s="2"/>
      <c r="C11" s="8"/>
      <c r="D11" s="5" t="str">
        <f xml:space="preserve"> _xlfn.IFNA( VLOOKUP(_TBL_SALES[[#This Row],[MAIN PRODUCT]], MAIN_PRODUCT[[PRODUCT NAME]:[DEFAULT PRICE]], 2), "")</f>
        <v/>
      </c>
      <c r="E11" s="13"/>
      <c r="F11" s="12"/>
      <c r="G11" s="12"/>
      <c r="H11" s="14"/>
      <c r="I11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11" s="5" t="str">
        <f>IFERROR(_TBL_SALES[[#This Row],[Add Ons Cost]]+_TBL_SALES[[#This Row],[PRICE DEFAULT]], "")</f>
        <v/>
      </c>
      <c r="K11" s="13"/>
      <c r="L11" s="14"/>
      <c r="M11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2" spans="2:13" x14ac:dyDescent="0.25">
      <c r="B12" s="2"/>
      <c r="C12" s="8"/>
      <c r="D12" s="5" t="str">
        <f xml:space="preserve"> _xlfn.IFNA( VLOOKUP(_TBL_SALES[[#This Row],[MAIN PRODUCT]], MAIN_PRODUCT[[PRODUCT NAME]:[DEFAULT PRICE]], 2), "")</f>
        <v/>
      </c>
      <c r="E12" s="13"/>
      <c r="F12" s="12"/>
      <c r="G12" s="12"/>
      <c r="H12" s="14"/>
      <c r="I12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12" s="5" t="str">
        <f>IFERROR(_TBL_SALES[[#This Row],[Add Ons Cost]]+_TBL_SALES[[#This Row],[PRICE DEFAULT]], "")</f>
        <v/>
      </c>
      <c r="K12" s="13"/>
      <c r="L12" s="14"/>
      <c r="M12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3" spans="2:13" x14ac:dyDescent="0.25">
      <c r="B13" s="2"/>
      <c r="C13" s="8"/>
      <c r="D13" s="5" t="str">
        <f xml:space="preserve"> _xlfn.IFNA( VLOOKUP(_TBL_SALES[[#This Row],[MAIN PRODUCT]], MAIN_PRODUCT[[PRODUCT NAME]:[DEFAULT PRICE]], 2), "")</f>
        <v/>
      </c>
      <c r="E13" s="13"/>
      <c r="F13" s="12"/>
      <c r="G13" s="12"/>
      <c r="H13" s="14"/>
      <c r="I13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13" s="5" t="str">
        <f>IFERROR(_TBL_SALES[[#This Row],[Add Ons Cost]]+_TBL_SALES[[#This Row],[PRICE DEFAULT]], "")</f>
        <v/>
      </c>
      <c r="K13" s="13"/>
      <c r="L13" s="14"/>
      <c r="M13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4" spans="2:13" x14ac:dyDescent="0.25">
      <c r="B14" s="2"/>
      <c r="C14" s="8"/>
      <c r="D14" s="5" t="str">
        <f xml:space="preserve"> _xlfn.IFNA( VLOOKUP(_TBL_SALES[[#This Row],[MAIN PRODUCT]], MAIN_PRODUCT[[PRODUCT NAME]:[DEFAULT PRICE]], 2), "")</f>
        <v/>
      </c>
      <c r="E14" s="13"/>
      <c r="F14" s="12"/>
      <c r="G14" s="12"/>
      <c r="H14" s="14"/>
      <c r="I14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14" s="5" t="str">
        <f>IFERROR(_TBL_SALES[[#This Row],[Add Ons Cost]]+_TBL_SALES[[#This Row],[PRICE DEFAULT]], "")</f>
        <v/>
      </c>
      <c r="K14" s="13"/>
      <c r="L14" s="14"/>
      <c r="M14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5" spans="2:13" ht="15.75" thickBot="1" x14ac:dyDescent="0.3">
      <c r="B15" s="2"/>
      <c r="C15" s="9"/>
      <c r="D15" s="5" t="str">
        <f xml:space="preserve"> _xlfn.IFNA( VLOOKUP(_TBL_SALES[[#This Row],[MAIN PRODUCT]], MAIN_PRODUCT[[PRODUCT NAME]:[DEFAULT PRICE]], 2), "")</f>
        <v/>
      </c>
      <c r="E15" s="18"/>
      <c r="F15" s="19"/>
      <c r="G15" s="19"/>
      <c r="H15" s="20"/>
      <c r="I15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15" s="5" t="str">
        <f>IFERROR(_TBL_SALES[[#This Row],[Add Ons Cost]]+_TBL_SALES[[#This Row],[PRICE DEFAULT]], "")</f>
        <v/>
      </c>
      <c r="K15" s="18"/>
      <c r="L15" s="20"/>
      <c r="M15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6" spans="2:13" x14ac:dyDescent="0.25">
      <c r="B16" s="1" t="str">
        <f>_xlfn.CONCAT("COUNT: ", SUBTOTAL(103,_TBL_SALES[DATE]))</f>
        <v>COUNT: 1</v>
      </c>
      <c r="C16" s="3" t="s">
        <v>16</v>
      </c>
      <c r="D16" s="6">
        <f>SUBTOTAL(109,_TBL_SALES[PRICE DEFAULT])</f>
        <v>3990</v>
      </c>
      <c r="E16" s="6"/>
      <c r="F16" s="6"/>
      <c r="G16" s="6"/>
      <c r="H16" s="6"/>
      <c r="I16" s="6">
        <f>SUBTOTAL(109,_TBL_SALES[Add Ons Cost])</f>
        <v>2500</v>
      </c>
      <c r="J16" s="6">
        <f>SUBTOTAL(109,_TBL_SALES[TOTAL PAYMEMT])</f>
        <v>6490</v>
      </c>
      <c r="K16" s="6">
        <f>SUBTOTAL(109,_TBL_SALES[CASH])</f>
        <v>0</v>
      </c>
      <c r="L16" s="6">
        <f>SUBTOTAL(109,_TBL_SALES[GCASH/BANK])</f>
        <v>0</v>
      </c>
      <c r="M16" s="3"/>
    </row>
    <row r="17" spans="3:12" x14ac:dyDescent="0.25">
      <c r="C17" s="4" t="s">
        <v>17</v>
      </c>
      <c r="E17" s="7"/>
      <c r="F17" s="7"/>
      <c r="G17" s="7"/>
      <c r="I17" s="7">
        <f>SUM(_TBL_SALES[Add Ons Cost])</f>
        <v>2500</v>
      </c>
      <c r="J17" s="7">
        <f>SUM(_TBL_SALES[TOTAL PAYMEMT])</f>
        <v>6490</v>
      </c>
      <c r="K17" s="7">
        <f>SUM(_TBL_SALES[CASH])</f>
        <v>0</v>
      </c>
      <c r="L17" s="7">
        <f>SUM(_TBL_SALES[GCASH/BANK])</f>
        <v>0</v>
      </c>
    </row>
  </sheetData>
  <dataConsolidate/>
  <mergeCells count="1">
    <mergeCell ref="C1:D1"/>
  </mergeCells>
  <phoneticPr fontId="2" type="noConversion"/>
  <dataValidations count="3">
    <dataValidation type="list" allowBlank="1" showInputMessage="1" showErrorMessage="1" sqref="C3:C15" xr:uid="{87F124BC-8AAB-4E60-BB58-EF61A224D365}">
      <formula1>NAMES_MAIN_PRODUCTS</formula1>
    </dataValidation>
    <dataValidation type="list" allowBlank="1" showInputMessage="1" showErrorMessage="1" sqref="H3:H15" xr:uid="{AA45CAC7-F0C3-40AC-ACFA-A82B546D9715}">
      <formula1>NAMES_FREEBIES_SET</formula1>
    </dataValidation>
    <dataValidation type="list" allowBlank="1" showInputMessage="1" showErrorMessage="1" sqref="E3:G15" xr:uid="{C2D6B428-BB88-4A96-86A0-EE6E2F2FAAC9}">
      <formula1>NAMES_ADD_ONS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_TBL_INVENTORY</vt:lpstr>
      <vt:lpstr>_TBL_EMPLOYEES</vt:lpstr>
      <vt:lpstr>_TBL_MAIN_PRODUCTS</vt:lpstr>
      <vt:lpstr>_TBL_FREEBIES_SET</vt:lpstr>
      <vt:lpstr>_TBL_MAIN_PRODUCT</vt:lpstr>
      <vt:lpstr>_TBL_ADD_ONS</vt:lpstr>
      <vt:lpstr>SALES</vt:lpstr>
      <vt:lpstr>NAMES_ADD_ONS</vt:lpstr>
      <vt:lpstr>NAMES_EMPLOYEES</vt:lpstr>
      <vt:lpstr>NAMES_FREEBIES_SET</vt:lpstr>
      <vt:lpstr>NAMES_MAIN_PRODUCTS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2025-05-10T10:29:40Z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98914a1c-f770-460e-9556-cbe92b296b49</vt:lpwstr>
  </property>
</Properties>
</file>