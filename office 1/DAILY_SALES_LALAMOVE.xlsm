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879483FF-D209-4009-A7FF-F6967E1ED4E0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'_TBL_ADD_ONS'!$A$1:$C$8</definedName>
    <definedName name="ExternalData_1" localSheetId="1" hidden="1">'_TBL_EMPLOYEES'!$A$1:$Q$2</definedName>
    <definedName name="ExternalData_1" localSheetId="3" hidden="1">'_TBL_FREEBIES_SET'!$A$1:$D$6</definedName>
    <definedName name="ExternalData_2" localSheetId="0" hidden="1">'_TBL_INVENTORY'!$A$1:$G$50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I15" i="2"/>
  <c r="K17" i="2" l="1"/>
  <c r="L17" i="2"/>
  <c r="K16" i="2"/>
  <c r="L16" i="2"/>
  <c r="D15" i="2" l="1"/>
  <c r="J15" i="2" l="1"/>
  <c r="B16" i="2"/>
  <c r="J16" i="2" l="1"/>
  <c r="J17" i="2"/>
  <c r="I16" i="2"/>
  <c r="D16" i="2"/>
  <c r="D1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<sst xmlns="http://schemas.openxmlformats.org/spreadsheetml/2006/main" count="571" uniqueCount="149">
  <si>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</si>
  <si>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</si>
  <si>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</si>
  <si>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</si>
  <si>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</si>
  <si>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</si>
  <si>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</si>
  <si>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</si>
  <si>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</si>
  <si>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</si>
  <si>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</si>
  <si>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</si>
  <si>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</si>
  <si>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</si>
  <si>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</si>
  <si>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</si>
  <si>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</si>
  <si>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</si>
  <si>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</si>
  <si>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</si>
  <si>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</si>
  <si>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</si>
  <si>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</si>
  <si>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</si>
  <si>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</si>
  <si>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</si>
  <si>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</si>
  <si>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</si>
  <si>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</si>
  <si>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</si>
  <si>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</si>
  <si>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</si>
  <si>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</si>
  <si>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</si>
  <si>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</si>
  <si>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</si>
  <si>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</si>
  <si>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</si>
  <si>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</si>
  <si>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</si>
  <si>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</si>
  <si>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</si>
  <si>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</si>
  <si>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</si>
  <si>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</si>
  <si>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</si>
  <si>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</si>
  <si>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</si>
  <si>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</si>
  <si>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</si>
  <si>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</si>
  <si>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</si>
  <si>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</si>
  <si>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</si>
  <si>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</si>
  <si>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</si>
  <si>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</si>
  <si>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</si>
  <si>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</si>
  <si>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</si>
  <si>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</si>
  <si>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</si>
  <si>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</si>
  <si>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</si>
  <si>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</si>
  <si>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</si>
  <si>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</si>
  <si>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</si>
  <si>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</si>
  <si>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</si>
  <si>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</si>
  <si>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</si>
  <si>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</si>
  <si>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</si>
  <si>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</si>
  <si>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</si>
  <si>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</si>
  <si>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</si>
  <si>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</si>
  <si>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</si>
  <si>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</si>
  <si>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</si>
  <si>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</si>
  <si>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</si>
  <si>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</si>
  <si>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</si>
  <si>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</si>
  <si>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</si>
  <si>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</si>
  <si>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</si>
  <si>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</si>
  <si>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</si>
  <si>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</si>
  <si>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</si>
  <si>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</si>
  <si>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</si>
  <si>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</si>
  <si>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</si>
  <si>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</si>
  <si>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</si>
  <si>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</si>
  <si>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</si>
  <si>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</si>
  <si>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</si>
  <si>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</si>
  <si>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</si>
  <si>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</si>
  <si>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</si>
  <si>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</si>
  <si>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</si>
  <si>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</si>
  <si>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</si>
  <si>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</si>
  <si>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</si>
  <si>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</si>
  <si>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</si>
  <si>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</si>
  <si>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</si>
  <si>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</si>
  <si>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</si>
  <si>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</si>
  <si>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</si>
  <si>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</si>
  <si>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</si>
  <si>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</si>
  <si>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</si>
  <si>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</si>
  <si>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</si>
  <si>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</si>
  <si>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</si>
  <si>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</si>
  <si>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</si>
  <si>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</si>
  <si>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</si>
  <si>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</si>
  <si>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</si>
  <si>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</si>
  <si>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</si>
  <si>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</si>
  <si>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</si>
  <si>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</si>
  <si>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</si>
  <si>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</si>
  <si>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</si>
  <si>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</si>
  <si>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COST</t>
  </si>
  <si>
    <t>Mouse, Laptop Table, Laptop Bag, Laptop Brush, Laptop Stand, Charger, Mouse Pad, P47 Headphone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</si>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</sst>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</cellXfs>
  <cellStyles count="1">
    <cellStyle name="Normal" xfId="0" builtinId="0"/>
  </cellStyles>
  <dxfs count="32"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8">
    <queryTableFields count="4">
      <queryTableField id="4" name="ID" tableColumnId="1"/>
      <queryTableField id="2" name="FREEBIES NAME" tableColumnId="2"/>
      <queryTableField id="6" name="COST" tableColumnId="4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1"/>
    <tableColumn id="3" xr3:uid="{076104D8-C9E8-451B-A965-B0F52E829B97}" uniqueName="3" name="TYPE" queryTableFieldId="3" dataDxfId="30"/>
    <tableColumn id="4" xr3:uid="{EED15770-5ACA-47A3-90AC-004FB47CC5A3}" uniqueName="4" name="BRAND" queryTableFieldId="4" dataDxfId="29"/>
    <tableColumn id="5" xr3:uid="{3006AD62-9893-4204-AD0A-4EF3B9BE605E}" uniqueName="5" name="CODE" queryTableFieldId="5" dataDxfId="28"/>
    <tableColumn id="7" xr3:uid="{DC21BDB8-8A69-4186-83FC-A99F4F8E7737}" uniqueName="7" name="VARIANT" queryTableFieldId="7"/>
    <tableColumn id="6" xr3:uid="{895EF583-4F50-4211-A9B8-9D6A9E4977E5}" uniqueName="6" name="SPECS" queryTableFieldId="6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6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D6" tableType="queryTable" totalsRowShown="0">
  <autoFilter ref="A1:D6" xr:uid="{4662DD68-3559-4E05-8449-0F73B97BBCEC}"/>
  <tableColumns count="4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8D9FA396-0789-4E31-BB75-FA8BCBEE8058}" uniqueName="4" name="COST" queryTableFieldId="6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8" tableType="queryTable" totalsRowShown="0">
  <autoFilter ref="A1:C8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16" totalsRowCount="1" headerRowDxfId="25" dataDxfId="24">
  <autoFilter ref="B2:M15" xr:uid="{11196D4F-0C08-44E6-8845-054A162CF400}"/>
  <tableColumns count="12">
    <tableColumn id="1" xr3:uid="{7E5944E0-EEF7-48BA-9C65-2A065AAFA2D9}" name="DATE" totalsRowFunction="custom" dataDxfId="23" totalsRowDxfId="17">
      <totalsRowFormula>_xlfn.CONCAT("COUNT: ", SUBTOTAL(103,_TBL_SALES[DATE]))</totalsRowFormula>
    </tableColumn>
    <tableColumn id="2" xr3:uid="{6346439F-B17B-42E4-B169-E92F350D30A5}" name="MAIN PRODUCT" totalsRowLabel="TOTAL: " dataDxfId="22" totalsRowDxfId="16"/>
    <tableColumn id="4" xr3:uid="{95CD9087-654C-4E2A-AF3A-261436977333}" name="PRICE DEFAULT" totalsRowFunction="sum" dataDxfId="21" totalsRowDxfId="15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5" totalsRowDxfId="14"/>
    <tableColumn id="11" xr3:uid="{9F9E45A1-7B2D-48FF-A185-8ED8FCD21D9D}" name="Add Ons 2" dataDxfId="4" totalsRowDxfId="13"/>
    <tableColumn id="9" xr3:uid="{631CE9C0-E0FE-462C-B49B-A25E944D45BA}" name="Add Ons 3" dataDxfId="3" totalsRowDxfId="12"/>
    <tableColumn id="14" xr3:uid="{4F652C77-A69B-4014-BFAE-0FAAD8498F77}" name="Freebies" dataDxfId="2" totalsRowDxfId="11"/>
    <tableColumn id="5" xr3:uid="{20315BED-21B2-403E-9EB7-F0CC6C891D05}" name="Add Ons Cost" totalsRowFunction="sum" dataDxfId="20" totalsRowDxfId="10">
      <calculatedColumnFormula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calculatedColumnFormula>
    </tableColumn>
    <tableColumn id="3" xr3:uid="{0C6F7D0D-2B13-4E91-997A-E759C7E54BFB}" name="TOTAL PAYMEMT" totalsRowFunction="sum" dataDxfId="19" totalsRowDxfId="9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" totalsRowDxfId="8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0" totalsRowDxfId="7"/>
    <tableColumn id="6" xr3:uid="{C248064F-C2EB-414B-92FA-814B8706B646}" name="BOX CONTENT" dataDxfId="18" totalsRowDxfId="6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25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25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25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25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25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25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25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25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25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25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25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25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25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25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25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25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25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25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25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25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25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25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25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25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25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25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25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25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25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25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25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25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25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25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25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25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25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25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25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25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25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25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25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25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25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25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25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25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25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25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25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25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25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25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25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25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25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25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25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25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25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25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25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25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25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25">
      <c r="A42">
        <v>41</v>
      </c>
      <c r="B42" t="s">
        <v>100</v>
      </c>
      <c r="C42" t="s">
        <v>6</v>
      </c>
      <c r="D42" t="s">
        <v>100</v>
      </c>
    </row>
    <row r="43" spans="1:7" x14ac:dyDescent="0.25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25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25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25">
      <c r="A46">
        <v>45</v>
      </c>
      <c r="B46" t="s">
        <v>105</v>
      </c>
      <c r="C46" t="s">
        <v>6</v>
      </c>
      <c r="D46" t="s">
        <v>105</v>
      </c>
    </row>
    <row r="47" spans="1:7" x14ac:dyDescent="0.25">
      <c r="A47">
        <v>46</v>
      </c>
      <c r="B47" t="s">
        <v>106</v>
      </c>
      <c r="C47" t="s">
        <v>6</v>
      </c>
      <c r="D47" t="s">
        <v>106</v>
      </c>
    </row>
    <row r="48" spans="1:7" x14ac:dyDescent="0.25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25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25">
      <c r="A50">
        <v>49</v>
      </c>
      <c r="B50" t="s">
        <v>109</v>
      </c>
      <c r="C50" t="s">
        <v>6</v>
      </c>
      <c r="D50" t="s">
        <v>109</v>
      </c>
    </row>
    <row r="51" spans="1:7" x14ac:dyDescent="0.25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25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25">
      <c r="A53">
        <v>97</v>
      </c>
      <c r="B53" t="s">
        <v>116</v>
      </c>
      <c r="C53" t="s">
        <v>13</v>
      </c>
      <c r="E53" t="s">
        <v>116</v>
      </c>
    </row>
    <row r="54" spans="1:7" x14ac:dyDescent="0.25">
      <c r="A54">
        <v>98</v>
      </c>
      <c r="B54" t="s">
        <v>117</v>
      </c>
      <c r="C54" t="s">
        <v>15</v>
      </c>
      <c r="E54" t="s">
        <v>117</v>
      </c>
    </row>
    <row r="55" spans="1:7" x14ac:dyDescent="0.25">
      <c r="A55">
        <v>99</v>
      </c>
      <c r="B55" t="s">
        <v>118</v>
      </c>
      <c r="C55" t="s">
        <v>15</v>
      </c>
      <c r="E55" t="s">
        <v>118</v>
      </c>
    </row>
    <row r="56" spans="1:7" x14ac:dyDescent="0.25">
      <c r="A56">
        <v>100</v>
      </c>
      <c r="B56" t="s">
        <v>119</v>
      </c>
      <c r="C56" t="s">
        <v>15</v>
      </c>
      <c r="E56" t="s">
        <v>119</v>
      </c>
    </row>
    <row r="57" spans="1:7" x14ac:dyDescent="0.25">
      <c r="A57">
        <v>101</v>
      </c>
      <c r="B57" t="s">
        <v>120</v>
      </c>
      <c r="C57" t="s">
        <v>15</v>
      </c>
      <c r="E57" t="s">
        <v>120</v>
      </c>
    </row>
    <row r="58" spans="1:7" x14ac:dyDescent="0.25">
      <c r="A58">
        <v>102</v>
      </c>
      <c r="B58" t="s">
        <v>121</v>
      </c>
      <c r="C58" t="s">
        <v>15</v>
      </c>
      <c r="E58" t="s">
        <v>121</v>
      </c>
    </row>
    <row r="59" spans="1:7" x14ac:dyDescent="0.25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D6"/>
  <sheetViews>
    <sheetView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customWidth="1"/>
    <col min="5" max="5" width="81.140625" bestFit="1" customWidth="1"/>
  </cols>
  <sheetData>
    <row r="1" spans="1:4" x14ac:dyDescent="0.25">
      <c r="A1" t="s">
        <v>0</v>
      </c>
      <c r="B1" t="s">
        <v>123</v>
      </c>
      <c r="C1" t="s">
        <v>145</v>
      </c>
      <c r="D1" t="s">
        <v>21</v>
      </c>
    </row>
    <row r="2" spans="1:4" x14ac:dyDescent="0.25">
      <c r="A2">
        <v>1</v>
      </c>
      <c r="B2" t="s">
        <v>124</v>
      </c>
      <c r="C2">
        <v>0</v>
      </c>
      <c r="D2" t="s">
        <v>146</v>
      </c>
    </row>
    <row r="3" spans="1:4" x14ac:dyDescent="0.25">
      <c r="A3">
        <v>2</v>
      </c>
      <c r="B3" t="s">
        <v>125</v>
      </c>
      <c r="C3">
        <v>0</v>
      </c>
      <c r="D3" t="s">
        <v>138</v>
      </c>
    </row>
    <row r="4" spans="1:4" x14ac:dyDescent="0.25">
      <c r="A4">
        <v>3</v>
      </c>
      <c r="B4" t="s">
        <v>126</v>
      </c>
      <c r="C4">
        <v>0</v>
      </c>
      <c r="D4" t="s">
        <v>139</v>
      </c>
    </row>
    <row r="5" spans="1:4" x14ac:dyDescent="0.25">
      <c r="A5">
        <v>4</v>
      </c>
      <c r="B5" t="s">
        <v>127</v>
      </c>
      <c r="C5">
        <v>0</v>
      </c>
      <c r="D5" t="s">
        <v>140</v>
      </c>
    </row>
    <row r="6" spans="1:4" x14ac:dyDescent="0.25">
      <c r="A6">
        <v>5</v>
      </c>
      <c r="B6" t="s">
        <v>147</v>
      </c>
      <c r="D6" t="s">
        <v>148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5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25">
      <c r="B2" t="s">
        <v>56</v>
      </c>
      <c r="C2">
        <v>3990</v>
      </c>
    </row>
    <row r="3" spans="1:6" x14ac:dyDescent="0.25">
      <c r="B3" t="s">
        <v>44</v>
      </c>
      <c r="C3">
        <v>3990</v>
      </c>
    </row>
    <row r="4" spans="1:6" x14ac:dyDescent="0.25">
      <c r="B4" t="s">
        <v>55</v>
      </c>
    </row>
    <row r="5" spans="1:6" x14ac:dyDescent="0.25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8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136</v>
      </c>
      <c r="C2">
        <v>250</v>
      </c>
    </row>
    <row r="3" spans="1:3" x14ac:dyDescent="0.25">
      <c r="A3">
        <v>2</v>
      </c>
      <c r="B3" t="s">
        <v>141</v>
      </c>
      <c r="C3">
        <v>100</v>
      </c>
    </row>
    <row r="4" spans="1:3" x14ac:dyDescent="0.25">
      <c r="A4">
        <v>3</v>
      </c>
      <c r="B4" t="s">
        <v>142</v>
      </c>
      <c r="C4">
        <v>100</v>
      </c>
    </row>
    <row r="5" spans="1:3" x14ac:dyDescent="0.25">
      <c r="A5">
        <v>4</v>
      </c>
      <c r="B5" t="s">
        <v>143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  <row r="8" spans="1:3" x14ac:dyDescent="0.25">
      <c r="A8">
        <v>42</v>
      </c>
      <c r="B8" t="s">
        <v>54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17"/>
  <sheetViews>
    <sheetView tabSelected="1" zoomScale="85" zoomScaleNormal="55" workbookViewId="0">
      <selection activeCell="D18" sqref="D18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85.7109375" bestFit="1" customWidth="1"/>
  </cols>
  <sheetData>
    <row r="1" spans="2:13" x14ac:dyDescent="0.25">
      <c r="C1" s="22" t="s">
        <v>18</v>
      </c>
      <c r="D1" s="22"/>
      <c r="E1" s="10"/>
      <c r="F1" s="10"/>
      <c r="G1" s="10"/>
    </row>
    <row r="2" spans="2:13" ht="15.75" thickBot="1" x14ac:dyDescent="0.3">
      <c r="B2" s="1" t="s">
        <v>9</v>
      </c>
      <c r="C2" s="1" t="s">
        <v>137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144</v>
      </c>
    </row>
    <row r="3" spans="2:13" x14ac:dyDescent="0.25">
      <c r="B3" s="2"/>
      <c r="C3" s="8"/>
      <c r="D3" s="5"/>
      <c r="E3" s="15"/>
      <c r="F3" s="16"/>
      <c r="G3" s="16"/>
      <c r="H3" s="17"/>
      <c r="I3" s="5"/>
      <c r="J3" s="5"/>
      <c r="K3" s="24"/>
      <c r="L3" s="25"/>
      <c r="M3" s="21"/>
    </row>
    <row r="4" spans="2:13" x14ac:dyDescent="0.25">
      <c r="B4" s="2"/>
      <c r="C4" s="8"/>
      <c r="D4" s="5"/>
      <c r="E4" s="13"/>
      <c r="F4" s="12"/>
      <c r="G4" s="12"/>
      <c r="H4" s="14"/>
      <c r="I4" s="5"/>
      <c r="J4" s="5"/>
      <c r="K4" s="23"/>
      <c r="L4" s="21"/>
      <c r="M4" s="21"/>
    </row>
    <row r="5" spans="2:13" x14ac:dyDescent="0.25">
      <c r="B5" s="2"/>
      <c r="C5" s="8"/>
      <c r="D5" s="5"/>
      <c r="E5" s="13"/>
      <c r="F5" s="12"/>
      <c r="G5" s="12"/>
      <c r="H5" s="14"/>
      <c r="I5" s="5"/>
      <c r="J5" s="5"/>
      <c r="K5" s="23"/>
      <c r="L5" s="21"/>
      <c r="M5" s="21"/>
    </row>
    <row r="6" spans="2:13" x14ac:dyDescent="0.25">
      <c r="B6" s="2"/>
      <c r="C6" s="8"/>
      <c r="D6" s="5"/>
      <c r="E6" s="13"/>
      <c r="F6" s="12"/>
      <c r="G6" s="12"/>
      <c r="H6" s="14"/>
      <c r="I6" s="5"/>
      <c r="J6" s="5"/>
      <c r="K6" s="23"/>
      <c r="L6" s="21"/>
      <c r="M6" s="21"/>
    </row>
    <row r="7" spans="2:13" x14ac:dyDescent="0.25">
      <c r="B7" s="2"/>
      <c r="C7" s="8"/>
      <c r="D7" s="5"/>
      <c r="E7" s="13"/>
      <c r="F7" s="12"/>
      <c r="G7" s="12"/>
      <c r="H7" s="14"/>
      <c r="I7" s="5"/>
      <c r="J7" s="5"/>
      <c r="K7" s="23"/>
      <c r="L7" s="21"/>
      <c r="M7" s="21"/>
    </row>
    <row r="8" spans="2:13" x14ac:dyDescent="0.25">
      <c r="B8" s="2"/>
      <c r="C8" s="8"/>
      <c r="D8" s="5"/>
      <c r="E8" s="13"/>
      <c r="F8" s="12"/>
      <c r="G8" s="12"/>
      <c r="H8" s="14"/>
      <c r="I8" s="5"/>
      <c r="J8" s="5"/>
      <c r="K8" s="23"/>
      <c r="L8" s="21"/>
      <c r="M8" s="21"/>
    </row>
    <row r="9" spans="2:13" x14ac:dyDescent="0.25">
      <c r="B9" s="2"/>
      <c r="C9" s="8"/>
      <c r="D9" s="5"/>
      <c r="E9" s="13"/>
      <c r="F9" s="12"/>
      <c r="G9" s="12"/>
      <c r="H9" s="14"/>
      <c r="I9" s="12"/>
      <c r="J9" s="5"/>
      <c r="K9" s="13"/>
      <c r="L9" s="14"/>
      <c r="M9" s="21"/>
    </row>
    <row r="10" spans="2:13" x14ac:dyDescent="0.25">
      <c r="B10" s="2"/>
      <c r="C10" s="8"/>
      <c r="D10" s="5"/>
      <c r="E10" s="13"/>
      <c r="F10" s="12"/>
      <c r="G10" s="12"/>
      <c r="H10" s="14"/>
      <c r="I10" s="12"/>
      <c r="J10" s="5"/>
      <c r="K10" s="13"/>
      <c r="L10" s="14"/>
      <c r="M10" s="21"/>
    </row>
    <row r="11" spans="2:13" x14ac:dyDescent="0.25">
      <c r="B11" s="2"/>
      <c r="C11" s="8"/>
      <c r="D11" s="5"/>
      <c r="E11" s="13"/>
      <c r="F11" s="12"/>
      <c r="G11" s="12"/>
      <c r="H11" s="14"/>
      <c r="I11" s="12"/>
      <c r="J11" s="5"/>
      <c r="K11" s="13"/>
      <c r="L11" s="14"/>
      <c r="M11" s="21"/>
    </row>
    <row r="12" spans="2:13" x14ac:dyDescent="0.25">
      <c r="B12" s="2"/>
      <c r="C12" s="8"/>
      <c r="D12" s="5"/>
      <c r="E12" s="13"/>
      <c r="F12" s="12"/>
      <c r="G12" s="12"/>
      <c r="H12" s="14"/>
      <c r="I12" s="12"/>
      <c r="J12" s="5"/>
      <c r="K12" s="13"/>
      <c r="L12" s="14"/>
      <c r="M12" s="21"/>
    </row>
    <row r="13" spans="2:13" x14ac:dyDescent="0.25">
      <c r="B13" s="2"/>
      <c r="C13" s="8"/>
      <c r="D13" s="5"/>
      <c r="E13" s="13"/>
      <c r="F13" s="12"/>
      <c r="G13" s="12"/>
      <c r="H13" s="14"/>
      <c r="I13" s="12"/>
      <c r="J13" s="5"/>
      <c r="K13" s="13"/>
      <c r="L13" s="14"/>
      <c r="M13" s="21"/>
    </row>
    <row r="14" spans="2:13" x14ac:dyDescent="0.25">
      <c r="B14" s="2"/>
      <c r="C14" s="8"/>
      <c r="D14" s="5"/>
      <c r="E14" s="13"/>
      <c r="F14" s="12"/>
      <c r="G14" s="12"/>
      <c r="H14" s="14"/>
      <c r="I14" s="12"/>
      <c r="J14" s="5"/>
      <c r="K14" s="13"/>
      <c r="L14" s="14"/>
      <c r="M14" s="21"/>
    </row>
    <row r="15" spans="2:13" ht="15.75" thickBot="1" x14ac:dyDescent="0.3">
      <c r="B15" s="2"/>
      <c r="C15" s="9"/>
      <c r="D15" s="5" t="str">
        <f xml:space="preserve"> _xlfn.IFNA( VLOOKUP(_TBL_SALES[[#This Row],[MAIN PRODUCT]], MAIN_PRODUCT[[PRODUCT NAME]:[DEFAULT PRICE]], 2), "")</f>
        <v/>
      </c>
      <c r="E15" s="18"/>
      <c r="F15" s="19"/>
      <c r="G15" s="19"/>
      <c r="H15" s="20"/>
      <c r="I15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5" s="5" t="str">
        <f>IFERROR(_TBL_SALES[[#This Row],[Add Ons Cost]]+_TBL_SALES[[#This Row],[PRICE DEFAULT]], "")</f>
        <v/>
      </c>
      <c r="K15" s="18"/>
      <c r="L15" s="20"/>
      <c r="M1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6" spans="2:13" x14ac:dyDescent="0.25">
      <c r="B16" s="1" t="str">
        <f>_xlfn.CONCAT("COUNT: ", SUBTOTAL(103,_TBL_SALES[DATE]))</f>
        <v>COUNT: 0</v>
      </c>
      <c r="C16" s="3" t="s">
        <v>16</v>
      </c>
      <c r="D16" s="6">
        <f>SUBTOTAL(109,_TBL_SALES[PRICE DEFAULT])</f>
        <v>0</v>
      </c>
      <c r="E16" s="6"/>
      <c r="F16" s="6"/>
      <c r="G16" s="6"/>
      <c r="H16" s="6"/>
      <c r="I16" s="6">
        <f>SUBTOTAL(109,_TBL_SALES[Add Ons Cost])</f>
        <v>0</v>
      </c>
      <c r="J16" s="6">
        <f>SUBTOTAL(109,_TBL_SALES[TOTAL PAYMEMT])</f>
        <v>0</v>
      </c>
      <c r="K16" s="6">
        <f>SUBTOTAL(109,_TBL_SALES[CASH])</f>
        <v>0</v>
      </c>
      <c r="L16" s="6">
        <f>SUBTOTAL(109,_TBL_SALES[GCASH/BANK])</f>
        <v>0</v>
      </c>
      <c r="M16" s="3"/>
    </row>
    <row r="17" spans="3:12" x14ac:dyDescent="0.25">
      <c r="C17" s="4" t="s">
        <v>17</v>
      </c>
      <c r="D17" s="7">
        <f>SUM(_TBL_SALES[Add Ons Cost])</f>
        <v>0</v>
      </c>
      <c r="E17" s="7"/>
      <c r="F17" s="7"/>
      <c r="G17" s="7"/>
      <c r="J17" s="7">
        <f>SUM(_TBL_SALES[TOTAL PAYMEMT])</f>
        <v>0</v>
      </c>
      <c r="K17" s="7">
        <f>SUM(_TBL_SALES[CASH])</f>
        <v>0</v>
      </c>
      <c r="L17" s="7">
        <f>SUM(_TBL_SALES[GCASH/BANK])</f>
        <v>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15" xr:uid="{87F124BC-8AAB-4E60-BB58-EF61A224D365}">
      <formula1>NAMES_MAIN_PRODUCTS</formula1>
    </dataValidation>
    <dataValidation type="list" allowBlank="1" showInputMessage="1" showErrorMessage="1" sqref="H3:H15" xr:uid="{AA45CAC7-F0C3-40AC-ACFA-A82B546D9715}">
      <formula1>NAMES_FREEBIES_SET</formula1>
    </dataValidation>
    <dataValidation type="list" allowBlank="1" showInputMessage="1" showErrorMessage="1" sqref="E3:G15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USER</cp:lastModifiedBy>
  <dcterms:created xsi:type="dcterms:W3CDTF">2015-06-05T18:17:20Z</dcterms:created>
  <dcterms:modified xsi:type="dcterms:W3CDTF">2025-05-03T09:48:13Z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