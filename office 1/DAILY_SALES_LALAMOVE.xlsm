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tables\"/>
    </mc:Choice>
  </mc:AlternateContent>
  <xr:revisionPtr revIDLastSave="0" documentId="13_ncr:1_{AF04412D-ECEE-4346-826F-B7FEB14B728E}" xr6:coauthVersionLast="36" xr6:coauthVersionMax="47" xr10:uidLastSave="{00000000-0000-0000-0000-000000000000}"/>
  <bookViews>
    <workbookView xWindow="-120" yWindow="-120" windowWidth="29040" windowHeight="15720" firstSheet="12" activeTab="12" xr2:uid="{00000000-000D-0000-FFFF-FFFF00000000}"/>
  </bookViews>
  <sheets>
    <sheet name="_TBL_SPECS" sheetId="6" state="hidden" r:id="rId1"/>
    <sheet name="_TBL_INVENTORY_TYPE" sheetId="5" state="hidden" r:id="rId2"/>
    <sheet name="_TBL_INVENTORY" sheetId="4" state="hidden" r:id="rId3"/>
    <sheet name="_TBL_BRAND" sheetId="3" state="hidden" r:id="rId4"/>
    <sheet name="_TBL_DATES" sheetId="7" state="hidden" r:id="rId5"/>
    <sheet name="_TBL_PRODUCT" sheetId="9" state="hidden" r:id="rId6"/>
    <sheet name="_TBL_INVENTORY_CATALOG" sheetId="8" state="hidden" r:id="rId7"/>
    <sheet name="_TBL_EMPLOYEES" sheetId="10" state="hidden" r:id="rId8"/>
    <sheet name="_TBL_MAIN_PRODUCTS" sheetId="13" state="hidden" r:id="rId9"/>
    <sheet name="_TBL_FREEBIES_SET" sheetId="14" state="hidden" r:id="rId10"/>
    <sheet name="_TBL_MAIN_PRODUCT" sheetId="17" state="hidden" r:id="rId11"/>
    <sheet name="_TBL_ADD_ONS" sheetId="15" state="hidden" r:id="rId12"/>
    <sheet name="SALES" sheetId="2" r:id="rId13"/>
  </sheets>
  <definedNames>
    <definedName name="_xlcn.WorksheetConnection_DAILY_INVENTORY.xlsx_TBL_BRAND1" hidden="1">_TBL_BRAND[]</definedName>
    <definedName name="_xlcn.WorksheetConnection_DAILY_INVENTORY.xlsx_TBL_INVENTORY1" hidden="1">_TBL_INVENTORY[]</definedName>
    <definedName name="ExternalData_1" localSheetId="11" hidden="1">_TBL_ADD_ONS!$A$1:$F$5</definedName>
    <definedName name="ExternalData_1" localSheetId="3" hidden="1">_TBL_BRAND!$A$1:$C$6</definedName>
    <definedName name="ExternalData_1" localSheetId="4" hidden="1">_TBL_DATES!$A$1:$E$9</definedName>
    <definedName name="ExternalData_1" localSheetId="7" hidden="1">_TBL_EMPLOYEES!$A$1:$Q$2</definedName>
    <definedName name="ExternalData_1" localSheetId="9" hidden="1">_TBL_FREEBIES_SET!$A$1:$C$5</definedName>
    <definedName name="ExternalData_1" localSheetId="6" hidden="1">_TBL_INVENTORY_CATALOG!$A$1:$B$2</definedName>
    <definedName name="ExternalData_2" localSheetId="2" hidden="1">_TBL_INVENTORY!$A$1:$G$9</definedName>
    <definedName name="ExternalData_2" localSheetId="10" hidden="1">_TBL_MAIN_PRODUCT!$A$1:$F$2</definedName>
    <definedName name="ExternalData_2" localSheetId="8" hidden="1">_TBL_MAIN_PRODUCTS!$A$1:$G$59</definedName>
    <definedName name="ExternalData_2" localSheetId="5" hidden="1">_TBL_PRODUCT!$A$2:$D$3</definedName>
    <definedName name="ExternalData_3" localSheetId="1" hidden="1">_TBL_INVENTORY_TYPE!$A$1:$D$7</definedName>
    <definedName name="ExternalData_4" localSheetId="0" hidden="1">_TBL_SPECS!$A$1:$C$11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  <definedName name="NAMES_PRODUCT">_TBL_PRODUCT[PRODUCT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K11" i="2" l="1"/>
  <c r="L11" i="2"/>
  <c r="K10" i="2"/>
  <c r="L10" i="2"/>
  <c r="J4" i="2" l="1"/>
  <c r="J5" i="2"/>
  <c r="J6" i="2"/>
  <c r="J7" i="2"/>
  <c r="J8" i="2"/>
  <c r="J9" i="2"/>
  <c r="J3" i="2"/>
  <c r="D3" i="2"/>
  <c r="D4" i="2"/>
  <c r="D5" i="2"/>
  <c r="D6" i="2"/>
  <c r="D7" i="2"/>
  <c r="D8" i="2"/>
  <c r="D9" i="2"/>
  <c r="I3" i="2"/>
  <c r="I4" i="2"/>
  <c r="I5" i="2"/>
  <c r="I6" i="2"/>
  <c r="I7" i="2"/>
  <c r="I8" i="2"/>
  <c r="I9" i="2"/>
  <c r="B10" i="2" l="1"/>
  <c r="J10" i="2" l="1"/>
  <c r="J11" i="2"/>
  <c r="I10" i="2"/>
  <c r="D10" i="2"/>
  <c r="D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9221A0-5B39-42F3-8288-B25205A940E1}" keepAlive="1" name="Query - _TBL_ADD_ONS" description="Connection to the '_TBL_ADD_ONS' query in the workbook." type="5" refreshedVersion="6" background="1" saveData="1">
    <dbPr connection="Provider=Microsoft.Mashup.OleDb.1;Data Source=$Workbook$;Location=_TBL_ADD_ONS;Extended Properties=&quot;&quot;" command="SELECT * FROM [_TBL_ADD_ONS]"/>
  </connection>
  <connection id="2" xr16:uid="{3B58365A-CC5E-4833-936D-4E36E7616AAA}" keepAlive="1" name="Query - _TBL_BRAND" description="Connection to the '_TBL_BRAND' query in the workbook." type="5" refreshedVersion="6" background="1" saveData="1">
    <dbPr connection="Provider=Microsoft.Mashup.OleDb.1;Data Source=$Workbook$;Location=_TBL_BRAND;Extended Properties=&quot;&quot;" command="SELECT * FROM [_TBL_BRAND]"/>
  </connection>
  <connection id="3" xr16:uid="{E321D4D9-DCDC-4545-AE28-06F40D70F658}" keepAlive="1" name="Query - _TBL_DATES" description="Connection to the '_TBL_DATES' query in the workbook." type="5" refreshedVersion="6" background="1" saveData="1">
    <dbPr connection="Provider=Microsoft.Mashup.OleDb.1;Data Source=$Workbook$;Location=_TBL_DATES;Extended Properties=&quot;&quot;" command="SELECT * FROM [_TBL_DATES]"/>
  </connection>
  <connection id="4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5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6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7" xr16:uid="{AB86701A-8470-47D1-B3D1-E45473BC1C0E}" keepAlive="1" name="Query - _TBL_INVENTORY_CATALOG" description="Connection to the '_TBL_INVENTORY_CATALOG' query in the workbook." type="5" refreshedVersion="6" background="1" saveData="1">
    <dbPr connection="Provider=Microsoft.Mashup.OleDb.1;Data Source=$Workbook$;Location=_TBL_INVENTORY_CATALOG;Extended Properties=&quot;&quot;" command="SELECT * FROM [_TBL_INVENTORY_CATALOG]"/>
  </connection>
  <connection id="8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9" xr16:uid="{BEB28E94-6F5F-44E4-8913-DDE28149B3D8}" keepAlive="1" name="Query - _TBL_PRODUCT" description="Connection to the '_TBL_PRODUCT' query in the workbook." type="5" refreshedVersion="6" background="1" saveData="1">
    <dbPr connection="Provider=Microsoft.Mashup.OleDb.1;Data Source=$Workbook$;Location=_TBL_PRODUCT;Extended Properties=&quot;&quot;" command="SELECT * FROM [_TBL_PRODUCT]"/>
  </connection>
  <connection id="10" xr16:uid="{32B1E25C-3287-42F5-9905-A806C6011D23}" keepAlive="1" name="Query - _TBL_SPECS" description="Connection to the '_TBL_SPECS' query in the workbook." type="5" refreshedVersion="6" background="1" saveData="1">
    <dbPr connection="Provider=Microsoft.Mashup.OleDb.1;Data Source=$Workbook$;Location=_TBL_SPECS;Extended Properties=&quot;&quot;" command="SELECT * FROM [_TBL_SPECS]"/>
  </connection>
  <connection id="11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  <connection id="12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14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sharedStrings.xml><?xml version="1.0" encoding="utf-8"?>
<sst xmlns="http://schemas.openxmlformats.org/spreadsheetml/2006/main" count="433" uniqueCount="174">
  <si>
    <t>ID</t>
  </si>
  <si>
    <t>NAME</t>
  </si>
  <si>
    <t>TYPE</t>
  </si>
  <si>
    <t>BRAND</t>
  </si>
  <si>
    <t>CODE</t>
  </si>
  <si>
    <t>SPECS</t>
  </si>
  <si>
    <t>DELL 3120 REGULAR 4 / 16</t>
  </si>
  <si>
    <t>Laptop</t>
  </si>
  <si>
    <t>DELL</t>
  </si>
  <si>
    <t>HP</t>
  </si>
  <si>
    <t>Column1</t>
  </si>
  <si>
    <t>DATE</t>
  </si>
  <si>
    <t>DELL 3180 REGULAR 4 / 16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</si>
  <si>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</si>
  <si>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</si>
  <si>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</si>
  <si>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</si>
  <si>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</si>
  <si>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</si>
  <si>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</si>
  <si>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</si>
  <si>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Printers</t>
  </si>
  <si>
    <t>PRINTERS</t>
  </si>
  <si>
    <t>Speakers</t>
  </si>
  <si>
    <t>SPEAKERS</t>
  </si>
  <si>
    <t>Accessories</t>
  </si>
  <si>
    <t>ACCESSORIES</t>
  </si>
  <si>
    <t>3120</t>
  </si>
  <si>
    <t>3180</t>
  </si>
  <si>
    <t xml:space="preserve">TOTAL: </t>
  </si>
  <si>
    <t>ABSOLUTE TOTAL:</t>
  </si>
  <si>
    <t>START_DATE</t>
  </si>
  <si>
    <t>END_DATE</t>
  </si>
  <si>
    <t>DAYS_COUNT</t>
  </si>
  <si>
    <t>Current Date</t>
  </si>
  <si>
    <t>Previous Date</t>
  </si>
  <si>
    <t>Current Week</t>
  </si>
  <si>
    <t>Previous Week</t>
  </si>
  <si>
    <t>Current Month</t>
  </si>
  <si>
    <t>Previous Month</t>
  </si>
  <si>
    <t>Current Year</t>
  </si>
  <si>
    <t>Custom</t>
  </si>
  <si>
    <t>SALES REPORT</t>
  </si>
  <si>
    <t>PRODUCT SET</t>
  </si>
  <si>
    <t>PRODUCT ID</t>
  </si>
  <si>
    <t>INVENTORY ID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</si>
  <si>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</si>
  <si>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</si>
  <si>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</si>
  <si>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</si>
  <si>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</si>
  <si>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</si>
  <si>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</si>
  <si>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</si>
  <si>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</si>
  <si>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</si>
  <si>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</si>
  <si>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</si>
  <si>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</si>
  <si>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</si>
  <si>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</si>
  <si>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</si>
  <si>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</si>
  <si>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</si>
  <si>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</si>
  <si>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</si>
  <si>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</si>
  <si>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</si>
  <si>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</si>
  <si>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</si>
  <si>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DELL 3120 REGULAR 4 / 32</t>
  </si>
  <si>
    <t>4 / 32</t>
  </si>
  <si>
    <t>HP REGULAR 4 / 16</t>
  </si>
  <si>
    <t>HP TOUCHSCREEN 4 / 16</t>
  </si>
  <si>
    <t>TOUCHSCREEN</t>
  </si>
  <si>
    <t>HP 14' 4 / 16</t>
  </si>
  <si>
    <t>14'</t>
  </si>
  <si>
    <t>DELL 3180 REGULAR 4 / 32</t>
  </si>
  <si>
    <t>ACER 3343 TOUCHSCREEN 4 / 16</t>
  </si>
  <si>
    <t>3343</t>
  </si>
  <si>
    <t>2 / 16</t>
  </si>
  <si>
    <t>8 / 128</t>
  </si>
  <si>
    <t>8 / 256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</si>
  <si>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</si>
  <si>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</si>
  <si>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</si>
  <si>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</si>
  <si>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</si>
  <si>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</si>
  <si>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</si>
  <si>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</si>
  <si>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</si>
  <si>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</si>
  <si>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</si>
  <si>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</si>
  <si>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</si>
  <si>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</si>
  <si>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</si>
  <si>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</si>
  <si>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</si>
  <si>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</si>
  <si>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</si>
  <si>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</si>
  <si>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</si>
  <si>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</si>
  <si>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</si>
  <si>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</si>
  <si>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</si>
  <si>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</si>
  <si>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</si>
  <si>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</si>
  <si>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</si>
  <si>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</si>
  <si>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</si>
  <si>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</si>
  <si>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</si>
  <si>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</si>
  <si>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</si>
  <si>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</si>
  <si>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</si>
  <si>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</si>
  <si>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</si>
  <si>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</si>
  <si>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</si>
  <si>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</si>
  <si>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</si>
  <si>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</si>
  <si>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</si>
  <si>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</si>
  <si>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</si>
  <si>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</si>
  <si>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</si>
  <si>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</si>
  <si>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</si>
  <si>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</si>
  <si>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</si>
  <si>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</si>
  <si>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</si>
  <si>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</si>
  <si>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</si>
  <si>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</si>
  <si>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</si>
  <si>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</si>
  <si>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</si>
  <si>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</si>
  <si>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</si>
  <si>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</si>
  <si>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</si>
  <si>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</si>
  <si>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</si>
  <si>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</si>
  <si>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</si>
  <si>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</si>
  <si>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</si>
  <si>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</si>
  <si>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</si>
  <si>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</si>
  <si>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• Mouse
• Laptop Table
• Laptop Bag
• Laptop Brush
• Laptop Stand
• Charger
• Mouse Pad
• P47 Headphone</t>
  </si>
  <si>
    <t>Mix And Match  Helmet</t>
  </si>
  <si>
    <t>• Helmet</t>
  </si>
  <si>
    <t>Mix And Match  Action Cam</t>
  </si>
  <si>
    <t>• 1080p Sports Cam</t>
  </si>
  <si>
    <t>Mix And Match  Cherry Mobile</t>
  </si>
  <si>
    <t>• Cherry Mobile</t>
  </si>
  <si>
    <t>Add Ons Cost</t>
  </si>
  <si>
    <t>ADD ON NAME</t>
  </si>
  <si>
    <t>RETAIL PRICE</t>
  </si>
  <si>
    <t>ADD ON PRICE</t>
  </si>
  <si>
    <t>Speaker</t>
  </si>
  <si>
    <t>Webcam</t>
  </si>
  <si>
    <t>Mouse</t>
  </si>
  <si>
    <t>TOTAL PAYMEMT</t>
  </si>
  <si>
    <t>CASH</t>
  </si>
  <si>
    <t>GCASH/BANK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</si>
</sst>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₱&quot;* #,##0.00_-;\-&quot;₱&quot;* #,##0.00_-;_-&quot;₱&quot;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1"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7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0" xr16:uid="{EA4D9F21-8D00-469A-BD11-53BB304FD602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DFAF822-0BB0-464E-BFDD-E672198830B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329289D7-0D3A-4A3D-85AF-880025C06F49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START_DATE" tableColumnId="2"/>
      <queryTableField id="3" name="END_DATE" tableColumnId="3"/>
      <queryTableField id="4" name="NAME" tableColumnId="4"/>
      <queryTableField id="5" name="DAYS_COUNT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86A54954-571E-48DC-BD1B-96C2CFA6DC5F}" autoFormatId="16" applyNumberFormats="0" applyBorderFormats="0" applyFontFormats="0" applyPatternFormats="0" applyAlignmentFormats="0" applyWidthHeightFormats="0">
  <queryTableRefresh nextId="5">
    <queryTableFields count="4">
      <queryTableField id="1" name="PRODUCT ID" tableColumnId="1"/>
      <queryTableField id="2" name="PRODUCT NAME" tableColumnId="2"/>
      <queryTableField id="3" name="DEFAULT PRICE" tableColumnId="3"/>
      <queryTableField id="4" name="DETAILS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94B56B6E-7244-44A9-BC9F-5066710925B1}" autoFormatId="16" applyNumberFormats="0" applyBorderFormats="0" applyFontFormats="0" applyPatternFormats="0" applyAlignmentFormats="0" applyWidthHeightFormats="0">
  <queryTableRefresh nextId="3">
    <queryTableFields count="2">
      <queryTableField id="1" name="PRODUCT ID" tableColumnId="1"/>
      <queryTableField id="2" name="INVENTORY ID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2EAF0DA-19CC-4175-892F-934C58E43886}" autoFormatId="16" applyNumberFormats="0" applyBorderFormats="0" applyFontFormats="0" applyPatternFormats="0" applyAlignmentFormats="0" applyWidthHeightFormats="0">
  <queryTableRefresh nextId="4">
    <queryTableFields count="3">
      <queryTableField id="1" name="PRODUCT ID" tableColumnId="1"/>
      <queryTableField id="2" name="FREEBIES NAME" tableColumnId="2"/>
      <queryTableField id="3" name="DETAILS" tableColumnId="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FCDD5D92-086E-428A-9920-D2ABFAE5A53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9A33F45-3B83-4C84-8900-D5DA2FB68AA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ADD ON NAME" tableColumnId="2"/>
      <queryTableField id="3" name="RETAIL PRICE" tableColumnId="3"/>
      <queryTableField id="4" name="ADD ON PRICE" tableColumnId="4"/>
      <queryTableField id="5" name="Column1" tableColumnId="5"/>
      <queryTableField id="6" name="Column6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FD8291-BBD0-475B-91B8-E2C6DE19DBA8}" name="_TBL_SPECS" displayName="_TBL_SPECS" ref="A1:C11" tableType="queryTable" totalsRowShown="0">
  <autoFilter ref="A1:C11" xr:uid="{8AFD8291-BBD0-475B-91B8-E2C6DE19DBA8}"/>
  <tableColumns count="3">
    <tableColumn id="1" xr3:uid="{831D3F8C-DB08-4FC1-93B9-3186C252869A}" uniqueName="1" name="ID" queryTableFieldId="1"/>
    <tableColumn id="2" xr3:uid="{4281C9EC-728A-418E-B654-1F1CABE1B3EE}" uniqueName="2" name="NAME" queryTableFieldId="2" dataDxfId="40"/>
    <tableColumn id="3" xr3:uid="{F82FC7B3-1F61-4B9D-84A6-DC626273D2EA}" uniqueName="3" name="COD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D3215-F9F9-4D1D-A07B-6BE9ED4E88C4}" name="_TBL_INVENTORY_TYPE" displayName="_TBL_INVENTORY_TYPE" ref="A1:D7" totalsRowShown="0">
  <autoFilter ref="A1:D7" xr:uid="{254D3215-F9F9-4D1D-A07B-6BE9ED4E88C4}"/>
  <tableColumns count="4">
    <tableColumn id="1" xr3:uid="{C24F0F0E-DC65-4DD0-B891-8054B96A0C76}" name="ID"/>
    <tableColumn id="2" xr3:uid="{FA4CEB5B-3FB9-45CC-BBA1-1F6C7D966D87}" name="NAME" dataDxfId="39"/>
    <tableColumn id="3" xr3:uid="{77531021-D05F-4B6C-84DA-32AED82A9680}" name="CODE" dataDxfId="38"/>
    <tableColumn id="4" xr3:uid="{14FAAE2A-851C-47A6-B61E-F2657B28BBEB}" name="Column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9" tableType="queryTable" totalsRowShown="0">
  <autoFilter ref="A1:G9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37"/>
    <tableColumn id="3" xr3:uid="{076104D8-C9E8-451B-A965-B0F52E829B97}" uniqueName="3" name="TYPE" queryTableFieldId="3" dataDxfId="36"/>
    <tableColumn id="4" xr3:uid="{EED15770-5ACA-47A3-90AC-004FB47CC5A3}" uniqueName="4" name="BRAND" queryTableFieldId="4" dataDxfId="35"/>
    <tableColumn id="5" xr3:uid="{3006AD62-9893-4204-AD0A-4EF3B9BE605E}" uniqueName="5" name="CODE" queryTableFieldId="5" dataDxfId="34"/>
    <tableColumn id="7" xr3:uid="{DC21BDB8-8A69-4186-83FC-A99F4F8E7737}" uniqueName="7" name="VARIANT" queryTableFieldId="7"/>
    <tableColumn id="6" xr3:uid="{895EF583-4F50-4211-A9B8-9D6A9E4977E5}" uniqueName="6" name="SPECS" queryTableFieldId="6" dataDxfId="3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6" tableType="queryTable" totalsRowShown="0">
  <autoFilter ref="A1:C6" xr:uid="{D3094CCA-E1C1-4BDF-A888-CF855643FCCE}"/>
  <tableColumns count="3">
    <tableColumn id="1" xr3:uid="{CD355638-7210-4B3C-9B81-7CA586CCCE35}" uniqueName="1" name="ID" queryTableFieldId="1"/>
    <tableColumn id="2" xr3:uid="{A17084AD-45C6-49FE-AF2F-9D8660CF2AA8}" uniqueName="2" name="NAME" queryTableFieldId="2" dataDxfId="32"/>
    <tableColumn id="3" xr3:uid="{C0011154-0B7E-42B1-B5DD-084C7A3F69EC}" uniqueName="3" name="COD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AB51C8-F98B-4131-90AD-8854C43EB09E}" name="_TBL_DATES" displayName="_TBL_DATES" ref="A1:E9" tableType="queryTable" totalsRowShown="0">
  <autoFilter ref="A1:E9" xr:uid="{D7AB51C8-F98B-4131-90AD-8854C43EB09E}"/>
  <tableColumns count="5">
    <tableColumn id="1" xr3:uid="{A5235917-4E70-423A-B0B8-2E9003CF299A}" uniqueName="1" name="DATE" queryTableFieldId="1" dataDxfId="31"/>
    <tableColumn id="2" xr3:uid="{9ACA5BAE-3452-4A54-88A1-1D3A54B85E6B}" uniqueName="2" name="START_DATE" queryTableFieldId="2" dataDxfId="30"/>
    <tableColumn id="3" xr3:uid="{C60B9200-CA57-4C5B-AF47-28D5CBEAD345}" uniqueName="3" name="END_DATE" queryTableFieldId="3" dataDxfId="29"/>
    <tableColumn id="4" xr3:uid="{A600AE55-31A6-4008-AA79-30DCDCBCFBDA}" uniqueName="4" name="NAME" queryTableFieldId="4" dataDxfId="28"/>
    <tableColumn id="5" xr3:uid="{D5A638A7-F80A-405A-9E9E-84C05C30493C}" uniqueName="5" name="DAYS_COUNT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378AEE-95FD-4AD2-844D-4ABA9FFFE9FD}" name="_TBL_PRODUCT" displayName="_TBL_PRODUCT" ref="A2:D3" tableType="queryTable" insertRow="1" totalsRowShown="0">
  <autoFilter ref="A2:D3" xr:uid="{8B378AEE-95FD-4AD2-844D-4ABA9FFFE9FD}"/>
  <tableColumns count="4">
    <tableColumn id="1" xr3:uid="{15CC3BF0-8B87-41F1-BAA1-E28D9398F692}" uniqueName="1" name="PRODUCT ID" queryTableFieldId="1"/>
    <tableColumn id="2" xr3:uid="{296BF938-E0AF-4324-ABAA-10A18A38E8D1}" uniqueName="2" name="PRODUCT NAME" queryTableFieldId="2" dataDxfId="27"/>
    <tableColumn id="3" xr3:uid="{06F5724F-2DA8-4AD1-965F-19DA55DE5782}" uniqueName="3" name="DEFAULT PRICE" queryTableFieldId="3"/>
    <tableColumn id="4" xr3:uid="{2CC1018B-F477-4181-8E30-2CB103A6B9DB}" uniqueName="4" name="DETAILS" queryTableFieldId="4" dataDxfId="2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DDC2229-5015-4C87-8544-AF0C6505727A}" name="_TBL_INVENTORY_CATALOG" displayName="_TBL_INVENTORY_CATALOG" ref="A1:B2" tableType="queryTable" totalsRowShown="0">
  <autoFilter ref="A1:B2" xr:uid="{BDDC2229-5015-4C87-8544-AF0C6505727A}"/>
  <tableColumns count="2">
    <tableColumn id="1" xr3:uid="{0E186CD4-2663-4E65-8CFE-1CA1AE9004FD}" uniqueName="1" name="PRODUCT ID" queryTableFieldId="1"/>
    <tableColumn id="2" xr3:uid="{DA5797CD-DDCB-45D1-983E-C4AF8EAE0B3E}" uniqueName="2" name="INVENTORY ID" queryTableFieldId="2" dataDxfId="2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24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59" tableType="queryTable" totalsRowShown="0">
  <autoFilter ref="A1:G59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C5" tableType="queryTable" totalsRowShown="0">
  <autoFilter ref="A1:C5" xr:uid="{4662DD68-3559-4E05-8449-0F73B97BBCEC}"/>
  <tableColumns count="3">
    <tableColumn id="1" xr3:uid="{F3D10CC6-65D7-40F7-AEA8-49ADE51CB93B}" uniqueName="1" name="PRODUCT ID" queryTableFieldId="1"/>
    <tableColumn id="2" xr3:uid="{4CBA0582-BA1E-431C-BFBB-4A5DC5230851}" uniqueName="2" name="FREEBIES NAME" queryTableFieldId="2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F2" tableType="queryTable" totalsRowShown="0">
  <autoFilter ref="A1:F2" xr:uid="{100A8E24-FACC-4FF2-B7A4-85C3427EAA66}"/>
  <tableColumns count="6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0A9E554-B712-4F7D-878D-D794CC917D6B}" name="_TBL_ADD_ONS" displayName="_TBL_ADD_ONS" ref="A1:F5" tableType="queryTable" totalsRowShown="0">
  <autoFilter ref="A1:F5" xr:uid="{12071373-B117-441E-881D-B4942030B715}"/>
  <tableColumns count="6">
    <tableColumn id="1" xr3:uid="{5F7EF29A-7EB8-4E5E-AB98-B222F2D22BB3}" uniqueName="1" name="ID" queryTableFieldId="1"/>
    <tableColumn id="2" xr3:uid="{A056B41A-09BC-440B-B79E-E82B31D9C4EA}" uniqueName="2" name="ADD ON NAME" queryTableFieldId="2"/>
    <tableColumn id="3" xr3:uid="{9FF3AD3A-02FA-465F-80CC-46107444AEA7}" uniqueName="3" name="RETAIL PRICE" queryTableFieldId="3"/>
    <tableColumn id="4" xr3:uid="{0894E675-C460-49A6-B8C5-2BD4A994A057}" uniqueName="4" name="ADD ON PRICE" queryTableFieldId="4"/>
    <tableColumn id="5" xr3:uid="{48F7D84C-4EAD-4DDE-813B-882062E1D854}" uniqueName="5" name="Column1" queryTableFieldId="5"/>
    <tableColumn id="6" xr3:uid="{D7BEA895-628E-452B-BD3B-44EE28EF9407}" uniqueName="6" name="Column6" queryTableFieldId="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L10" totalsRowCount="1" headerRowDxfId="23" dataDxfId="22">
  <autoFilter ref="B2:L9" xr:uid="{11196D4F-0C08-44E6-8845-054A162CF400}"/>
  <tableColumns count="11">
    <tableColumn id="1" xr3:uid="{7E5944E0-EEF7-48BA-9C65-2A065AAFA2D9}" name="DATE" totalsRowFunction="custom" dataDxfId="21" totalsRowDxfId="10">
      <totalsRowFormula>_xlfn.CONCAT("COUNT: ", SUBTOTAL(103,_TBL_SALES[DATE]))</totalsRowFormula>
    </tableColumn>
    <tableColumn id="2" xr3:uid="{6346439F-B17B-42E4-B169-E92F350D30A5}" name="PRODUCT SET" totalsRowLabel="TOTAL: " dataDxfId="20" totalsRowDxfId="9"/>
    <tableColumn id="4" xr3:uid="{95CD9087-654C-4E2A-AF3A-261436977333}" name="PRICE DEFAULT" totalsRowFunction="sum" dataDxfId="19" totalsRowDxfId="8">
      <calculatedColumnFormula xml:space="preserve"> _xlfn.IFNA( VLOOKUP(_TBL_SALES[[#This Row],[PRODUCT SET]], MAIN_PRODUCT[[PRODUCT NAME]:[DEFAULT PRICE]], 2), "")</calculatedColumnFormula>
    </tableColumn>
    <tableColumn id="13" xr3:uid="{4F50E6C8-94FA-4267-AEB8-A500CA2C2611}" name="Add Ons 1" dataDxfId="18" totalsRowDxfId="7"/>
    <tableColumn id="11" xr3:uid="{9F9E45A1-7B2D-48FF-A185-8ED8FCD21D9D}" name="Add Ons 2" dataDxfId="17" totalsRowDxfId="6"/>
    <tableColumn id="9" xr3:uid="{631CE9C0-E0FE-462C-B49B-A25E944D45BA}" name="Add Ons 3" dataDxfId="16" totalsRowDxfId="5"/>
    <tableColumn id="14" xr3:uid="{4F652C77-A69B-4014-BFAE-0FAAD8498F77}" name="Freebies" dataDxfId="15" totalsRowDxfId="4"/>
    <tableColumn id="5" xr3:uid="{20315BED-21B2-403E-9EB7-F0CC6C891D05}" name="Add Ons Cost" totalsRowFunction="sum" dataDxfId="14" totalsRowDxfId="3">
      <calculatedColumnFormula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calculatedColumnFormula>
    </tableColumn>
    <tableColumn id="3" xr3:uid="{0C6F7D0D-2B13-4E91-997A-E759C7E54BFB}" name="TOTAL PAYMEMT" totalsRowFunction="sum" dataDxfId="13" totalsRowDxfId="2">
      <calculatedColumnFormula>IFERROR(_TBL_SALES[[#This Row],[Add Ons Cost]]+_TBL_SALES[[#This Row],[PRICE DEFAULT]], "")</calculatedColumnFormula>
    </tableColumn>
    <tableColumn id="7" xr3:uid="{A2774850-F5E8-4FA1-8C17-FE6EEC4F8D73}" name="CASH" totalsRowFunction="sum" dataDxfId="12" totalsRowDxfId="1">
      <calculatedColumnFormula>IF(_TBL_SALES[[#This Row],[PRICE DEFAULT]]+_TBL_SALES[[#This Row],[Add Ons Cost]]&lt;&gt; 0, _TBL_SALES[[#This Row],[PRICE DEFAULT]]+_TBL_SALES[[#This Row],[Add Ons Cost]], "")</calculatedColumnFormula>
    </tableColumn>
    <tableColumn id="8" xr3:uid="{3BEEB058-8C1B-4F3B-A112-E1C3BF3C5795}" name="GCASH/BANK" totalsRowFunction="sum" dataDxfId="1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6B4-8FE3-47ED-9AEF-EE1F61FCD8EB}">
  <sheetPr codeName="Sheet1"/>
  <dimension ref="A1:C6"/>
  <sheetViews>
    <sheetView workbookViewId="0">
      <selection activeCell="F11" sqref="F11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80</v>
      </c>
    </row>
    <row r="3" spans="1:3" x14ac:dyDescent="0.25">
      <c r="A3">
        <v>2</v>
      </c>
      <c r="B3" t="s">
        <v>69</v>
      </c>
    </row>
    <row r="4" spans="1:3" x14ac:dyDescent="0.25">
      <c r="A4">
        <v>3</v>
      </c>
      <c r="B4" t="s">
        <v>71</v>
      </c>
    </row>
    <row r="5" spans="1:3" x14ac:dyDescent="0.25">
      <c r="A5">
        <v>4</v>
      </c>
      <c r="B5" t="s">
        <v>81</v>
      </c>
    </row>
    <row r="6" spans="1:3" x14ac:dyDescent="0.25">
      <c r="A6">
        <v>5</v>
      </c>
      <c r="B6" t="s">
        <v>82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A4E0C-F018-4B84-8B6D-6C68E449C05C}">
  <sheetPr codeName="Sheet3"/>
  <dimension ref="A1:D7"/>
  <sheetViews>
    <sheetView workbookViewId="0"/>
  </sheetViews>
  <sheetFormatPr defaultRowHeight="15" x14ac:dyDescent="0.25"/>
  <cols>
    <col min="1" max="1" width="5.140625" bestFit="1" customWidth="1"/>
    <col min="2" max="2" width="11.28515625" bestFit="1" customWidth="1"/>
    <col min="3" max="3" width="12.710937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4</v>
      </c>
      <c r="D1" t="s">
        <v>10</v>
      </c>
    </row>
    <row r="2" spans="1:4" x14ac:dyDescent="0.25">
      <c r="A2">
        <v>1</v>
      </c>
      <c r="B2" t="s">
        <v>7</v>
      </c>
      <c r="C2" t="s">
        <v>16</v>
      </c>
    </row>
    <row r="3" spans="1:4" x14ac:dyDescent="0.25">
      <c r="A3">
        <v>2</v>
      </c>
      <c r="B3" t="s">
        <v>17</v>
      </c>
      <c r="C3" t="s">
        <v>18</v>
      </c>
    </row>
    <row r="4" spans="1:4" x14ac:dyDescent="0.25">
      <c r="A4">
        <v>3</v>
      </c>
      <c r="B4" t="s">
        <v>19</v>
      </c>
      <c r="C4" t="s">
        <v>20</v>
      </c>
    </row>
    <row r="5" spans="1:4" x14ac:dyDescent="0.25">
      <c r="A5">
        <v>4</v>
      </c>
      <c r="B5" t="s">
        <v>21</v>
      </c>
      <c r="C5" t="s">
        <v>22</v>
      </c>
    </row>
    <row r="6" spans="1:4" x14ac:dyDescent="0.25">
      <c r="A6">
        <v>5</v>
      </c>
      <c r="B6" t="s">
        <v>23</v>
      </c>
      <c r="C6" t="s">
        <v>24</v>
      </c>
    </row>
    <row r="7" spans="1:4" x14ac:dyDescent="0.25">
      <c r="A7">
        <v>6</v>
      </c>
      <c r="B7" t="s">
        <v>25</v>
      </c>
      <c r="C7" t="s">
        <v>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9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9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67</v>
      </c>
      <c r="G1" t="s">
        <v>5</v>
      </c>
    </row>
    <row r="2" spans="1:7" x14ac:dyDescent="0.25">
      <c r="A2">
        <v>1</v>
      </c>
      <c r="B2" t="s">
        <v>6</v>
      </c>
      <c r="C2" t="s">
        <v>7</v>
      </c>
      <c r="D2" t="s">
        <v>8</v>
      </c>
      <c r="E2" t="s">
        <v>27</v>
      </c>
      <c r="F2" t="s">
        <v>68</v>
      </c>
      <c r="G2" t="s">
        <v>69</v>
      </c>
    </row>
    <row r="3" spans="1:7" x14ac:dyDescent="0.25">
      <c r="A3">
        <v>2</v>
      </c>
      <c r="B3" t="s">
        <v>70</v>
      </c>
      <c r="C3" t="s">
        <v>7</v>
      </c>
      <c r="D3" t="s">
        <v>8</v>
      </c>
      <c r="E3" t="s">
        <v>27</v>
      </c>
      <c r="F3" t="s">
        <v>68</v>
      </c>
      <c r="G3" t="s">
        <v>71</v>
      </c>
    </row>
    <row r="4" spans="1:7" x14ac:dyDescent="0.25">
      <c r="A4">
        <v>3</v>
      </c>
      <c r="B4" t="s">
        <v>72</v>
      </c>
      <c r="C4" t="s">
        <v>7</v>
      </c>
      <c r="D4" t="s">
        <v>9</v>
      </c>
      <c r="F4" t="s">
        <v>68</v>
      </c>
      <c r="G4" t="s">
        <v>69</v>
      </c>
    </row>
    <row r="5" spans="1:7" x14ac:dyDescent="0.25">
      <c r="A5">
        <v>4</v>
      </c>
      <c r="B5" t="s">
        <v>73</v>
      </c>
      <c r="C5" t="s">
        <v>7</v>
      </c>
      <c r="D5" t="s">
        <v>9</v>
      </c>
      <c r="F5" t="s">
        <v>74</v>
      </c>
      <c r="G5" t="s">
        <v>69</v>
      </c>
    </row>
    <row r="6" spans="1:7" x14ac:dyDescent="0.25">
      <c r="A6">
        <v>5</v>
      </c>
      <c r="B6" t="s">
        <v>12</v>
      </c>
      <c r="C6" t="s">
        <v>7</v>
      </c>
      <c r="D6" t="s">
        <v>8</v>
      </c>
      <c r="E6" t="s">
        <v>28</v>
      </c>
      <c r="F6" t="s">
        <v>68</v>
      </c>
      <c r="G6" t="s">
        <v>69</v>
      </c>
    </row>
    <row r="7" spans="1:7" x14ac:dyDescent="0.25">
      <c r="A7">
        <v>6</v>
      </c>
      <c r="B7" t="s">
        <v>75</v>
      </c>
      <c r="C7" t="s">
        <v>7</v>
      </c>
      <c r="D7" t="s">
        <v>9</v>
      </c>
      <c r="F7" t="s">
        <v>76</v>
      </c>
      <c r="G7" t="s">
        <v>69</v>
      </c>
    </row>
    <row r="8" spans="1:7" x14ac:dyDescent="0.25">
      <c r="B8" s="12" t="s">
        <v>77</v>
      </c>
      <c r="C8" s="12" t="s">
        <v>7</v>
      </c>
      <c r="D8" s="12" t="s">
        <v>8</v>
      </c>
      <c r="E8" s="12" t="s">
        <v>28</v>
      </c>
      <c r="F8" t="s">
        <v>68</v>
      </c>
      <c r="G8" s="12" t="s">
        <v>71</v>
      </c>
    </row>
    <row r="9" spans="1:7" x14ac:dyDescent="0.25">
      <c r="B9" s="12" t="s">
        <v>78</v>
      </c>
      <c r="C9" s="12" t="s">
        <v>7</v>
      </c>
      <c r="D9" s="12" t="s">
        <v>13</v>
      </c>
      <c r="E9" s="12" t="s">
        <v>79</v>
      </c>
      <c r="F9" t="s">
        <v>74</v>
      </c>
      <c r="G9" s="12" t="s">
        <v>69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6"/>
  <sheetViews>
    <sheetView workbookViewId="0">
      <selection activeCell="G10" sqref="G10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13</v>
      </c>
    </row>
    <row r="3" spans="1:3" x14ac:dyDescent="0.25">
      <c r="A3">
        <v>2</v>
      </c>
      <c r="B3" t="s">
        <v>14</v>
      </c>
    </row>
    <row r="4" spans="1:3" x14ac:dyDescent="0.25">
      <c r="A4">
        <v>3</v>
      </c>
      <c r="B4" t="s">
        <v>8</v>
      </c>
    </row>
    <row r="5" spans="1:3" x14ac:dyDescent="0.25">
      <c r="A5">
        <v>4</v>
      </c>
      <c r="B5" t="s">
        <v>9</v>
      </c>
    </row>
    <row r="6" spans="1:3" x14ac:dyDescent="0.25">
      <c r="A6">
        <v>5</v>
      </c>
      <c r="B6" t="s">
        <v>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9D148-A7B3-4A39-AD0F-53A67EEF0BED}">
  <sheetPr codeName="Sheet6"/>
  <dimension ref="A1:E9"/>
  <sheetViews>
    <sheetView workbookViewId="0">
      <selection sqref="A1:E9"/>
    </sheetView>
  </sheetViews>
  <sheetFormatPr defaultRowHeight="15" x14ac:dyDescent="0.25"/>
  <cols>
    <col min="1" max="1" width="9.7109375" bestFit="1" customWidth="1"/>
    <col min="2" max="2" width="14.28515625" bestFit="1" customWidth="1"/>
    <col min="3" max="3" width="12.5703125" bestFit="1" customWidth="1"/>
    <col min="4" max="4" width="15.140625" customWidth="1"/>
    <col min="5" max="5" width="15.5703125" bestFit="1" customWidth="1"/>
  </cols>
  <sheetData>
    <row r="1" spans="1:5" x14ac:dyDescent="0.25">
      <c r="A1" t="s">
        <v>11</v>
      </c>
      <c r="B1" t="s">
        <v>31</v>
      </c>
      <c r="C1" t="s">
        <v>32</v>
      </c>
      <c r="D1" t="s">
        <v>1</v>
      </c>
      <c r="E1" t="s">
        <v>33</v>
      </c>
    </row>
    <row r="2" spans="1:5" x14ac:dyDescent="0.25">
      <c r="A2" s="5">
        <v>45766</v>
      </c>
      <c r="B2" s="5">
        <v>45766</v>
      </c>
      <c r="C2" s="5">
        <v>45766</v>
      </c>
      <c r="D2" t="s">
        <v>34</v>
      </c>
      <c r="E2">
        <v>1</v>
      </c>
    </row>
    <row r="3" spans="1:5" x14ac:dyDescent="0.25">
      <c r="A3" s="5">
        <v>45766</v>
      </c>
      <c r="B3" s="5">
        <v>45765</v>
      </c>
      <c r="C3" s="5">
        <v>45765</v>
      </c>
      <c r="D3" t="s">
        <v>35</v>
      </c>
      <c r="E3">
        <v>1</v>
      </c>
    </row>
    <row r="4" spans="1:5" x14ac:dyDescent="0.25">
      <c r="A4" s="5">
        <v>45766</v>
      </c>
      <c r="B4" s="5">
        <v>45760</v>
      </c>
      <c r="C4" s="5">
        <v>45766</v>
      </c>
      <c r="D4" t="s">
        <v>36</v>
      </c>
      <c r="E4">
        <v>7</v>
      </c>
    </row>
    <row r="5" spans="1:5" x14ac:dyDescent="0.25">
      <c r="A5" s="5">
        <v>45766</v>
      </c>
      <c r="B5" s="5">
        <v>45753</v>
      </c>
      <c r="C5" s="5">
        <v>45759</v>
      </c>
      <c r="D5" t="s">
        <v>37</v>
      </c>
      <c r="E5">
        <v>7</v>
      </c>
    </row>
    <row r="6" spans="1:5" x14ac:dyDescent="0.25">
      <c r="A6" s="5">
        <v>45766</v>
      </c>
      <c r="B6" s="5">
        <v>45748</v>
      </c>
      <c r="C6" s="5">
        <v>45777</v>
      </c>
      <c r="D6" t="s">
        <v>38</v>
      </c>
      <c r="E6">
        <v>30</v>
      </c>
    </row>
    <row r="7" spans="1:5" x14ac:dyDescent="0.25">
      <c r="A7" s="5">
        <v>45766</v>
      </c>
      <c r="B7" s="5">
        <v>45717</v>
      </c>
      <c r="C7" s="5">
        <v>45747</v>
      </c>
      <c r="D7" t="s">
        <v>39</v>
      </c>
      <c r="E7">
        <v>31</v>
      </c>
    </row>
    <row r="8" spans="1:5" x14ac:dyDescent="0.25">
      <c r="A8" s="5">
        <v>45766</v>
      </c>
      <c r="B8" s="5">
        <v>45658</v>
      </c>
      <c r="C8" s="5">
        <v>46022</v>
      </c>
      <c r="D8" t="s">
        <v>40</v>
      </c>
      <c r="E8">
        <v>365</v>
      </c>
    </row>
    <row r="9" spans="1:5" x14ac:dyDescent="0.25">
      <c r="A9" s="5">
        <v>45766</v>
      </c>
      <c r="B9" s="5"/>
      <c r="C9" s="5"/>
      <c r="D9" t="s">
        <v>41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890E-9C7C-4A33-AF65-8EAF5FC819D6}">
  <sheetPr codeName="Sheet7"/>
  <dimension ref="A2:D2"/>
  <sheetViews>
    <sheetView workbookViewId="0">
      <selection activeCell="B2" sqref="B2"/>
    </sheetView>
  </sheetViews>
  <sheetFormatPr defaultRowHeight="15" x14ac:dyDescent="0.25"/>
  <cols>
    <col min="1" max="1" width="14.140625" bestFit="1" customWidth="1"/>
    <col min="2" max="2" width="18" bestFit="1" customWidth="1"/>
    <col min="3" max="3" width="16.7109375" bestFit="1" customWidth="1"/>
    <col min="4" max="4" width="10.28515625" bestFit="1" customWidth="1"/>
  </cols>
  <sheetData>
    <row r="2" spans="1:4" x14ac:dyDescent="0.25">
      <c r="A2" t="s">
        <v>44</v>
      </c>
      <c r="B2" t="s">
        <v>46</v>
      </c>
      <c r="C2" t="s">
        <v>47</v>
      </c>
      <c r="D2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39B8-E291-4861-87F0-18F70601C925}">
  <sheetPr codeName="Sheet8"/>
  <dimension ref="A1:B2"/>
  <sheetViews>
    <sheetView workbookViewId="0"/>
  </sheetViews>
  <sheetFormatPr defaultRowHeight="15" x14ac:dyDescent="0.25"/>
  <cols>
    <col min="1" max="1" width="14.140625" bestFit="1" customWidth="1"/>
    <col min="2" max="2" width="23.42578125" bestFit="1" customWidth="1"/>
  </cols>
  <sheetData>
    <row r="1" spans="1:2" x14ac:dyDescent="0.25">
      <c r="A1" t="s">
        <v>44</v>
      </c>
      <c r="B1" t="s">
        <v>45</v>
      </c>
    </row>
    <row r="2" spans="1:2" x14ac:dyDescent="0.25">
      <c r="A2">
        <v>1</v>
      </c>
      <c r="B2" t="s">
        <v>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D27" sqref="D27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</row>
    <row r="2" spans="1:17" x14ac:dyDescent="0.25">
      <c r="B2" t="s">
        <v>66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59"/>
  <sheetViews>
    <sheetView topLeftCell="A2" workbookViewId="0"/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67</v>
      </c>
      <c r="G1" t="s">
        <v>5</v>
      </c>
    </row>
    <row r="2" spans="1:7" x14ac:dyDescent="0.25">
      <c r="A2">
        <v>1</v>
      </c>
      <c r="B2" t="s">
        <v>87</v>
      </c>
      <c r="C2" t="s">
        <v>7</v>
      </c>
      <c r="D2" t="s">
        <v>8</v>
      </c>
      <c r="F2" t="s">
        <v>68</v>
      </c>
      <c r="G2" t="s">
        <v>80</v>
      </c>
    </row>
    <row r="3" spans="1:7" x14ac:dyDescent="0.25">
      <c r="A3">
        <v>2</v>
      </c>
      <c r="B3" t="s">
        <v>88</v>
      </c>
      <c r="C3" t="s">
        <v>7</v>
      </c>
      <c r="D3" t="s">
        <v>8</v>
      </c>
      <c r="F3" t="s">
        <v>68</v>
      </c>
      <c r="G3" t="s">
        <v>69</v>
      </c>
    </row>
    <row r="4" spans="1:7" x14ac:dyDescent="0.25">
      <c r="A4">
        <v>3</v>
      </c>
      <c r="B4" t="s">
        <v>89</v>
      </c>
      <c r="C4" t="s">
        <v>7</v>
      </c>
      <c r="D4" t="s">
        <v>8</v>
      </c>
      <c r="F4" t="s">
        <v>68</v>
      </c>
      <c r="G4" t="s">
        <v>71</v>
      </c>
    </row>
    <row r="5" spans="1:7" x14ac:dyDescent="0.25">
      <c r="A5">
        <v>4</v>
      </c>
      <c r="B5" t="s">
        <v>72</v>
      </c>
      <c r="C5" t="s">
        <v>7</v>
      </c>
      <c r="D5" t="s">
        <v>9</v>
      </c>
      <c r="F5" t="s">
        <v>68</v>
      </c>
      <c r="G5" t="s">
        <v>69</v>
      </c>
    </row>
    <row r="6" spans="1:7" x14ac:dyDescent="0.25">
      <c r="A6">
        <v>5</v>
      </c>
      <c r="B6" t="s">
        <v>90</v>
      </c>
      <c r="C6" t="s">
        <v>7</v>
      </c>
      <c r="D6" t="s">
        <v>9</v>
      </c>
      <c r="F6" t="s">
        <v>68</v>
      </c>
      <c r="G6" t="s">
        <v>71</v>
      </c>
    </row>
    <row r="7" spans="1:7" x14ac:dyDescent="0.25">
      <c r="A7">
        <v>6</v>
      </c>
      <c r="B7" t="s">
        <v>91</v>
      </c>
      <c r="C7" t="s">
        <v>7</v>
      </c>
      <c r="D7" t="s">
        <v>92</v>
      </c>
      <c r="F7" t="s">
        <v>68</v>
      </c>
      <c r="G7" t="s">
        <v>69</v>
      </c>
    </row>
    <row r="8" spans="1:7" x14ac:dyDescent="0.25">
      <c r="A8">
        <v>7</v>
      </c>
      <c r="B8" t="s">
        <v>93</v>
      </c>
      <c r="C8" t="s">
        <v>7</v>
      </c>
      <c r="D8" t="s">
        <v>15</v>
      </c>
      <c r="F8" t="s">
        <v>68</v>
      </c>
      <c r="G8" t="s">
        <v>69</v>
      </c>
    </row>
    <row r="9" spans="1:7" x14ac:dyDescent="0.25">
      <c r="A9">
        <v>8</v>
      </c>
      <c r="B9" t="s">
        <v>94</v>
      </c>
      <c r="C9" t="s">
        <v>7</v>
      </c>
      <c r="D9" t="s">
        <v>15</v>
      </c>
      <c r="F9" t="s">
        <v>68</v>
      </c>
      <c r="G9" t="s">
        <v>71</v>
      </c>
    </row>
    <row r="10" spans="1:7" x14ac:dyDescent="0.25">
      <c r="A10">
        <v>9</v>
      </c>
      <c r="B10" t="s">
        <v>73</v>
      </c>
      <c r="C10" t="s">
        <v>7</v>
      </c>
      <c r="D10" t="s">
        <v>9</v>
      </c>
      <c r="F10" t="s">
        <v>74</v>
      </c>
      <c r="G10" t="s">
        <v>69</v>
      </c>
    </row>
    <row r="11" spans="1:7" x14ac:dyDescent="0.25">
      <c r="A11">
        <v>10</v>
      </c>
      <c r="B11" t="s">
        <v>95</v>
      </c>
      <c r="C11" t="s">
        <v>7</v>
      </c>
      <c r="D11" t="s">
        <v>9</v>
      </c>
      <c r="F11" t="s">
        <v>74</v>
      </c>
      <c r="G11" t="s">
        <v>71</v>
      </c>
    </row>
    <row r="12" spans="1:7" x14ac:dyDescent="0.25">
      <c r="A12">
        <v>11</v>
      </c>
      <c r="B12" t="s">
        <v>96</v>
      </c>
      <c r="C12" t="s">
        <v>7</v>
      </c>
      <c r="D12" t="s">
        <v>8</v>
      </c>
      <c r="F12" t="s">
        <v>74</v>
      </c>
      <c r="G12" t="s">
        <v>69</v>
      </c>
    </row>
    <row r="13" spans="1:7" x14ac:dyDescent="0.25">
      <c r="A13">
        <v>12</v>
      </c>
      <c r="B13" t="s">
        <v>97</v>
      </c>
      <c r="C13" t="s">
        <v>7</v>
      </c>
      <c r="D13" t="s">
        <v>8</v>
      </c>
      <c r="F13" t="s">
        <v>74</v>
      </c>
      <c r="G13" t="s">
        <v>71</v>
      </c>
    </row>
    <row r="14" spans="1:7" x14ac:dyDescent="0.25">
      <c r="A14">
        <v>13</v>
      </c>
      <c r="B14" t="s">
        <v>98</v>
      </c>
      <c r="C14" t="s">
        <v>7</v>
      </c>
      <c r="D14" t="s">
        <v>13</v>
      </c>
      <c r="F14" t="s">
        <v>74</v>
      </c>
      <c r="G14" t="s">
        <v>71</v>
      </c>
    </row>
    <row r="15" spans="1:7" x14ac:dyDescent="0.25">
      <c r="A15">
        <v>14</v>
      </c>
      <c r="B15" t="s">
        <v>99</v>
      </c>
      <c r="C15" t="s">
        <v>7</v>
      </c>
      <c r="D15" t="s">
        <v>13</v>
      </c>
      <c r="F15" t="s">
        <v>74</v>
      </c>
      <c r="G15" t="s">
        <v>69</v>
      </c>
    </row>
    <row r="16" spans="1:7" x14ac:dyDescent="0.25">
      <c r="A16">
        <v>15</v>
      </c>
      <c r="B16" t="s">
        <v>100</v>
      </c>
      <c r="C16" t="s">
        <v>7</v>
      </c>
      <c r="D16" t="s">
        <v>15</v>
      </c>
      <c r="F16" t="s">
        <v>74</v>
      </c>
      <c r="G16" t="s">
        <v>69</v>
      </c>
    </row>
    <row r="17" spans="1:7" x14ac:dyDescent="0.25">
      <c r="A17">
        <v>16</v>
      </c>
      <c r="B17" t="s">
        <v>101</v>
      </c>
      <c r="C17" t="s">
        <v>7</v>
      </c>
      <c r="D17" t="s">
        <v>92</v>
      </c>
      <c r="F17" t="s">
        <v>74</v>
      </c>
      <c r="G17" t="s">
        <v>71</v>
      </c>
    </row>
    <row r="18" spans="1:7" x14ac:dyDescent="0.25">
      <c r="A18">
        <v>17</v>
      </c>
      <c r="B18" t="s">
        <v>102</v>
      </c>
      <c r="C18" t="s">
        <v>7</v>
      </c>
      <c r="D18" t="s">
        <v>8</v>
      </c>
      <c r="F18" t="s">
        <v>76</v>
      </c>
      <c r="G18" t="s">
        <v>69</v>
      </c>
    </row>
    <row r="19" spans="1:7" x14ac:dyDescent="0.25">
      <c r="A19">
        <v>18</v>
      </c>
      <c r="B19" t="s">
        <v>103</v>
      </c>
      <c r="C19" t="s">
        <v>7</v>
      </c>
      <c r="D19" t="s">
        <v>9</v>
      </c>
      <c r="F19" t="s">
        <v>76</v>
      </c>
      <c r="G19" t="s">
        <v>80</v>
      </c>
    </row>
    <row r="20" spans="1:7" x14ac:dyDescent="0.25">
      <c r="A20">
        <v>19</v>
      </c>
      <c r="B20" t="s">
        <v>75</v>
      </c>
      <c r="C20" t="s">
        <v>7</v>
      </c>
      <c r="D20" t="s">
        <v>9</v>
      </c>
      <c r="F20" t="s">
        <v>76</v>
      </c>
      <c r="G20" t="s">
        <v>69</v>
      </c>
    </row>
    <row r="21" spans="1:7" x14ac:dyDescent="0.25">
      <c r="A21">
        <v>20</v>
      </c>
      <c r="B21" t="s">
        <v>104</v>
      </c>
      <c r="C21" t="s">
        <v>7</v>
      </c>
      <c r="D21" t="s">
        <v>9</v>
      </c>
      <c r="F21" t="s">
        <v>76</v>
      </c>
      <c r="G21" t="s">
        <v>71</v>
      </c>
    </row>
    <row r="22" spans="1:7" x14ac:dyDescent="0.25">
      <c r="A22">
        <v>21</v>
      </c>
      <c r="B22" t="s">
        <v>105</v>
      </c>
      <c r="C22" t="s">
        <v>7</v>
      </c>
      <c r="D22" t="s">
        <v>9</v>
      </c>
      <c r="F22" t="s">
        <v>76</v>
      </c>
      <c r="G22" t="s">
        <v>106</v>
      </c>
    </row>
    <row r="23" spans="1:7" x14ac:dyDescent="0.25">
      <c r="A23">
        <v>22</v>
      </c>
      <c r="B23" t="s">
        <v>107</v>
      </c>
      <c r="C23" t="s">
        <v>7</v>
      </c>
      <c r="D23" t="s">
        <v>9</v>
      </c>
      <c r="F23" t="s">
        <v>76</v>
      </c>
      <c r="G23" t="s">
        <v>108</v>
      </c>
    </row>
    <row r="24" spans="1:7" x14ac:dyDescent="0.25">
      <c r="A24">
        <v>23</v>
      </c>
      <c r="B24" t="s">
        <v>109</v>
      </c>
      <c r="C24" t="s">
        <v>7</v>
      </c>
      <c r="D24" t="s">
        <v>13</v>
      </c>
      <c r="F24" t="s">
        <v>76</v>
      </c>
      <c r="G24" t="s">
        <v>80</v>
      </c>
    </row>
    <row r="25" spans="1:7" x14ac:dyDescent="0.25">
      <c r="A25">
        <v>24</v>
      </c>
      <c r="B25" t="s">
        <v>110</v>
      </c>
      <c r="C25" t="s">
        <v>7</v>
      </c>
      <c r="D25" t="s">
        <v>13</v>
      </c>
      <c r="F25" t="s">
        <v>76</v>
      </c>
      <c r="G25" t="s">
        <v>69</v>
      </c>
    </row>
    <row r="26" spans="1:7" x14ac:dyDescent="0.25">
      <c r="A26">
        <v>25</v>
      </c>
      <c r="B26" t="s">
        <v>111</v>
      </c>
      <c r="C26" t="s">
        <v>7</v>
      </c>
      <c r="D26" t="s">
        <v>14</v>
      </c>
      <c r="F26" t="s">
        <v>76</v>
      </c>
      <c r="G26" t="s">
        <v>80</v>
      </c>
    </row>
    <row r="27" spans="1:7" x14ac:dyDescent="0.25">
      <c r="A27">
        <v>26</v>
      </c>
      <c r="B27" t="s">
        <v>112</v>
      </c>
      <c r="C27" t="s">
        <v>7</v>
      </c>
      <c r="D27" t="s">
        <v>15</v>
      </c>
      <c r="F27" t="s">
        <v>76</v>
      </c>
      <c r="G27" t="s">
        <v>69</v>
      </c>
    </row>
    <row r="28" spans="1:7" x14ac:dyDescent="0.25">
      <c r="A28">
        <v>27</v>
      </c>
      <c r="B28" t="s">
        <v>113</v>
      </c>
      <c r="C28" t="s">
        <v>7</v>
      </c>
      <c r="D28" t="s">
        <v>8</v>
      </c>
      <c r="F28" t="s">
        <v>114</v>
      </c>
      <c r="G28" t="s">
        <v>69</v>
      </c>
    </row>
    <row r="29" spans="1:7" x14ac:dyDescent="0.25">
      <c r="A29">
        <v>28</v>
      </c>
      <c r="B29" t="s">
        <v>115</v>
      </c>
      <c r="C29" t="s">
        <v>7</v>
      </c>
      <c r="D29" t="s">
        <v>8</v>
      </c>
      <c r="F29" t="s">
        <v>114</v>
      </c>
      <c r="G29" t="s">
        <v>71</v>
      </c>
    </row>
    <row r="30" spans="1:7" x14ac:dyDescent="0.25">
      <c r="A30">
        <v>29</v>
      </c>
      <c r="B30" t="s">
        <v>116</v>
      </c>
      <c r="C30" t="s">
        <v>7</v>
      </c>
      <c r="D30" t="s">
        <v>8</v>
      </c>
      <c r="F30" t="s">
        <v>114</v>
      </c>
      <c r="G30" t="s">
        <v>81</v>
      </c>
    </row>
    <row r="31" spans="1:7" x14ac:dyDescent="0.25">
      <c r="A31">
        <v>30</v>
      </c>
      <c r="B31" t="s">
        <v>117</v>
      </c>
      <c r="C31" t="s">
        <v>7</v>
      </c>
      <c r="D31" t="s">
        <v>13</v>
      </c>
      <c r="F31" t="s">
        <v>114</v>
      </c>
      <c r="G31" t="s">
        <v>69</v>
      </c>
    </row>
    <row r="32" spans="1:7" x14ac:dyDescent="0.25">
      <c r="A32">
        <v>31</v>
      </c>
      <c r="B32" t="s">
        <v>118</v>
      </c>
      <c r="C32" t="s">
        <v>7</v>
      </c>
      <c r="D32" t="s">
        <v>13</v>
      </c>
      <c r="F32" t="s">
        <v>114</v>
      </c>
      <c r="G32" t="s">
        <v>71</v>
      </c>
    </row>
    <row r="33" spans="1:7" x14ac:dyDescent="0.25">
      <c r="A33">
        <v>32</v>
      </c>
      <c r="B33" t="s">
        <v>119</v>
      </c>
      <c r="C33" t="s">
        <v>7</v>
      </c>
      <c r="D33" t="s">
        <v>15</v>
      </c>
      <c r="F33" t="s">
        <v>114</v>
      </c>
      <c r="G33" t="s">
        <v>69</v>
      </c>
    </row>
    <row r="34" spans="1:7" x14ac:dyDescent="0.25">
      <c r="A34">
        <v>33</v>
      </c>
      <c r="B34" t="s">
        <v>120</v>
      </c>
      <c r="C34" t="s">
        <v>7</v>
      </c>
      <c r="D34" t="s">
        <v>15</v>
      </c>
      <c r="F34" t="s">
        <v>114</v>
      </c>
      <c r="G34" t="s">
        <v>71</v>
      </c>
    </row>
    <row r="35" spans="1:7" x14ac:dyDescent="0.25">
      <c r="A35">
        <v>34</v>
      </c>
      <c r="B35" t="s">
        <v>121</v>
      </c>
      <c r="C35" t="s">
        <v>7</v>
      </c>
      <c r="D35" t="s">
        <v>15</v>
      </c>
      <c r="F35" t="s">
        <v>114</v>
      </c>
      <c r="G35" t="s">
        <v>122</v>
      </c>
    </row>
    <row r="36" spans="1:7" x14ac:dyDescent="0.25">
      <c r="A36">
        <v>35</v>
      </c>
      <c r="B36" t="s">
        <v>123</v>
      </c>
      <c r="C36" t="s">
        <v>7</v>
      </c>
      <c r="D36" t="s">
        <v>9</v>
      </c>
      <c r="F36" t="s">
        <v>114</v>
      </c>
      <c r="G36" t="s">
        <v>71</v>
      </c>
    </row>
    <row r="37" spans="1:7" x14ac:dyDescent="0.25">
      <c r="A37">
        <v>36</v>
      </c>
      <c r="B37" t="s">
        <v>124</v>
      </c>
      <c r="C37" t="s">
        <v>7</v>
      </c>
      <c r="D37" t="s">
        <v>9</v>
      </c>
      <c r="F37" t="s">
        <v>114</v>
      </c>
      <c r="G37" t="s">
        <v>122</v>
      </c>
    </row>
    <row r="38" spans="1:7" x14ac:dyDescent="0.25">
      <c r="A38">
        <v>37</v>
      </c>
      <c r="B38" t="s">
        <v>125</v>
      </c>
      <c r="C38" t="s">
        <v>7</v>
      </c>
      <c r="D38" t="s">
        <v>14</v>
      </c>
      <c r="F38" t="s">
        <v>114</v>
      </c>
      <c r="G38" t="s">
        <v>71</v>
      </c>
    </row>
    <row r="39" spans="1:7" x14ac:dyDescent="0.25">
      <c r="A39">
        <v>38</v>
      </c>
      <c r="B39" t="s">
        <v>126</v>
      </c>
      <c r="C39" t="s">
        <v>7</v>
      </c>
      <c r="D39" t="s">
        <v>92</v>
      </c>
      <c r="F39" t="s">
        <v>114</v>
      </c>
      <c r="G39" t="s">
        <v>71</v>
      </c>
    </row>
    <row r="40" spans="1:7" x14ac:dyDescent="0.25">
      <c r="A40">
        <v>39</v>
      </c>
      <c r="B40" t="s">
        <v>127</v>
      </c>
      <c r="C40" t="s">
        <v>7</v>
      </c>
      <c r="D40" t="s">
        <v>128</v>
      </c>
      <c r="F40" t="s">
        <v>129</v>
      </c>
    </row>
    <row r="41" spans="1:7" x14ac:dyDescent="0.25">
      <c r="A41">
        <v>40</v>
      </c>
      <c r="B41" t="s">
        <v>130</v>
      </c>
      <c r="C41" t="s">
        <v>7</v>
      </c>
      <c r="D41" t="s">
        <v>128</v>
      </c>
      <c r="F41" t="s">
        <v>131</v>
      </c>
    </row>
    <row r="42" spans="1:7" x14ac:dyDescent="0.25">
      <c r="A42">
        <v>41</v>
      </c>
      <c r="B42" t="s">
        <v>132</v>
      </c>
      <c r="C42" t="s">
        <v>7</v>
      </c>
      <c r="D42" t="s">
        <v>132</v>
      </c>
    </row>
    <row r="43" spans="1:7" x14ac:dyDescent="0.25">
      <c r="A43">
        <v>42</v>
      </c>
      <c r="B43" t="s">
        <v>133</v>
      </c>
      <c r="C43" t="s">
        <v>7</v>
      </c>
      <c r="D43" t="s">
        <v>8</v>
      </c>
      <c r="F43" t="s">
        <v>129</v>
      </c>
    </row>
    <row r="44" spans="1:7" x14ac:dyDescent="0.25">
      <c r="A44">
        <v>43</v>
      </c>
      <c r="B44" t="s">
        <v>134</v>
      </c>
      <c r="C44" t="s">
        <v>7</v>
      </c>
      <c r="D44" t="s">
        <v>8</v>
      </c>
      <c r="F44" t="s">
        <v>131</v>
      </c>
    </row>
    <row r="45" spans="1:7" x14ac:dyDescent="0.25">
      <c r="A45">
        <v>44</v>
      </c>
      <c r="B45" t="s">
        <v>135</v>
      </c>
      <c r="C45" t="s">
        <v>7</v>
      </c>
      <c r="D45" t="s">
        <v>8</v>
      </c>
      <c r="F45" t="s">
        <v>136</v>
      </c>
    </row>
    <row r="46" spans="1:7" x14ac:dyDescent="0.25">
      <c r="A46">
        <v>45</v>
      </c>
      <c r="B46" t="s">
        <v>137</v>
      </c>
      <c r="C46" t="s">
        <v>7</v>
      </c>
      <c r="D46" t="s">
        <v>137</v>
      </c>
    </row>
    <row r="47" spans="1:7" x14ac:dyDescent="0.25">
      <c r="A47">
        <v>46</v>
      </c>
      <c r="B47" t="s">
        <v>138</v>
      </c>
      <c r="C47" t="s">
        <v>7</v>
      </c>
      <c r="D47" t="s">
        <v>138</v>
      </c>
    </row>
    <row r="48" spans="1:7" x14ac:dyDescent="0.25">
      <c r="A48">
        <v>47</v>
      </c>
      <c r="B48" t="s">
        <v>139</v>
      </c>
      <c r="C48" t="s">
        <v>7</v>
      </c>
      <c r="D48" t="s">
        <v>15</v>
      </c>
      <c r="F48" t="s">
        <v>129</v>
      </c>
    </row>
    <row r="49" spans="1:7" x14ac:dyDescent="0.25">
      <c r="A49">
        <v>48</v>
      </c>
      <c r="B49" t="s">
        <v>140</v>
      </c>
      <c r="C49" t="s">
        <v>7</v>
      </c>
      <c r="D49" t="s">
        <v>15</v>
      </c>
      <c r="F49" t="s">
        <v>131</v>
      </c>
    </row>
    <row r="50" spans="1:7" x14ac:dyDescent="0.25">
      <c r="A50">
        <v>49</v>
      </c>
      <c r="B50" t="s">
        <v>141</v>
      </c>
      <c r="C50" t="s">
        <v>7</v>
      </c>
      <c r="D50" t="s">
        <v>141</v>
      </c>
    </row>
    <row r="51" spans="1:7" x14ac:dyDescent="0.25">
      <c r="A51">
        <v>95</v>
      </c>
      <c r="B51" t="s">
        <v>142</v>
      </c>
      <c r="C51" t="s">
        <v>17</v>
      </c>
      <c r="E51" t="s">
        <v>143</v>
      </c>
      <c r="F51" t="s">
        <v>131</v>
      </c>
      <c r="G51" t="s">
        <v>144</v>
      </c>
    </row>
    <row r="52" spans="1:7" x14ac:dyDescent="0.25">
      <c r="A52">
        <v>96</v>
      </c>
      <c r="B52" t="s">
        <v>145</v>
      </c>
      <c r="C52" t="s">
        <v>17</v>
      </c>
      <c r="E52" t="s">
        <v>146</v>
      </c>
      <c r="F52" t="s">
        <v>147</v>
      </c>
    </row>
    <row r="53" spans="1:7" x14ac:dyDescent="0.25">
      <c r="A53">
        <v>97</v>
      </c>
      <c r="B53" t="s">
        <v>148</v>
      </c>
      <c r="C53" t="s">
        <v>17</v>
      </c>
      <c r="E53" t="s">
        <v>148</v>
      </c>
    </row>
    <row r="54" spans="1:7" x14ac:dyDescent="0.25">
      <c r="A54">
        <v>98</v>
      </c>
      <c r="B54" t="s">
        <v>149</v>
      </c>
      <c r="C54" t="s">
        <v>21</v>
      </c>
      <c r="E54" t="s">
        <v>149</v>
      </c>
    </row>
    <row r="55" spans="1:7" x14ac:dyDescent="0.25">
      <c r="A55">
        <v>99</v>
      </c>
      <c r="B55" t="s">
        <v>150</v>
      </c>
      <c r="C55" t="s">
        <v>21</v>
      </c>
      <c r="E55" t="s">
        <v>150</v>
      </c>
    </row>
    <row r="56" spans="1:7" x14ac:dyDescent="0.25">
      <c r="A56">
        <v>100</v>
      </c>
      <c r="B56" t="s">
        <v>151</v>
      </c>
      <c r="C56" t="s">
        <v>21</v>
      </c>
      <c r="E56" t="s">
        <v>151</v>
      </c>
    </row>
    <row r="57" spans="1:7" x14ac:dyDescent="0.25">
      <c r="A57">
        <v>101</v>
      </c>
      <c r="B57" t="s">
        <v>152</v>
      </c>
      <c r="C57" t="s">
        <v>21</v>
      </c>
      <c r="E57" t="s">
        <v>152</v>
      </c>
    </row>
    <row r="58" spans="1:7" x14ac:dyDescent="0.25">
      <c r="A58">
        <v>102</v>
      </c>
      <c r="B58" t="s">
        <v>153</v>
      </c>
      <c r="C58" t="s">
        <v>21</v>
      </c>
      <c r="E58" t="s">
        <v>153</v>
      </c>
    </row>
    <row r="59" spans="1:7" x14ac:dyDescent="0.25">
      <c r="A59">
        <v>103</v>
      </c>
      <c r="B59" t="s">
        <v>154</v>
      </c>
      <c r="C59" t="s">
        <v>21</v>
      </c>
      <c r="E59" t="s">
        <v>154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C5"/>
  <sheetViews>
    <sheetView workbookViewId="0">
      <selection activeCell="B2" sqref="B2:B5"/>
    </sheetView>
  </sheetViews>
  <sheetFormatPr defaultRowHeight="15" x14ac:dyDescent="0.25"/>
  <cols>
    <col min="1" max="1" width="14.140625" bestFit="1" customWidth="1"/>
    <col min="2" max="2" width="28.140625" bestFit="1" customWidth="1"/>
    <col min="3" max="3" width="121.140625" customWidth="1"/>
  </cols>
  <sheetData>
    <row r="1" spans="1:3" x14ac:dyDescent="0.25">
      <c r="A1" t="s">
        <v>44</v>
      </c>
      <c r="B1" t="s">
        <v>155</v>
      </c>
      <c r="C1" t="s">
        <v>48</v>
      </c>
    </row>
    <row r="2" spans="1:3" x14ac:dyDescent="0.25">
      <c r="A2">
        <v>1</v>
      </c>
      <c r="B2" t="s">
        <v>156</v>
      </c>
      <c r="C2" t="s">
        <v>157</v>
      </c>
    </row>
    <row r="3" spans="1:3" x14ac:dyDescent="0.25">
      <c r="A3">
        <v>2</v>
      </c>
      <c r="B3" t="s">
        <v>158</v>
      </c>
      <c r="C3" t="s">
        <v>159</v>
      </c>
    </row>
    <row r="4" spans="1:3" x14ac:dyDescent="0.25">
      <c r="A4">
        <v>3</v>
      </c>
      <c r="B4" t="s">
        <v>160</v>
      </c>
      <c r="C4" t="s">
        <v>161</v>
      </c>
    </row>
    <row r="5" spans="1:3" x14ac:dyDescent="0.25">
      <c r="A5">
        <v>4</v>
      </c>
      <c r="B5" t="s">
        <v>162</v>
      </c>
      <c r="C5" t="s">
        <v>163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F2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 t="s">
        <v>0</v>
      </c>
      <c r="B1" t="s">
        <v>46</v>
      </c>
      <c r="C1" t="s">
        <v>47</v>
      </c>
      <c r="D1" t="s">
        <v>52</v>
      </c>
      <c r="E1" t="s">
        <v>53</v>
      </c>
      <c r="F1" t="s">
        <v>54</v>
      </c>
    </row>
    <row r="2" spans="1:6" x14ac:dyDescent="0.25">
      <c r="B2" t="s">
        <v>88</v>
      </c>
      <c r="C2">
        <v>3990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F2607-4FE0-48E7-9420-53D3B5E234D0}">
  <dimension ref="A1:F5"/>
  <sheetViews>
    <sheetView workbookViewId="0">
      <selection sqref="A1:F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4.5703125" bestFit="1" customWidth="1"/>
    <col min="4" max="4" width="16" bestFit="1" customWidth="1"/>
    <col min="5" max="6" width="11.140625" bestFit="1" customWidth="1"/>
  </cols>
  <sheetData>
    <row r="1" spans="1:6" x14ac:dyDescent="0.25">
      <c r="A1" t="s">
        <v>0</v>
      </c>
      <c r="B1" t="s">
        <v>165</v>
      </c>
      <c r="C1" t="s">
        <v>166</v>
      </c>
      <c r="D1" t="s">
        <v>167</v>
      </c>
      <c r="E1" t="s">
        <v>10</v>
      </c>
      <c r="F1" t="s">
        <v>54</v>
      </c>
    </row>
    <row r="2" spans="1:6" x14ac:dyDescent="0.25">
      <c r="B2" t="s">
        <v>86</v>
      </c>
      <c r="C2">
        <v>1000</v>
      </c>
      <c r="D2">
        <v>250</v>
      </c>
    </row>
    <row r="3" spans="1:6" x14ac:dyDescent="0.25">
      <c r="B3" t="s">
        <v>168</v>
      </c>
      <c r="C3">
        <v>150</v>
      </c>
      <c r="D3">
        <v>100</v>
      </c>
    </row>
    <row r="4" spans="1:6" x14ac:dyDescent="0.25">
      <c r="B4" t="s">
        <v>169</v>
      </c>
    </row>
    <row r="5" spans="1:6" x14ac:dyDescent="0.25">
      <c r="B5" t="s">
        <v>170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L11"/>
  <sheetViews>
    <sheetView tabSelected="1" zoomScale="74" workbookViewId="0">
      <selection activeCell="E26" sqref="E26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24.5703125" customWidth="1"/>
    <col min="12" max="12" width="25.28515625" customWidth="1"/>
  </cols>
  <sheetData>
    <row r="1" spans="2:12" x14ac:dyDescent="0.25">
      <c r="C1" s="16" t="s">
        <v>42</v>
      </c>
      <c r="D1" s="16"/>
      <c r="E1" s="11"/>
      <c r="F1" s="11"/>
      <c r="G1" s="11"/>
    </row>
    <row r="2" spans="2:12" x14ac:dyDescent="0.25">
      <c r="B2" s="1" t="s">
        <v>11</v>
      </c>
      <c r="C2" s="1" t="s">
        <v>43</v>
      </c>
      <c r="D2" s="1" t="s">
        <v>49</v>
      </c>
      <c r="E2" s="1" t="s">
        <v>83</v>
      </c>
      <c r="F2" s="1" t="s">
        <v>84</v>
      </c>
      <c r="G2" s="1" t="s">
        <v>85</v>
      </c>
      <c r="H2" s="1" t="s">
        <v>19</v>
      </c>
      <c r="I2" s="1" t="s">
        <v>164</v>
      </c>
      <c r="J2" s="1" t="s">
        <v>171</v>
      </c>
      <c r="K2" s="1" t="s">
        <v>172</v>
      </c>
      <c r="L2" s="1" t="s">
        <v>173</v>
      </c>
    </row>
    <row r="3" spans="2:12" x14ac:dyDescent="0.25">
      <c r="B3" s="2">
        <v>45766</v>
      </c>
      <c r="C3" s="9" t="s">
        <v>88</v>
      </c>
      <c r="D3" s="6">
        <f xml:space="preserve"> _xlfn.IFNA( VLOOKUP(_TBL_SALES[[#This Row],[PRODUCT SET]], MAIN_PRODUCT[[PRODUCT NAME]:[DEFAULT PRICE]], 2), "")</f>
        <v>3990</v>
      </c>
      <c r="E3" s="14" t="s">
        <v>86</v>
      </c>
      <c r="F3" s="13"/>
      <c r="G3" s="13"/>
      <c r="H3" s="15"/>
      <c r="I3" s="13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>250</v>
      </c>
      <c r="J3" s="6">
        <f>IFERROR(_TBL_SALES[[#This Row],[Add Ons Cost]]+_TBL_SALES[[#This Row],[PRICE DEFAULT]], "")</f>
        <v>4240</v>
      </c>
      <c r="K3" s="6">
        <v>3000</v>
      </c>
      <c r="L3" s="6">
        <v>1240</v>
      </c>
    </row>
    <row r="4" spans="2:12" x14ac:dyDescent="0.25">
      <c r="B4" s="2"/>
      <c r="C4" s="9"/>
      <c r="D4" s="6" t="str">
        <f xml:space="preserve"> _xlfn.IFNA( VLOOKUP(_TBL_SALES[[#This Row],[PRODUCT SET]], MAIN_PRODUCT[[PRODUCT NAME]:[DEFAULT PRICE]], 2), "")</f>
        <v/>
      </c>
      <c r="E4" s="14"/>
      <c r="F4" s="13"/>
      <c r="G4" s="13"/>
      <c r="H4" s="15"/>
      <c r="I4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4" s="6" t="str">
        <f>IFERROR(_TBL_SALES[[#This Row],[Add Ons Cost]]+_TBL_SALES[[#This Row],[PRICE DEFAULT]], "")</f>
        <v/>
      </c>
      <c r="K4" s="6"/>
      <c r="L4" s="6"/>
    </row>
    <row r="5" spans="2:12" x14ac:dyDescent="0.25">
      <c r="B5" s="2"/>
      <c r="C5" s="9"/>
      <c r="D5" s="6" t="str">
        <f xml:space="preserve"> _xlfn.IFNA( VLOOKUP(_TBL_SALES[[#This Row],[PRODUCT SET]], MAIN_PRODUCT[[PRODUCT NAME]:[DEFAULT PRICE]], 2), "")</f>
        <v/>
      </c>
      <c r="E5" s="14"/>
      <c r="F5" s="13"/>
      <c r="G5" s="13"/>
      <c r="H5" s="15"/>
      <c r="I5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5" s="6" t="str">
        <f>IFERROR(_TBL_SALES[[#This Row],[Add Ons Cost]]+_TBL_SALES[[#This Row],[PRICE DEFAULT]], "")</f>
        <v/>
      </c>
      <c r="K5" s="6"/>
      <c r="L5" s="6"/>
    </row>
    <row r="6" spans="2:12" x14ac:dyDescent="0.25">
      <c r="B6" s="2"/>
      <c r="C6" s="9"/>
      <c r="D6" s="6" t="str">
        <f xml:space="preserve"> _xlfn.IFNA( VLOOKUP(_TBL_SALES[[#This Row],[PRODUCT SET]], MAIN_PRODUCT[[PRODUCT NAME]:[DEFAULT PRICE]], 2), "")</f>
        <v/>
      </c>
      <c r="E6" s="14"/>
      <c r="F6" s="13"/>
      <c r="G6" s="13"/>
      <c r="H6" s="15"/>
      <c r="I6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6" s="6" t="str">
        <f>IFERROR(_TBL_SALES[[#This Row],[Add Ons Cost]]+_TBL_SALES[[#This Row],[PRICE DEFAULT]], "")</f>
        <v/>
      </c>
      <c r="K6" s="6"/>
      <c r="L6" s="6"/>
    </row>
    <row r="7" spans="2:12" x14ac:dyDescent="0.25">
      <c r="B7" s="2"/>
      <c r="C7" s="9"/>
      <c r="D7" s="6" t="str">
        <f xml:space="preserve"> _xlfn.IFNA( VLOOKUP(_TBL_SALES[[#This Row],[PRODUCT SET]], MAIN_PRODUCT[[PRODUCT NAME]:[DEFAULT PRICE]], 2), "")</f>
        <v/>
      </c>
      <c r="E7" s="14"/>
      <c r="F7" s="13"/>
      <c r="G7" s="13"/>
      <c r="H7" s="15"/>
      <c r="I7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7" s="6" t="str">
        <f>IFERROR(_TBL_SALES[[#This Row],[Add Ons Cost]]+_TBL_SALES[[#This Row],[PRICE DEFAULT]], "")</f>
        <v/>
      </c>
      <c r="K7" s="6"/>
      <c r="L7" s="6"/>
    </row>
    <row r="8" spans="2:12" x14ac:dyDescent="0.25">
      <c r="B8" s="2"/>
      <c r="C8" s="9"/>
      <c r="D8" s="6" t="str">
        <f xml:space="preserve"> _xlfn.IFNA( VLOOKUP(_TBL_SALES[[#This Row],[PRODUCT SET]], MAIN_PRODUCT[[PRODUCT NAME]:[DEFAULT PRICE]], 2), "")</f>
        <v/>
      </c>
      <c r="E8" s="14"/>
      <c r="F8" s="13"/>
      <c r="G8" s="13"/>
      <c r="H8" s="15"/>
      <c r="I8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8" s="6" t="str">
        <f>IFERROR(_TBL_SALES[[#This Row],[Add Ons Cost]]+_TBL_SALES[[#This Row],[PRICE DEFAULT]], "")</f>
        <v/>
      </c>
      <c r="K8" s="6"/>
      <c r="L8" s="6"/>
    </row>
    <row r="9" spans="2:12" ht="15.75" thickBot="1" x14ac:dyDescent="0.3">
      <c r="B9" s="2"/>
      <c r="C9" s="10"/>
      <c r="D9" s="6" t="str">
        <f xml:space="preserve"> _xlfn.IFNA( VLOOKUP(_TBL_SALES[[#This Row],[PRODUCT SET]], MAIN_PRODUCT[[PRODUCT NAME]:[DEFAULT PRICE]], 2), "")</f>
        <v/>
      </c>
      <c r="E9" s="14"/>
      <c r="F9" s="13"/>
      <c r="G9" s="13"/>
      <c r="H9" s="15"/>
      <c r="I9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9" s="6" t="str">
        <f>IFERROR(_TBL_SALES[[#This Row],[Add Ons Cost]]+_TBL_SALES[[#This Row],[PRICE DEFAULT]], "")</f>
        <v/>
      </c>
      <c r="K9" s="6"/>
      <c r="L9" s="6"/>
    </row>
    <row r="10" spans="2:12" x14ac:dyDescent="0.25">
      <c r="B10" s="1" t="str">
        <f>_xlfn.CONCAT("COUNT: ", SUBTOTAL(103,_TBL_SALES[DATE]))</f>
        <v>COUNT: 1</v>
      </c>
      <c r="C10" s="3" t="s">
        <v>29</v>
      </c>
      <c r="D10" s="7">
        <f>SUBTOTAL(109,_TBL_SALES[PRICE DEFAULT])</f>
        <v>3990</v>
      </c>
      <c r="E10" s="7"/>
      <c r="F10" s="7"/>
      <c r="G10" s="7"/>
      <c r="H10" s="7"/>
      <c r="I10" s="7">
        <f>SUBTOTAL(109,_TBL_SALES[Add Ons Cost])</f>
        <v>250</v>
      </c>
      <c r="J10" s="7">
        <f>SUBTOTAL(109,_TBL_SALES[TOTAL PAYMEMT])</f>
        <v>4240</v>
      </c>
      <c r="K10" s="7">
        <f>SUBTOTAL(109,_TBL_SALES[CASH])</f>
        <v>3000</v>
      </c>
      <c r="L10" s="7">
        <f>SUBTOTAL(109,_TBL_SALES[GCASH/BANK])</f>
        <v>1240</v>
      </c>
    </row>
    <row r="11" spans="2:12" x14ac:dyDescent="0.25">
      <c r="C11" s="4" t="s">
        <v>30</v>
      </c>
      <c r="D11" s="8">
        <f>SUM(_TBL_SALES[Add Ons Cost])</f>
        <v>250</v>
      </c>
      <c r="E11" s="8"/>
      <c r="F11" s="8"/>
      <c r="G11" s="8"/>
      <c r="J11" s="8">
        <f>SUM(_TBL_SALES[TOTAL PAYMEMT])</f>
        <v>4240</v>
      </c>
      <c r="K11" s="8">
        <f>SUM(_TBL_SALES[CASH])</f>
        <v>3000</v>
      </c>
      <c r="L11" s="8">
        <f>SUM(_TBL_SALES[GCASH/BANK])</f>
        <v>1240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E3:G9" xr:uid="{C381BEAA-AEEF-41EE-893A-06D6FD1450D4}">
      <formula1>NAMES_ADD_ONS</formula1>
    </dataValidation>
    <dataValidation type="list" allowBlank="1" showInputMessage="1" showErrorMessage="1" sqref="C3:C9" xr:uid="{87F124BC-8AAB-4E60-BB58-EF61A224D365}">
      <formula1>NAMES_MAIN_PRODUCTS</formula1>
    </dataValidation>
    <dataValidation type="list" allowBlank="1" showInputMessage="1" showErrorMessage="1" sqref="H3:H9" xr:uid="{AA45CAC7-F0C3-40AC-ACFA-A82B546D9715}">
      <formula1>NAMES_FREEBIES_SET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_TBL_SPECS</vt:lpstr>
      <vt:lpstr>_TBL_INVENTORY_TYPE</vt:lpstr>
      <vt:lpstr>_TBL_INVENTORY</vt:lpstr>
      <vt:lpstr>_TBL_BRAND</vt:lpstr>
      <vt:lpstr>_TBL_DATES</vt:lpstr>
      <vt:lpstr>_TBL_PRODUCT</vt:lpstr>
      <vt:lpstr>_TBL_INVENTORY_CATALOG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  <vt:lpstr>NAMES_PRODUCT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2025-04-19T08:07:30Z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