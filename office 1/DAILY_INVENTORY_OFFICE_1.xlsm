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1\"/>
    </mc:Choice>
  </mc:AlternateContent>
  <xr:revisionPtr revIDLastSave="0" documentId="13_ncr:1_{01B74BE6-8ECA-4905-B8B7-92063FEC8531}" xr6:coauthVersionLast="36" xr6:coauthVersionMax="47" xr10:uidLastSave="{00000000-0000-0000-0000-000000000000}"/>
  <bookViews>
    <workbookView xWindow="-120" yWindow="-120" windowWidth="29040" windowHeight="15720" firstSheet="2" activeTab="4" xr2:uid="{00000000-000D-0000-FFFF-FFFF00000000}"/>
  </bookViews>
  <sheets>
    <sheet name="_TBL_INVENTORY_NAMES" sheetId="9" state="hidden" r:id="rId1"/>
    <sheet name="_TBL_INVENTORY" sheetId="4" state="hidden" r:id="rId2"/>
    <sheet name="_TBL_INVENTORY_TOTAL" sheetId="8" r:id="rId3"/>
    <sheet name="_TBL_ADD_ONS" sheetId="10" state="hidden" r:id="rId4"/>
    <sheet name="_TBL_FREEBIES_SET" sheetId="11" r:id="rId5"/>
    <sheet name="INVENTORY" sheetId="2" r:id="rId6"/>
  </sheets>
  <definedNames>
    <definedName name="ExternalData_1" localSheetId="3" hidden="1">'_TBL_ADD_ONS'!$A$1:$C$7</definedName>
    <definedName name="ExternalData_1" localSheetId="4" hidden="1">'_TBL_FREEBIES_SET'!$A$1:$C$5</definedName>
    <definedName name="ExternalData_1" localSheetId="2" hidden="1">'_TBL_INVENTORY_TOTAL'!#REF!</definedName>
    <definedName name="ExternalData_2" localSheetId="1" hidden="1">'_TBL_INVENTORY'!$A$1:$G$105</definedName>
    <definedName name="ExternalData_2" localSheetId="2" hidden="1">'_TBL_INVENTORY_TOTAL'!$A$1:$F$13</definedName>
    <definedName name="ExternalData_3" localSheetId="0" hidden="1">'_TBL_INVENTORY_NAMES'!$A$1:$E$10</definedName>
    <definedName name="NAMES_INVENTORY">OFFSET(_TBL_INVENTORY[NAME], 0, 0, COUNTA(_TBL_INVENTORY[NAME]), 1)</definedName>
    <definedName name="NAMES_INVENTORY_ITEMS">_TBL_INVENTORY_NAMES[INVENTORY ITEM]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5" i="2"/>
  <c r="D6" i="2"/>
  <c r="D7" i="2"/>
  <c r="D8" i="2"/>
  <c r="D9" i="2"/>
  <c r="D10" i="2"/>
  <c r="D11" i="2"/>
  <c r="D3" i="2"/>
  <c r="G3" i="2" l="1"/>
  <c r="G4" i="2"/>
  <c r="G5" i="2"/>
  <c r="G6" i="2"/>
  <c r="G7" i="2"/>
  <c r="G8" i="2"/>
  <c r="G9" i="2"/>
  <c r="G10" i="2"/>
  <c r="G11" i="2"/>
  <c r="F3" i="2" l="1"/>
  <c r="F4" i="2"/>
  <c r="F5" i="2"/>
  <c r="F6" i="2"/>
  <c r="F7" i="2"/>
  <c r="F8" i="2"/>
  <c r="F9" i="2"/>
  <c r="F10" i="2"/>
  <c r="F11" i="2"/>
  <c r="H12" i="2" l="1"/>
  <c r="E12" i="2"/>
  <c r="H13" i="2"/>
  <c r="E13" i="2"/>
  <c r="B12" i="2"/>
  <c r="F12" i="2" l="1"/>
  <c r="F1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2D180B-CFCB-4355-9E08-736C31227666}" keepAlive="1" name="Query - _TBL_ADD_ONS" description="Connection to the '_TBL_ADD_ONS' query in the workbook." type="5" refreshedVersion="6" background="1" saveData="1">
    <dbPr connection="Provider=Microsoft.Mashup.OleDb.1;Data Source=$Workbook$;Location=_TBL_ADD_ONS;Extended Properties=&quot;&quot;" command="SELECT * FROM [_TBL_ADD_ONS]"/>
  </connection>
  <connection id="2" xr16:uid="{B78A41E7-E897-4C10-8DB4-279BA1A1C310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3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4" xr16:uid="{3B58365A-CC5E-4833-936D-4E36E7616AAA}" keepAlive="1" name="Query - _TBL_INVENTORY_NAMES" description="Connection to the '_TBL_INVENTORY_NAMES' query in the workbook." type="5" refreshedVersion="6" background="1" saveData="1">
    <dbPr connection="Provider=Microsoft.Mashup.OleDb.1;Data Source=$Workbook$;Location=_TBL_INVENTORY_NAMES;Extended Properties=&quot;&quot;" command="SELECT * FROM [_TBL_INVENTORY_NAMES]"/>
  </connection>
  <connection id="5" xr16:uid="{4B9A868F-23F3-4B72-9AF0-3D01E553AF4D}" keepAlive="1" name="Query - _TBL_INVENTORY_TOTAL" type="5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<sst xmlns="http://schemas.openxmlformats.org/spreadsheetml/2006/main" count="492" uniqueCount="163">
  <si>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</si>
  <si>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</si>
  <si>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</si>
  <si>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</si>
  <si>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</si>
  <si>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</si>
  <si>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</si>
  <si>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</si>
  <si>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</si>
  <si>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</si>
  <si>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INVENTORY ITEM</t>
  </si>
  <si>
    <t>BACKJOB</t>
  </si>
  <si>
    <t>ACER</t>
  </si>
  <si>
    <t>ASUS</t>
  </si>
  <si>
    <t>LENOVO</t>
  </si>
  <si>
    <t>PC Parts</t>
  </si>
  <si>
    <t>Printers</t>
  </si>
  <si>
    <t>TOTAL</t>
  </si>
  <si>
    <t>IN</t>
  </si>
  <si>
    <t>REMARKS</t>
  </si>
  <si>
    <t>BOX ID</t>
  </si>
  <si>
    <t xml:space="preserve">TOTAL: </t>
  </si>
  <si>
    <t>ABSOLUTE TOTAL:</t>
  </si>
  <si>
    <t>2 / 16</t>
  </si>
  <si>
    <t>4 / 16</t>
  </si>
  <si>
    <t>4 / 32</t>
  </si>
  <si>
    <t>8 / 128</t>
  </si>
  <si>
    <t>VARIANT</t>
  </si>
  <si>
    <t>REGULAR</t>
  </si>
  <si>
    <t>HP REGULAR 4 / 16</t>
  </si>
  <si>
    <t>HP TOUCHSCREEN 4 / 16</t>
  </si>
  <si>
    <t>TOUCHSCREEN</t>
  </si>
  <si>
    <t>HP 14' 4 / 16</t>
  </si>
  <si>
    <t>14'</t>
  </si>
  <si>
    <t>INVENTORY</t>
  </si>
  <si>
    <t>Monitor</t>
  </si>
  <si>
    <t>VALID</t>
  </si>
  <si>
    <t>OUT</t>
  </si>
  <si>
    <t>DELL REGULAR 4 / 16</t>
  </si>
  <si>
    <t>DELL REGULAR 4 / 32</t>
  </si>
  <si>
    <t>CTL REGULAR 4 / 16</t>
  </si>
  <si>
    <t>System Ryzen 3</t>
  </si>
  <si>
    <t>PC</t>
  </si>
  <si>
    <t>MG 2570 S</t>
  </si>
  <si>
    <t>Printer</t>
  </si>
  <si>
    <t>Sytem Intel i5 4th Gen</t>
  </si>
  <si>
    <t>DELL REGULAR 2 / 16</t>
  </si>
  <si>
    <t>HP REGULAR 4 / 32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</si>
  <si>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</si>
  <si>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</si>
  <si>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</si>
  <si>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</si>
  <si>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</si>
  <si>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</si>
  <si>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</si>
  <si>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</si>
  <si>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</si>
  <si>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</si>
  <si>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</si>
  <si>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</si>
  <si>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</si>
  <si>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</si>
  <si>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</si>
  <si>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</si>
  <si>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</si>
  <si>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</si>
  <si>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</si>
  <si>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</si>
  <si>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</si>
  <si>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</si>
  <si>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</si>
  <si>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</si>
  <si>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</si>
  <si>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</si>
  <si>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</si>
  <si>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</si>
  <si>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</si>
  <si>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</si>
  <si>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</si>
  <si>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</si>
  <si>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</si>
  <si>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</si>
  <si>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</si>
  <si>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</si>
  <si>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</si>
  <si>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</si>
  <si>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</si>
  <si>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</si>
  <si>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</si>
  <si>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</si>
  <si>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</si>
  <si>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</si>
  <si>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</si>
  <si>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</si>
  <si>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</si>
  <si>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</si>
  <si>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</si>
  <si>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</si>
  <si>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Computer Table</t>
  </si>
  <si>
    <t>Add Ons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</si>
  <si>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</si>
  <si>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</si>
  <si>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</si>
  <si>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</si>
  <si>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</si>
  <si>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</si>
  <si>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</si>
  <si>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</si>
  <si>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</si>
  <si>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</si>
  <si>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</si>
  <si>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</si>
  <si>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</si>
  <si>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</si>
  <si>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</si>
  <si>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</si>
  <si>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</si>
  <si>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</si>
  <si>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</si>
  <si>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</si>
  <si>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</si>
  <si>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</si>
  <si>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</si>
  <si>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</si>
  <si>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</si>
  <si>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</si>
  <si>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</si>
  <si>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</si>
  <si>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</si>
  <si>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</si>
  <si>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</si>
  <si>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</si>
  <si>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</si>
  <si>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</si>
  <si>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</si>
  <si>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</si>
  <si>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</si>
  <si>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</si>
  <si>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</si>
  <si>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</si>
  <si>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</si>
  <si>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</si>
  <si>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</si>
  <si>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</si>
  <si>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Sytem</t>
  </si>
  <si>
    <t>4th Gen</t>
  </si>
  <si>
    <t>System</t>
  </si>
  <si>
    <t>Ryzen 3</t>
  </si>
  <si>
    <t>TS 207</t>
  </si>
  <si>
    <t>MG 3070 S</t>
  </si>
  <si>
    <t>G 2021</t>
  </si>
  <si>
    <t>L 121</t>
  </si>
  <si>
    <t>Brother 3420 W</t>
  </si>
  <si>
    <t>Charger</t>
  </si>
  <si>
    <t>8 Freebies</t>
  </si>
  <si>
    <t>Mix And Match  Action Cam</t>
  </si>
  <si>
    <t>ADD ON NAME</t>
  </si>
  <si>
    <t>ADD ON PRICE</t>
  </si>
  <si>
    <t>FREEBIES NAME</t>
  </si>
  <si>
    <t>DETAILS</t>
  </si>
  <si>
    <t>Mix And Match  Helmet</t>
  </si>
  <si>
    <t>Mix And Match  Cherry Mobile</t>
  </si>
  <si>
    <t>Mouse, Laptop Table, Laptop Bag, Laptop Brush, Laptop Stand, Charger, Mouse Pad, P47 Headphone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</si>
</sst>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0" fontId="0" fillId="0" borderId="1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0" xfId="0" applyNumberFormat="1"/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/>
    <xf numFmtId="0" fontId="0" fillId="0" borderId="9" xfId="0" applyBorder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27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E3E542A5-03D5-4F72-85A9-E7D16F765E1C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INVENTORY ITEM" tableColumnId="2"/>
      <queryTableField id="3" name="TYPE" tableColumnId="3"/>
      <queryTableField id="4" name="REMARKS" tableColumnId="4"/>
      <queryTableField id="5" name="BOX ID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0EDE9FDE-9D18-4041-AC6B-0F9D45770E7E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INVENTORY ITEM" tableColumnId="2"/>
      <queryTableField id="3" name="TYPE" tableColumnId="3"/>
      <queryTableField id="4" name="OUT" tableColumnId="4"/>
      <queryTableField id="5" name="REMARKS" tableColumnId="5"/>
      <queryTableField id="6" name="BOX ID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3FCE3F0-126A-4610-BEB5-DF630F8CA606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FEFBC9B-044E-4067-B382-7EF5D6AA260A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FREEBIES NAME" tableColumnId="2"/>
      <queryTableField id="3" name="DETAIL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F2F51B-D940-44B7-946C-95A8E4F685D9}" name="_TBL_INVENTORY_NAMES" displayName="_TBL_INVENTORY_NAMES" ref="A1:E10" tableType="queryTable" totalsRowShown="0">
  <autoFilter ref="A1:E10" xr:uid="{D00F2566-3669-48E3-B6F4-2EDB4E80FE40}"/>
  <tableColumns count="5">
    <tableColumn id="1" xr3:uid="{1ED1674B-4B0A-4111-88D9-08C239E13931}" uniqueName="1" name="DATE" queryTableFieldId="1" dataDxfId="9"/>
    <tableColumn id="2" xr3:uid="{5224690C-2BCE-4F4D-B38D-F41406F64B95}" uniqueName="2" name="INVENTORY ITEM" queryTableFieldId="2"/>
    <tableColumn id="3" xr3:uid="{E2219B9B-8610-4D8F-A71E-F205A221396C}" uniqueName="3" name="TYPE" queryTableFieldId="3"/>
    <tableColumn id="4" xr3:uid="{DB053695-5EB2-4A51-9664-139621115D84}" uniqueName="4" name="REMARKS" queryTableFieldId="4"/>
    <tableColumn id="5" xr3:uid="{983F0B9C-F548-4058-8B81-BA26BDC73505}" uniqueName="5" name="BOX ID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105" tableType="queryTable" totalsRowShown="0">
  <autoFilter ref="A1:G105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14"/>
    <tableColumn id="3" xr3:uid="{076104D8-C9E8-451B-A965-B0F52E829B97}" uniqueName="3" name="TYPE" queryTableFieldId="3" dataDxfId="13"/>
    <tableColumn id="4" xr3:uid="{EED15770-5ACA-47A3-90AC-004FB47CC5A3}" uniqueName="4" name="BRAND" queryTableFieldId="4" dataDxfId="12"/>
    <tableColumn id="5" xr3:uid="{3006AD62-9893-4204-AD0A-4EF3B9BE605E}" uniqueName="5" name="CODE" queryTableFieldId="5" dataDxfId="11"/>
    <tableColumn id="7" xr3:uid="{755E8365-A27A-40BA-BC6C-656013F5F0FA}" uniqueName="7" name="VARIANT" queryTableFieldId="7"/>
    <tableColumn id="6" xr3:uid="{895EF583-4F50-4211-A9B8-9D6A9E4977E5}" uniqueName="6" name="SPECS" queryTableFieldId="6" dataDxf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22EE55-B2E8-49CA-87CE-0E81602873F3}" name="_TBL_INVENTORY_TOTAL" displayName="_TBL_INVENTORY_TOTAL" ref="A1:F13" tableType="queryTable" totalsRowShown="0">
  <autoFilter ref="A1:F13" xr:uid="{712309A9-D333-4D54-8997-66E101C1006C}"/>
  <tableColumns count="6">
    <tableColumn id="1" xr3:uid="{10892207-3324-4D77-BEE9-F758230C99E8}" uniqueName="1" name="DATE" queryTableFieldId="1" dataDxfId="26"/>
    <tableColumn id="2" xr3:uid="{AED438D6-2734-4F7E-AB22-E53FF869B1A9}" uniqueName="2" name="INVENTORY ITEM" queryTableFieldId="2"/>
    <tableColumn id="3" xr3:uid="{81740B91-7CD7-4C77-9E8D-5D0ACF106427}" uniqueName="3" name="TYPE" queryTableFieldId="3"/>
    <tableColumn id="4" xr3:uid="{B137DF68-6F89-453D-AF26-2AC81DFD7C03}" uniqueName="4" name="OUT" queryTableFieldId="4"/>
    <tableColumn id="5" xr3:uid="{A25D3BC6-91BE-4A71-B413-61E66081F239}" uniqueName="5" name="REMARKS" queryTableFieldId="5"/>
    <tableColumn id="6" xr3:uid="{22D6CF06-95B4-4F80-989F-B22AD8A5AC68}" uniqueName="6" name="BOX ID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290411-EE85-4668-82A7-DE6727FD8032}" name="_TBL_ADD_ONS" displayName="_TBL_ADD_ONS" ref="A1:C7" tableType="queryTable" totalsRowShown="0">
  <autoFilter ref="A1:C7" xr:uid="{98575803-E60C-49AA-A842-188C63FB6924}"/>
  <tableColumns count="3">
    <tableColumn id="1" xr3:uid="{8E2480D5-DD09-404E-8BC6-13EC29C1F772}" uniqueName="1" name="ID" queryTableFieldId="1"/>
    <tableColumn id="2" xr3:uid="{F53E3138-2756-447E-AE0F-8FB42C327F31}" uniqueName="2" name="ADD ON NAME" queryTableFieldId="2"/>
    <tableColumn id="3" xr3:uid="{F42D4AB6-9211-4FB3-A1FD-7C43F9C4707B}" uniqueName="3" name="ADD ON PRICE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C47A682-776E-42A7-ADD1-B7B96070AF4A}" name="_TBL_FREEBIES_SET" displayName="_TBL_FREEBIES_SET" ref="A1:C5" tableType="queryTable" totalsRowShown="0">
  <autoFilter ref="A1:C5" xr:uid="{CF1DB815-BC6A-46F1-A46E-D87A4899A757}"/>
  <tableColumns count="3">
    <tableColumn id="1" xr3:uid="{F37D400B-79DC-4BBE-A596-BE00FF0A44EA}" uniqueName="1" name="ID" queryTableFieldId="1"/>
    <tableColumn id="2" xr3:uid="{43EDB3DA-115D-464D-B9B6-9FA8E6604CCA}" uniqueName="2" name="FREEBIES NAME" queryTableFieldId="2"/>
    <tableColumn id="3" xr3:uid="{EEED9911-1A21-42B0-BCCC-396B0D9F0732}" uniqueName="3" name="DETAILS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" displayName="_TBL_LAPTOP_INVENTORY" ref="B2:J12" totalsRowCount="1" headerRowDxfId="25" dataDxfId="24">
  <autoFilter ref="B2:J11" xr:uid="{11196D4F-0C08-44E6-8845-054A162CF400}"/>
  <tableColumns count="9">
    <tableColumn id="1" xr3:uid="{7E5944E0-EEF7-48BA-9C65-2A065AAFA2D9}" name="DATE" totalsRowFunction="custom" dataDxfId="23" totalsRowDxfId="8">
      <totalsRowFormula>_xlfn.CONCAT("COUNT: ", SUBTOTAL(103,_TBL_LAPTOP_INVENTORY[DATE]))</totalsRowFormula>
    </tableColumn>
    <tableColumn id="2" xr3:uid="{6346439F-B17B-42E4-B169-E92F350D30A5}" name="INVENTORY ITEM" totalsRowLabel="TOTAL: " dataDxfId="22" totalsRowDxfId="7"/>
    <tableColumn id="3" xr3:uid="{1EB83D46-47C2-4650-9EFD-5BC25AF91D98}" name="TYPE" dataDxfId="21" totalsRowDxfId="6">
      <calculatedColumnFormula>IFERROR(VLOOKUP(_TBL_LAPTOP_INVENTORY[[#This Row],[INVENTORY ITEM]], _TBL_INVENTORY_TOTAL[[INVENTORY ITEM]:[TYPE]], 2, FALSE), "")</calculatedColumnFormula>
    </tableColumn>
    <tableColumn id="4" xr3:uid="{95CD9087-654C-4E2A-AF3A-261436977333}" name="IN" totalsRowFunction="sum" dataDxfId="20" totalsRowDxfId="5"/>
    <tableColumn id="7" xr3:uid="{A2774850-F5E8-4FA1-8C17-FE6EEC4F8D73}" name="TOTAL" totalsRowFunction="sum" dataDxfId="19" totalsRowDxfId="4">
      <calculatedColumnFormula>IF(_TBL_LAPTOP_INVENTORY[[#This Row],[IN]] &lt;&gt; 0, _TBL_LAPTOP_INVENTORY[[#This Row],[IN]],"")</calculatedColumnFormula>
    </tableColumn>
    <tableColumn id="5" xr3:uid="{F9B5002D-09AE-4A0A-AFEA-D020AB4F85E7}" name="VALID" dataDxfId="18" totalsRowDxfId="3">
      <calculatedColumnFormula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calculatedColumnFormula>
    </tableColumn>
    <tableColumn id="8" xr3:uid="{3BEEB058-8C1B-4F3B-A112-E1C3BF3C5795}" name="BACKJOB" totalsRowFunction="sum" dataDxfId="17" totalsRowDxfId="2"/>
    <tableColumn id="10" xr3:uid="{1B6A8F81-4CD3-412F-B3A2-C032710C5771}" name="REMARKS" dataDxfId="16" totalsRowDxfId="1"/>
    <tableColumn id="12" xr3:uid="{161DBC59-E0E9-488B-9D75-AD60C50E18B7}" name="BOX ID" dataDxfId="15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AA306-DEC9-4574-984D-418A7848575A}">
  <dimension ref="A1:E10"/>
  <sheetViews>
    <sheetView workbookViewId="0">
      <selection activeCell="E11" sqref="E11"/>
    </sheetView>
  </sheetViews>
  <sheetFormatPr defaultRowHeight="14.4" x14ac:dyDescent="0.3"/>
  <cols>
    <col min="1" max="1" width="13.6640625" bestFit="1" customWidth="1"/>
    <col min="2" max="2" width="23.77734375" bestFit="1" customWidth="1"/>
    <col min="3" max="3" width="7.6640625" bestFit="1" customWidth="1"/>
    <col min="4" max="4" width="11.5546875" bestFit="1" customWidth="1"/>
    <col min="5" max="5" width="9" bestFit="1" customWidth="1"/>
  </cols>
  <sheetData>
    <row r="1" spans="1:5" x14ac:dyDescent="0.3">
      <c r="A1" t="s">
        <v>9</v>
      </c>
      <c r="B1" t="s">
        <v>10</v>
      </c>
      <c r="C1" t="s">
        <v>2</v>
      </c>
      <c r="D1" t="s">
        <v>19</v>
      </c>
      <c r="E1" t="s">
        <v>20</v>
      </c>
    </row>
    <row r="2" spans="1:5" x14ac:dyDescent="0.3">
      <c r="A2" s="28">
        <v>45767</v>
      </c>
      <c r="B2" t="s">
        <v>38</v>
      </c>
      <c r="C2" t="s">
        <v>6</v>
      </c>
    </row>
    <row r="3" spans="1:5" x14ac:dyDescent="0.3">
      <c r="A3" s="28">
        <v>45767</v>
      </c>
      <c r="B3" t="s">
        <v>154</v>
      </c>
      <c r="C3" t="s">
        <v>99</v>
      </c>
    </row>
    <row r="4" spans="1:5" x14ac:dyDescent="0.3">
      <c r="A4" s="28">
        <v>45767</v>
      </c>
      <c r="B4" t="s">
        <v>39</v>
      </c>
      <c r="C4" t="s">
        <v>6</v>
      </c>
    </row>
    <row r="5" spans="1:5" x14ac:dyDescent="0.3">
      <c r="A5" s="28">
        <v>45769</v>
      </c>
      <c r="B5" t="s">
        <v>45</v>
      </c>
      <c r="C5" t="s">
        <v>42</v>
      </c>
    </row>
    <row r="6" spans="1:5" x14ac:dyDescent="0.3">
      <c r="A6" s="28">
        <v>45769</v>
      </c>
      <c r="B6" t="s">
        <v>148</v>
      </c>
      <c r="C6" t="s">
        <v>44</v>
      </c>
    </row>
    <row r="7" spans="1:5" x14ac:dyDescent="0.3">
      <c r="A7" s="28">
        <v>45770</v>
      </c>
      <c r="B7" t="s">
        <v>40</v>
      </c>
      <c r="C7" t="s">
        <v>6</v>
      </c>
    </row>
    <row r="8" spans="1:5" x14ac:dyDescent="0.3">
      <c r="A8" s="28">
        <v>45770</v>
      </c>
      <c r="B8" t="s">
        <v>41</v>
      </c>
      <c r="C8" t="s">
        <v>42</v>
      </c>
    </row>
    <row r="9" spans="1:5" x14ac:dyDescent="0.3">
      <c r="A9" s="28">
        <v>45770</v>
      </c>
      <c r="B9" t="s">
        <v>43</v>
      </c>
      <c r="C9" t="s">
        <v>44</v>
      </c>
    </row>
    <row r="10" spans="1:5" x14ac:dyDescent="0.3">
      <c r="A10" s="28">
        <v>45773</v>
      </c>
      <c r="B10" t="s">
        <v>155</v>
      </c>
      <c r="C10" t="s">
        <v>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105"/>
  <sheetViews>
    <sheetView workbookViewId="0">
      <selection activeCell="A2" sqref="A1:G12"/>
    </sheetView>
  </sheetViews>
  <sheetFormatPr defaultRowHeight="14.4" x14ac:dyDescent="0.3"/>
  <cols>
    <col min="1" max="1" width="5" bestFit="1" customWidth="1"/>
    <col min="2" max="2" width="26.5546875" bestFit="1" customWidth="1"/>
    <col min="3" max="3" width="7.6640625" bestFit="1" customWidth="1"/>
    <col min="4" max="4" width="9.21875" bestFit="1" customWidth="1"/>
    <col min="5" max="5" width="17.21875" bestFit="1" customWidth="1"/>
    <col min="6" max="6" width="13.5546875" bestFit="1" customWidth="1"/>
    <col min="7" max="7" width="8.441406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5</v>
      </c>
    </row>
    <row r="2" spans="1:7" x14ac:dyDescent="0.3">
      <c r="A2">
        <v>1</v>
      </c>
      <c r="B2" s="16" t="s">
        <v>46</v>
      </c>
      <c r="C2" s="16" t="s">
        <v>6</v>
      </c>
      <c r="D2" s="16" t="s">
        <v>7</v>
      </c>
      <c r="E2" s="16"/>
      <c r="F2" t="s">
        <v>28</v>
      </c>
      <c r="G2" s="16" t="s">
        <v>23</v>
      </c>
    </row>
    <row r="3" spans="1:7" x14ac:dyDescent="0.3">
      <c r="A3">
        <v>2</v>
      </c>
      <c r="B3" s="16" t="s">
        <v>38</v>
      </c>
      <c r="C3" s="16" t="s">
        <v>6</v>
      </c>
      <c r="D3" s="16" t="s">
        <v>7</v>
      </c>
      <c r="E3" s="16"/>
      <c r="F3" t="s">
        <v>28</v>
      </c>
      <c r="G3" s="16" t="s">
        <v>24</v>
      </c>
    </row>
    <row r="4" spans="1:7" x14ac:dyDescent="0.3">
      <c r="A4">
        <v>3</v>
      </c>
      <c r="B4" s="16" t="s">
        <v>39</v>
      </c>
      <c r="C4" s="16" t="s">
        <v>6</v>
      </c>
      <c r="D4" s="16" t="s">
        <v>7</v>
      </c>
      <c r="E4" s="16"/>
      <c r="F4" t="s">
        <v>28</v>
      </c>
      <c r="G4" s="16" t="s">
        <v>25</v>
      </c>
    </row>
    <row r="5" spans="1:7" x14ac:dyDescent="0.3">
      <c r="A5">
        <v>4</v>
      </c>
      <c r="B5" s="16" t="s">
        <v>29</v>
      </c>
      <c r="C5" s="16" t="s">
        <v>6</v>
      </c>
      <c r="D5" s="16" t="s">
        <v>8</v>
      </c>
      <c r="E5" s="16"/>
      <c r="F5" t="s">
        <v>28</v>
      </c>
      <c r="G5" s="16" t="s">
        <v>24</v>
      </c>
    </row>
    <row r="6" spans="1:7" x14ac:dyDescent="0.3">
      <c r="A6">
        <v>5</v>
      </c>
      <c r="B6" s="16" t="s">
        <v>47</v>
      </c>
      <c r="C6" s="16" t="s">
        <v>6</v>
      </c>
      <c r="D6" s="16" t="s">
        <v>8</v>
      </c>
      <c r="E6" s="16"/>
      <c r="F6" t="s">
        <v>28</v>
      </c>
      <c r="G6" s="16" t="s">
        <v>25</v>
      </c>
    </row>
    <row r="7" spans="1:7" x14ac:dyDescent="0.3">
      <c r="A7">
        <v>6</v>
      </c>
      <c r="B7" s="16" t="s">
        <v>40</v>
      </c>
      <c r="C7" s="16" t="s">
        <v>6</v>
      </c>
      <c r="D7" s="16" t="s">
        <v>48</v>
      </c>
      <c r="E7" s="16"/>
      <c r="F7" t="s">
        <v>28</v>
      </c>
      <c r="G7" s="16" t="s">
        <v>24</v>
      </c>
    </row>
    <row r="8" spans="1:7" x14ac:dyDescent="0.3">
      <c r="A8">
        <v>7</v>
      </c>
      <c r="B8" s="16" t="s">
        <v>49</v>
      </c>
      <c r="C8" s="16" t="s">
        <v>6</v>
      </c>
      <c r="D8" s="16" t="s">
        <v>14</v>
      </c>
      <c r="E8" s="16"/>
      <c r="F8" t="s">
        <v>28</v>
      </c>
      <c r="G8" s="16" t="s">
        <v>24</v>
      </c>
    </row>
    <row r="9" spans="1:7" x14ac:dyDescent="0.3">
      <c r="A9">
        <v>8</v>
      </c>
      <c r="B9" s="16" t="s">
        <v>50</v>
      </c>
      <c r="C9" s="16" t="s">
        <v>6</v>
      </c>
      <c r="D9" s="16" t="s">
        <v>14</v>
      </c>
      <c r="E9" s="16"/>
      <c r="F9" t="s">
        <v>28</v>
      </c>
      <c r="G9" s="16" t="s">
        <v>25</v>
      </c>
    </row>
    <row r="10" spans="1:7" x14ac:dyDescent="0.3">
      <c r="A10">
        <v>9</v>
      </c>
      <c r="B10" s="16" t="s">
        <v>30</v>
      </c>
      <c r="C10" s="16" t="s">
        <v>6</v>
      </c>
      <c r="D10" s="16" t="s">
        <v>8</v>
      </c>
      <c r="E10" s="16"/>
      <c r="F10" t="s">
        <v>31</v>
      </c>
      <c r="G10" s="16" t="s">
        <v>24</v>
      </c>
    </row>
    <row r="11" spans="1:7" x14ac:dyDescent="0.3">
      <c r="A11">
        <v>10</v>
      </c>
      <c r="B11" s="16" t="s">
        <v>51</v>
      </c>
      <c r="C11" s="16" t="s">
        <v>6</v>
      </c>
      <c r="D11" s="16" t="s">
        <v>8</v>
      </c>
      <c r="E11" s="16"/>
      <c r="F11" t="s">
        <v>31</v>
      </c>
      <c r="G11" s="16" t="s">
        <v>25</v>
      </c>
    </row>
    <row r="12" spans="1:7" x14ac:dyDescent="0.3">
      <c r="A12">
        <v>11</v>
      </c>
      <c r="B12" s="16" t="s">
        <v>52</v>
      </c>
      <c r="C12" s="16" t="s">
        <v>6</v>
      </c>
      <c r="D12" s="16" t="s">
        <v>7</v>
      </c>
      <c r="E12" s="16"/>
      <c r="F12" t="s">
        <v>31</v>
      </c>
      <c r="G12" s="16" t="s">
        <v>24</v>
      </c>
    </row>
    <row r="13" spans="1:7" x14ac:dyDescent="0.3">
      <c r="A13">
        <v>12</v>
      </c>
      <c r="B13" s="16" t="s">
        <v>53</v>
      </c>
      <c r="C13" s="16" t="s">
        <v>6</v>
      </c>
      <c r="D13" s="16" t="s">
        <v>7</v>
      </c>
      <c r="E13" s="16"/>
      <c r="F13" t="s">
        <v>31</v>
      </c>
      <c r="G13" s="16" t="s">
        <v>25</v>
      </c>
    </row>
    <row r="14" spans="1:7" x14ac:dyDescent="0.3">
      <c r="A14">
        <v>13</v>
      </c>
      <c r="B14" s="16" t="s">
        <v>54</v>
      </c>
      <c r="C14" s="16" t="s">
        <v>6</v>
      </c>
      <c r="D14" s="16" t="s">
        <v>12</v>
      </c>
      <c r="E14" s="16"/>
      <c r="F14" t="s">
        <v>31</v>
      </c>
      <c r="G14" s="16" t="s">
        <v>25</v>
      </c>
    </row>
    <row r="15" spans="1:7" x14ac:dyDescent="0.3">
      <c r="A15">
        <v>14</v>
      </c>
      <c r="B15" s="16" t="s">
        <v>55</v>
      </c>
      <c r="C15" s="16" t="s">
        <v>6</v>
      </c>
      <c r="D15" s="16" t="s">
        <v>12</v>
      </c>
      <c r="E15" s="16"/>
      <c r="F15" t="s">
        <v>31</v>
      </c>
      <c r="G15" s="16" t="s">
        <v>24</v>
      </c>
    </row>
    <row r="16" spans="1:7" x14ac:dyDescent="0.3">
      <c r="A16">
        <v>15</v>
      </c>
      <c r="B16" s="16" t="s">
        <v>56</v>
      </c>
      <c r="C16" s="16" t="s">
        <v>6</v>
      </c>
      <c r="D16" s="16" t="s">
        <v>14</v>
      </c>
      <c r="E16" s="16"/>
      <c r="F16" t="s">
        <v>31</v>
      </c>
      <c r="G16" s="16" t="s">
        <v>24</v>
      </c>
    </row>
    <row r="17" spans="1:7" x14ac:dyDescent="0.3">
      <c r="A17">
        <v>16</v>
      </c>
      <c r="B17" s="16" t="s">
        <v>57</v>
      </c>
      <c r="C17" s="16" t="s">
        <v>6</v>
      </c>
      <c r="D17" s="16" t="s">
        <v>48</v>
      </c>
      <c r="E17" s="16"/>
      <c r="F17" t="s">
        <v>31</v>
      </c>
      <c r="G17" s="16" t="s">
        <v>25</v>
      </c>
    </row>
    <row r="18" spans="1:7" x14ac:dyDescent="0.3">
      <c r="A18">
        <v>17</v>
      </c>
      <c r="B18" s="16" t="s">
        <v>58</v>
      </c>
      <c r="C18" s="16" t="s">
        <v>6</v>
      </c>
      <c r="D18" s="16" t="s">
        <v>7</v>
      </c>
      <c r="E18" s="16"/>
      <c r="F18" t="s">
        <v>33</v>
      </c>
      <c r="G18" s="16" t="s">
        <v>24</v>
      </c>
    </row>
    <row r="19" spans="1:7" x14ac:dyDescent="0.3">
      <c r="A19">
        <v>18</v>
      </c>
      <c r="B19" s="16" t="s">
        <v>59</v>
      </c>
      <c r="C19" s="16" t="s">
        <v>6</v>
      </c>
      <c r="D19" s="16" t="s">
        <v>8</v>
      </c>
      <c r="E19" s="16"/>
      <c r="F19" t="s">
        <v>33</v>
      </c>
      <c r="G19" s="16" t="s">
        <v>23</v>
      </c>
    </row>
    <row r="20" spans="1:7" x14ac:dyDescent="0.3">
      <c r="A20">
        <v>19</v>
      </c>
      <c r="B20" s="16" t="s">
        <v>32</v>
      </c>
      <c r="C20" s="16" t="s">
        <v>6</v>
      </c>
      <c r="D20" s="16" t="s">
        <v>8</v>
      </c>
      <c r="E20" s="16"/>
      <c r="F20" t="s">
        <v>33</v>
      </c>
      <c r="G20" s="16" t="s">
        <v>24</v>
      </c>
    </row>
    <row r="21" spans="1:7" x14ac:dyDescent="0.3">
      <c r="A21">
        <v>20</v>
      </c>
      <c r="B21" s="16" t="s">
        <v>60</v>
      </c>
      <c r="C21" s="16" t="s">
        <v>6</v>
      </c>
      <c r="D21" s="16" t="s">
        <v>8</v>
      </c>
      <c r="E21" s="16"/>
      <c r="F21" t="s">
        <v>33</v>
      </c>
      <c r="G21" s="16" t="s">
        <v>25</v>
      </c>
    </row>
    <row r="22" spans="1:7" x14ac:dyDescent="0.3">
      <c r="A22">
        <v>21</v>
      </c>
      <c r="B22" s="16" t="s">
        <v>61</v>
      </c>
      <c r="C22" s="16" t="s">
        <v>6</v>
      </c>
      <c r="D22" s="16" t="s">
        <v>8</v>
      </c>
      <c r="E22" s="16"/>
      <c r="F22" t="s">
        <v>33</v>
      </c>
      <c r="G22" s="16" t="s">
        <v>62</v>
      </c>
    </row>
    <row r="23" spans="1:7" x14ac:dyDescent="0.3">
      <c r="A23">
        <v>22</v>
      </c>
      <c r="B23" s="16" t="s">
        <v>63</v>
      </c>
      <c r="C23" s="16" t="s">
        <v>6</v>
      </c>
      <c r="D23" s="16" t="s">
        <v>8</v>
      </c>
      <c r="E23" s="16"/>
      <c r="F23" t="s">
        <v>33</v>
      </c>
      <c r="G23" s="16" t="s">
        <v>64</v>
      </c>
    </row>
    <row r="24" spans="1:7" x14ac:dyDescent="0.3">
      <c r="A24">
        <v>23</v>
      </c>
      <c r="B24" s="16" t="s">
        <v>65</v>
      </c>
      <c r="C24" s="16" t="s">
        <v>6</v>
      </c>
      <c r="D24" s="16" t="s">
        <v>12</v>
      </c>
      <c r="E24" s="16"/>
      <c r="F24" t="s">
        <v>33</v>
      </c>
      <c r="G24" s="16" t="s">
        <v>23</v>
      </c>
    </row>
    <row r="25" spans="1:7" x14ac:dyDescent="0.3">
      <c r="A25">
        <v>24</v>
      </c>
      <c r="B25" s="16" t="s">
        <v>66</v>
      </c>
      <c r="C25" s="16" t="s">
        <v>6</v>
      </c>
      <c r="D25" s="16" t="s">
        <v>12</v>
      </c>
      <c r="E25" s="16"/>
      <c r="F25" t="s">
        <v>33</v>
      </c>
      <c r="G25" s="16" t="s">
        <v>24</v>
      </c>
    </row>
    <row r="26" spans="1:7" x14ac:dyDescent="0.3">
      <c r="A26">
        <v>25</v>
      </c>
      <c r="B26" s="16" t="s">
        <v>67</v>
      </c>
      <c r="C26" s="16" t="s">
        <v>6</v>
      </c>
      <c r="D26" s="16" t="s">
        <v>13</v>
      </c>
      <c r="E26" s="16"/>
      <c r="F26" t="s">
        <v>33</v>
      </c>
      <c r="G26" s="16" t="s">
        <v>23</v>
      </c>
    </row>
    <row r="27" spans="1:7" x14ac:dyDescent="0.3">
      <c r="A27">
        <v>26</v>
      </c>
      <c r="B27" s="16" t="s">
        <v>68</v>
      </c>
      <c r="C27" s="16" t="s">
        <v>6</v>
      </c>
      <c r="D27" s="16" t="s">
        <v>14</v>
      </c>
      <c r="E27" s="16"/>
      <c r="F27" t="s">
        <v>33</v>
      </c>
      <c r="G27" s="16" t="s">
        <v>24</v>
      </c>
    </row>
    <row r="28" spans="1:7" x14ac:dyDescent="0.3">
      <c r="A28">
        <v>27</v>
      </c>
      <c r="B28" s="16" t="s">
        <v>69</v>
      </c>
      <c r="C28" s="16" t="s">
        <v>6</v>
      </c>
      <c r="D28" s="16" t="s">
        <v>7</v>
      </c>
      <c r="E28" s="16"/>
      <c r="F28" t="s">
        <v>70</v>
      </c>
      <c r="G28" s="16" t="s">
        <v>24</v>
      </c>
    </row>
    <row r="29" spans="1:7" x14ac:dyDescent="0.3">
      <c r="A29">
        <v>28</v>
      </c>
      <c r="B29" s="16" t="s">
        <v>71</v>
      </c>
      <c r="C29" s="16" t="s">
        <v>6</v>
      </c>
      <c r="D29" s="16" t="s">
        <v>7</v>
      </c>
      <c r="E29" s="16"/>
      <c r="F29" t="s">
        <v>70</v>
      </c>
      <c r="G29" s="16" t="s">
        <v>25</v>
      </c>
    </row>
    <row r="30" spans="1:7" x14ac:dyDescent="0.3">
      <c r="A30">
        <v>29</v>
      </c>
      <c r="B30" s="16" t="s">
        <v>72</v>
      </c>
      <c r="C30" s="16" t="s">
        <v>6</v>
      </c>
      <c r="D30" s="16" t="s">
        <v>7</v>
      </c>
      <c r="E30" s="16"/>
      <c r="F30" t="s">
        <v>70</v>
      </c>
      <c r="G30" s="16" t="s">
        <v>26</v>
      </c>
    </row>
    <row r="31" spans="1:7" x14ac:dyDescent="0.3">
      <c r="A31">
        <v>30</v>
      </c>
      <c r="B31" s="16" t="s">
        <v>73</v>
      </c>
      <c r="C31" s="16" t="s">
        <v>6</v>
      </c>
      <c r="D31" s="16" t="s">
        <v>12</v>
      </c>
      <c r="E31" s="16"/>
      <c r="F31" t="s">
        <v>70</v>
      </c>
      <c r="G31" s="16" t="s">
        <v>24</v>
      </c>
    </row>
    <row r="32" spans="1:7" x14ac:dyDescent="0.3">
      <c r="A32">
        <v>31</v>
      </c>
      <c r="B32" s="16" t="s">
        <v>74</v>
      </c>
      <c r="C32" s="16" t="s">
        <v>6</v>
      </c>
      <c r="D32" s="16" t="s">
        <v>12</v>
      </c>
      <c r="E32" s="16"/>
      <c r="F32" t="s">
        <v>70</v>
      </c>
      <c r="G32" s="16" t="s">
        <v>25</v>
      </c>
    </row>
    <row r="33" spans="1:7" x14ac:dyDescent="0.3">
      <c r="A33">
        <v>32</v>
      </c>
      <c r="B33" s="16" t="s">
        <v>75</v>
      </c>
      <c r="C33" s="16" t="s">
        <v>6</v>
      </c>
      <c r="D33" s="16" t="s">
        <v>14</v>
      </c>
      <c r="E33" s="16"/>
      <c r="F33" t="s">
        <v>70</v>
      </c>
      <c r="G33" s="16" t="s">
        <v>24</v>
      </c>
    </row>
    <row r="34" spans="1:7" x14ac:dyDescent="0.3">
      <c r="A34">
        <v>33</v>
      </c>
      <c r="B34" s="16" t="s">
        <v>76</v>
      </c>
      <c r="C34" s="16" t="s">
        <v>6</v>
      </c>
      <c r="D34" s="16" t="s">
        <v>14</v>
      </c>
      <c r="E34" s="16"/>
      <c r="F34" t="s">
        <v>70</v>
      </c>
      <c r="G34" s="16" t="s">
        <v>25</v>
      </c>
    </row>
    <row r="35" spans="1:7" x14ac:dyDescent="0.3">
      <c r="A35">
        <v>34</v>
      </c>
      <c r="B35" s="16" t="s">
        <v>77</v>
      </c>
      <c r="C35" s="16" t="s">
        <v>6</v>
      </c>
      <c r="D35" s="16" t="s">
        <v>14</v>
      </c>
      <c r="E35" s="16"/>
      <c r="F35" t="s">
        <v>70</v>
      </c>
      <c r="G35" s="16" t="s">
        <v>78</v>
      </c>
    </row>
    <row r="36" spans="1:7" x14ac:dyDescent="0.3">
      <c r="A36">
        <v>35</v>
      </c>
      <c r="B36" s="16" t="s">
        <v>79</v>
      </c>
      <c r="C36" s="16" t="s">
        <v>6</v>
      </c>
      <c r="D36" s="16" t="s">
        <v>8</v>
      </c>
      <c r="E36" s="16"/>
      <c r="F36" t="s">
        <v>70</v>
      </c>
      <c r="G36" s="16" t="s">
        <v>25</v>
      </c>
    </row>
    <row r="37" spans="1:7" x14ac:dyDescent="0.3">
      <c r="A37">
        <v>36</v>
      </c>
      <c r="B37" s="16" t="s">
        <v>80</v>
      </c>
      <c r="C37" s="16" t="s">
        <v>6</v>
      </c>
      <c r="D37" s="16" t="s">
        <v>8</v>
      </c>
      <c r="E37" s="16"/>
      <c r="F37" t="s">
        <v>70</v>
      </c>
      <c r="G37" s="16" t="s">
        <v>78</v>
      </c>
    </row>
    <row r="38" spans="1:7" x14ac:dyDescent="0.3">
      <c r="A38">
        <v>37</v>
      </c>
      <c r="B38" s="16" t="s">
        <v>81</v>
      </c>
      <c r="C38" s="16" t="s">
        <v>6</v>
      </c>
      <c r="D38" s="16" t="s">
        <v>13</v>
      </c>
      <c r="E38" s="16"/>
      <c r="F38" t="s">
        <v>70</v>
      </c>
      <c r="G38" s="16" t="s">
        <v>25</v>
      </c>
    </row>
    <row r="39" spans="1:7" x14ac:dyDescent="0.3">
      <c r="A39">
        <v>38</v>
      </c>
      <c r="B39" s="16" t="s">
        <v>82</v>
      </c>
      <c r="C39" s="16" t="s">
        <v>6</v>
      </c>
      <c r="D39" s="16" t="s">
        <v>48</v>
      </c>
      <c r="E39" s="16"/>
      <c r="F39" t="s">
        <v>70</v>
      </c>
      <c r="G39" s="16" t="s">
        <v>25</v>
      </c>
    </row>
    <row r="40" spans="1:7" x14ac:dyDescent="0.3">
      <c r="A40">
        <v>39</v>
      </c>
      <c r="B40" s="16" t="s">
        <v>83</v>
      </c>
      <c r="C40" s="16" t="s">
        <v>6</v>
      </c>
      <c r="D40" s="16" t="s">
        <v>84</v>
      </c>
      <c r="E40" s="16"/>
      <c r="F40" t="s">
        <v>85</v>
      </c>
      <c r="G40" s="16"/>
    </row>
    <row r="41" spans="1:7" x14ac:dyDescent="0.3">
      <c r="A41">
        <v>40</v>
      </c>
      <c r="B41" s="16" t="s">
        <v>86</v>
      </c>
      <c r="C41" s="16" t="s">
        <v>6</v>
      </c>
      <c r="D41" s="16" t="s">
        <v>84</v>
      </c>
      <c r="E41" s="16"/>
      <c r="F41" t="s">
        <v>87</v>
      </c>
      <c r="G41" s="16"/>
    </row>
    <row r="42" spans="1:7" x14ac:dyDescent="0.3">
      <c r="A42">
        <v>41</v>
      </c>
      <c r="B42" s="16" t="s">
        <v>88</v>
      </c>
      <c r="C42" s="16" t="s">
        <v>6</v>
      </c>
      <c r="D42" s="16" t="s">
        <v>88</v>
      </c>
      <c r="E42" s="16"/>
      <c r="G42" s="16"/>
    </row>
    <row r="43" spans="1:7" x14ac:dyDescent="0.3">
      <c r="A43">
        <v>42</v>
      </c>
      <c r="B43" s="16" t="s">
        <v>89</v>
      </c>
      <c r="C43" s="16" t="s">
        <v>6</v>
      </c>
      <c r="D43" s="16" t="s">
        <v>7</v>
      </c>
      <c r="E43" s="16"/>
      <c r="F43" t="s">
        <v>85</v>
      </c>
      <c r="G43" s="16"/>
    </row>
    <row r="44" spans="1:7" x14ac:dyDescent="0.3">
      <c r="A44">
        <v>43</v>
      </c>
      <c r="B44" s="16" t="s">
        <v>90</v>
      </c>
      <c r="C44" s="16" t="s">
        <v>6</v>
      </c>
      <c r="D44" s="16" t="s">
        <v>7</v>
      </c>
      <c r="E44" s="16"/>
      <c r="F44" t="s">
        <v>87</v>
      </c>
      <c r="G44" s="16"/>
    </row>
    <row r="45" spans="1:7" x14ac:dyDescent="0.3">
      <c r="A45">
        <v>44</v>
      </c>
      <c r="B45" s="16" t="s">
        <v>91</v>
      </c>
      <c r="C45" s="16" t="s">
        <v>6</v>
      </c>
      <c r="D45" s="16" t="s">
        <v>7</v>
      </c>
      <c r="E45" s="16"/>
      <c r="F45" t="s">
        <v>92</v>
      </c>
      <c r="G45" s="16"/>
    </row>
    <row r="46" spans="1:7" x14ac:dyDescent="0.3">
      <c r="A46">
        <v>45</v>
      </c>
      <c r="B46" s="16" t="s">
        <v>93</v>
      </c>
      <c r="C46" s="16" t="s">
        <v>6</v>
      </c>
      <c r="D46" s="16" t="s">
        <v>93</v>
      </c>
      <c r="E46" s="16"/>
      <c r="G46" s="16"/>
    </row>
    <row r="47" spans="1:7" x14ac:dyDescent="0.3">
      <c r="A47">
        <v>46</v>
      </c>
      <c r="B47" s="16" t="s">
        <v>94</v>
      </c>
      <c r="C47" s="16" t="s">
        <v>6</v>
      </c>
      <c r="D47" s="16" t="s">
        <v>94</v>
      </c>
      <c r="E47" s="16"/>
      <c r="G47" s="16"/>
    </row>
    <row r="48" spans="1:7" x14ac:dyDescent="0.3">
      <c r="A48">
        <v>47</v>
      </c>
      <c r="B48" s="16" t="s">
        <v>95</v>
      </c>
      <c r="C48" s="16" t="s">
        <v>6</v>
      </c>
      <c r="D48" s="16" t="s">
        <v>14</v>
      </c>
      <c r="E48" s="16"/>
      <c r="F48" t="s">
        <v>85</v>
      </c>
      <c r="G48" s="16"/>
    </row>
    <row r="49" spans="1:7" x14ac:dyDescent="0.3">
      <c r="A49">
        <v>48</v>
      </c>
      <c r="B49" s="16" t="s">
        <v>96</v>
      </c>
      <c r="C49" s="16" t="s">
        <v>6</v>
      </c>
      <c r="D49" s="16" t="s">
        <v>14</v>
      </c>
      <c r="E49" s="16"/>
      <c r="F49" t="s">
        <v>87</v>
      </c>
      <c r="G49" s="16"/>
    </row>
    <row r="50" spans="1:7" x14ac:dyDescent="0.3">
      <c r="A50">
        <v>49</v>
      </c>
      <c r="B50" s="16" t="s">
        <v>97</v>
      </c>
      <c r="C50" s="16" t="s">
        <v>6</v>
      </c>
      <c r="D50" s="16" t="s">
        <v>97</v>
      </c>
      <c r="E50" s="16"/>
      <c r="G50" s="16"/>
    </row>
    <row r="51" spans="1:7" x14ac:dyDescent="0.3">
      <c r="A51">
        <v>50</v>
      </c>
      <c r="B51" s="16" t="s">
        <v>98</v>
      </c>
      <c r="C51" s="16" t="s">
        <v>99</v>
      </c>
      <c r="D51" s="16"/>
      <c r="E51" s="16" t="s">
        <v>98</v>
      </c>
      <c r="G51" s="16"/>
    </row>
    <row r="52" spans="1:7" x14ac:dyDescent="0.3">
      <c r="A52">
        <v>51</v>
      </c>
      <c r="B52" s="16" t="s">
        <v>100</v>
      </c>
      <c r="C52" s="16" t="s">
        <v>99</v>
      </c>
      <c r="D52" s="16"/>
      <c r="E52" s="16" t="s">
        <v>100</v>
      </c>
      <c r="G52" s="16"/>
    </row>
    <row r="53" spans="1:7" x14ac:dyDescent="0.3">
      <c r="A53">
        <v>52</v>
      </c>
      <c r="B53" s="16" t="s">
        <v>101</v>
      </c>
      <c r="C53" s="16" t="s">
        <v>99</v>
      </c>
      <c r="D53" s="16"/>
      <c r="E53" s="16" t="s">
        <v>101</v>
      </c>
      <c r="G53" s="16"/>
    </row>
    <row r="54" spans="1:7" x14ac:dyDescent="0.3">
      <c r="A54">
        <v>53</v>
      </c>
      <c r="B54" s="16" t="s">
        <v>102</v>
      </c>
      <c r="C54" s="16" t="s">
        <v>99</v>
      </c>
      <c r="D54" s="16"/>
      <c r="E54" s="16" t="s">
        <v>102</v>
      </c>
      <c r="G54" s="16"/>
    </row>
    <row r="55" spans="1:7" x14ac:dyDescent="0.3">
      <c r="A55">
        <v>54</v>
      </c>
      <c r="B55" s="16" t="s">
        <v>103</v>
      </c>
      <c r="C55" s="16" t="s">
        <v>99</v>
      </c>
      <c r="D55" s="16"/>
      <c r="E55" s="16" t="s">
        <v>103</v>
      </c>
      <c r="G55" s="16"/>
    </row>
    <row r="56" spans="1:7" x14ac:dyDescent="0.3">
      <c r="A56">
        <v>55</v>
      </c>
      <c r="B56" s="16" t="s">
        <v>104</v>
      </c>
      <c r="C56" s="16" t="s">
        <v>99</v>
      </c>
      <c r="D56" s="16"/>
      <c r="E56" s="16" t="s">
        <v>104</v>
      </c>
      <c r="G56" s="16"/>
    </row>
    <row r="57" spans="1:7" x14ac:dyDescent="0.3">
      <c r="A57">
        <v>56</v>
      </c>
      <c r="B57" s="16" t="s">
        <v>105</v>
      </c>
      <c r="C57" s="16" t="s">
        <v>99</v>
      </c>
      <c r="D57" s="16"/>
      <c r="E57" s="16" t="s">
        <v>105</v>
      </c>
      <c r="G57" s="16"/>
    </row>
    <row r="58" spans="1:7" x14ac:dyDescent="0.3">
      <c r="A58">
        <v>57</v>
      </c>
      <c r="B58" s="16" t="s">
        <v>106</v>
      </c>
      <c r="C58" s="16" t="s">
        <v>99</v>
      </c>
      <c r="D58" s="16"/>
      <c r="E58" s="16" t="s">
        <v>106</v>
      </c>
      <c r="G58" s="16"/>
    </row>
    <row r="59" spans="1:7" x14ac:dyDescent="0.3">
      <c r="A59">
        <v>58</v>
      </c>
      <c r="B59" s="16" t="s">
        <v>107</v>
      </c>
      <c r="C59" s="16" t="s">
        <v>99</v>
      </c>
      <c r="D59" s="16"/>
      <c r="E59" s="16" t="s">
        <v>107</v>
      </c>
      <c r="G59" s="16"/>
    </row>
    <row r="60" spans="1:7" x14ac:dyDescent="0.3">
      <c r="A60">
        <v>59</v>
      </c>
      <c r="B60" s="16" t="s">
        <v>108</v>
      </c>
      <c r="C60" s="16" t="s">
        <v>99</v>
      </c>
      <c r="D60" s="16"/>
      <c r="E60" s="16" t="s">
        <v>108</v>
      </c>
      <c r="G60" s="16"/>
    </row>
    <row r="61" spans="1:7" x14ac:dyDescent="0.3">
      <c r="A61">
        <v>60</v>
      </c>
      <c r="B61" s="16" t="s">
        <v>109</v>
      </c>
      <c r="C61" s="16" t="s">
        <v>99</v>
      </c>
      <c r="D61" s="16"/>
      <c r="E61" s="16" t="s">
        <v>109</v>
      </c>
      <c r="G61" s="16"/>
    </row>
    <row r="62" spans="1:7" x14ac:dyDescent="0.3">
      <c r="A62">
        <v>61</v>
      </c>
      <c r="B62" s="16" t="s">
        <v>110</v>
      </c>
      <c r="C62" s="16" t="s">
        <v>99</v>
      </c>
      <c r="D62" s="16"/>
      <c r="E62" s="16" t="s">
        <v>110</v>
      </c>
      <c r="G62" s="16"/>
    </row>
    <row r="63" spans="1:7" x14ac:dyDescent="0.3">
      <c r="A63">
        <v>62</v>
      </c>
      <c r="B63" s="16" t="s">
        <v>111</v>
      </c>
      <c r="C63" s="16" t="s">
        <v>99</v>
      </c>
      <c r="D63" s="16"/>
      <c r="E63" s="16" t="s">
        <v>111</v>
      </c>
      <c r="G63" s="16"/>
    </row>
    <row r="64" spans="1:7" x14ac:dyDescent="0.3">
      <c r="A64">
        <v>63</v>
      </c>
      <c r="B64" s="16" t="s">
        <v>112</v>
      </c>
      <c r="C64" s="16" t="s">
        <v>99</v>
      </c>
      <c r="D64" s="16"/>
      <c r="E64" s="16" t="s">
        <v>112</v>
      </c>
      <c r="G64" s="16"/>
    </row>
    <row r="65" spans="1:7" x14ac:dyDescent="0.3">
      <c r="A65">
        <v>64</v>
      </c>
      <c r="B65" s="16" t="s">
        <v>113</v>
      </c>
      <c r="C65" s="16" t="s">
        <v>99</v>
      </c>
      <c r="D65" s="16"/>
      <c r="E65" s="16" t="s">
        <v>113</v>
      </c>
      <c r="G65" s="16"/>
    </row>
    <row r="66" spans="1:7" x14ac:dyDescent="0.3">
      <c r="A66">
        <v>65</v>
      </c>
      <c r="B66" s="16" t="s">
        <v>114</v>
      </c>
      <c r="C66" s="16" t="s">
        <v>99</v>
      </c>
      <c r="D66" s="16"/>
      <c r="E66" s="16" t="s">
        <v>114</v>
      </c>
      <c r="G66" s="16"/>
    </row>
    <row r="67" spans="1:7" x14ac:dyDescent="0.3">
      <c r="A67">
        <v>66</v>
      </c>
      <c r="B67" s="16" t="s">
        <v>115</v>
      </c>
      <c r="C67" s="16" t="s">
        <v>99</v>
      </c>
      <c r="D67" s="16"/>
      <c r="E67" s="16" t="s">
        <v>115</v>
      </c>
      <c r="G67" s="16"/>
    </row>
    <row r="68" spans="1:7" x14ac:dyDescent="0.3">
      <c r="A68">
        <v>67</v>
      </c>
      <c r="B68" s="16" t="s">
        <v>116</v>
      </c>
      <c r="C68" s="16" t="s">
        <v>99</v>
      </c>
      <c r="D68" s="16"/>
      <c r="E68" s="16" t="s">
        <v>116</v>
      </c>
      <c r="G68" s="16"/>
    </row>
    <row r="69" spans="1:7" x14ac:dyDescent="0.3">
      <c r="A69">
        <v>68</v>
      </c>
      <c r="B69" s="16" t="s">
        <v>117</v>
      </c>
      <c r="C69" s="16" t="s">
        <v>99</v>
      </c>
      <c r="D69" s="16"/>
      <c r="E69" s="16" t="s">
        <v>117</v>
      </c>
      <c r="G69" s="16"/>
    </row>
    <row r="70" spans="1:7" x14ac:dyDescent="0.3">
      <c r="A70">
        <v>69</v>
      </c>
      <c r="B70" s="16" t="s">
        <v>118</v>
      </c>
      <c r="C70" s="16" t="s">
        <v>99</v>
      </c>
      <c r="D70" s="16"/>
      <c r="E70" s="16" t="s">
        <v>118</v>
      </c>
      <c r="G70" s="16"/>
    </row>
    <row r="71" spans="1:7" x14ac:dyDescent="0.3">
      <c r="A71">
        <v>70</v>
      </c>
      <c r="B71" s="16" t="s">
        <v>119</v>
      </c>
      <c r="C71" s="16" t="s">
        <v>99</v>
      </c>
      <c r="D71" s="16"/>
      <c r="E71" s="16" t="s">
        <v>119</v>
      </c>
      <c r="G71" s="16"/>
    </row>
    <row r="72" spans="1:7" x14ac:dyDescent="0.3">
      <c r="A72">
        <v>71</v>
      </c>
      <c r="B72" s="16" t="s">
        <v>120</v>
      </c>
      <c r="C72" s="16" t="s">
        <v>99</v>
      </c>
      <c r="D72" s="16"/>
      <c r="E72" s="16" t="s">
        <v>120</v>
      </c>
      <c r="G72" s="16"/>
    </row>
    <row r="73" spans="1:7" x14ac:dyDescent="0.3">
      <c r="A73">
        <v>72</v>
      </c>
      <c r="B73" s="16" t="s">
        <v>121</v>
      </c>
      <c r="C73" s="16" t="s">
        <v>99</v>
      </c>
      <c r="D73" s="16"/>
      <c r="E73" s="16" t="s">
        <v>121</v>
      </c>
      <c r="G73" s="16"/>
    </row>
    <row r="74" spans="1:7" x14ac:dyDescent="0.3">
      <c r="A74">
        <v>73</v>
      </c>
      <c r="B74" s="16" t="s">
        <v>122</v>
      </c>
      <c r="C74" s="16" t="s">
        <v>99</v>
      </c>
      <c r="D74" s="16"/>
      <c r="E74" s="16" t="s">
        <v>122</v>
      </c>
      <c r="G74" s="16"/>
    </row>
    <row r="75" spans="1:7" x14ac:dyDescent="0.3">
      <c r="A75">
        <v>74</v>
      </c>
      <c r="B75" s="16" t="s">
        <v>123</v>
      </c>
      <c r="C75" s="16" t="s">
        <v>99</v>
      </c>
      <c r="D75" s="16"/>
      <c r="E75" s="16" t="s">
        <v>123</v>
      </c>
      <c r="G75" s="16"/>
    </row>
    <row r="76" spans="1:7" x14ac:dyDescent="0.3">
      <c r="A76">
        <v>75</v>
      </c>
      <c r="B76" s="16" t="s">
        <v>124</v>
      </c>
      <c r="C76" s="16" t="s">
        <v>99</v>
      </c>
      <c r="D76" s="16"/>
      <c r="E76" s="16" t="s">
        <v>124</v>
      </c>
      <c r="G76" s="16"/>
    </row>
    <row r="77" spans="1:7" x14ac:dyDescent="0.3">
      <c r="A77">
        <v>76</v>
      </c>
      <c r="B77" s="16" t="s">
        <v>125</v>
      </c>
      <c r="C77" s="16" t="s">
        <v>99</v>
      </c>
      <c r="D77" s="16"/>
      <c r="E77" s="16" t="s">
        <v>125</v>
      </c>
      <c r="G77" s="16"/>
    </row>
    <row r="78" spans="1:7" x14ac:dyDescent="0.3">
      <c r="A78">
        <v>77</v>
      </c>
      <c r="B78" s="16" t="s">
        <v>126</v>
      </c>
      <c r="C78" s="16" t="s">
        <v>99</v>
      </c>
      <c r="D78" s="16"/>
      <c r="E78" s="16" t="s">
        <v>126</v>
      </c>
      <c r="G78" s="16"/>
    </row>
    <row r="79" spans="1:7" x14ac:dyDescent="0.3">
      <c r="A79">
        <v>78</v>
      </c>
      <c r="B79" s="16" t="s">
        <v>127</v>
      </c>
      <c r="C79" s="16" t="s">
        <v>99</v>
      </c>
      <c r="D79" s="16"/>
      <c r="E79" s="16" t="s">
        <v>127</v>
      </c>
      <c r="G79" s="16"/>
    </row>
    <row r="80" spans="1:7" x14ac:dyDescent="0.3">
      <c r="A80">
        <v>79</v>
      </c>
      <c r="B80" s="16" t="s">
        <v>128</v>
      </c>
      <c r="C80" s="16" t="s">
        <v>99</v>
      </c>
      <c r="D80" s="16"/>
      <c r="E80" s="16" t="s">
        <v>128</v>
      </c>
      <c r="G80" s="16"/>
    </row>
    <row r="81" spans="1:7" x14ac:dyDescent="0.3">
      <c r="A81">
        <v>80</v>
      </c>
      <c r="B81" s="16" t="s">
        <v>129</v>
      </c>
      <c r="C81" s="16" t="s">
        <v>99</v>
      </c>
      <c r="D81" s="16"/>
      <c r="E81" s="16" t="s">
        <v>129</v>
      </c>
      <c r="G81" s="16"/>
    </row>
    <row r="82" spans="1:7" x14ac:dyDescent="0.3">
      <c r="A82">
        <v>81</v>
      </c>
      <c r="B82" s="16" t="s">
        <v>130</v>
      </c>
      <c r="C82" s="16" t="s">
        <v>99</v>
      </c>
      <c r="D82" s="16"/>
      <c r="E82" s="16" t="s">
        <v>130</v>
      </c>
      <c r="G82" s="16"/>
    </row>
    <row r="83" spans="1:7" x14ac:dyDescent="0.3">
      <c r="A83">
        <v>82</v>
      </c>
      <c r="B83" s="16" t="s">
        <v>131</v>
      </c>
      <c r="C83" s="16" t="s">
        <v>99</v>
      </c>
      <c r="D83" s="16"/>
      <c r="E83" s="16" t="s">
        <v>131</v>
      </c>
      <c r="G83" s="16"/>
    </row>
    <row r="84" spans="1:7" x14ac:dyDescent="0.3">
      <c r="A84">
        <v>83</v>
      </c>
      <c r="B84" s="16" t="s">
        <v>132</v>
      </c>
      <c r="C84" s="16" t="s">
        <v>99</v>
      </c>
      <c r="D84" s="16"/>
      <c r="E84" s="16" t="s">
        <v>132</v>
      </c>
      <c r="G84" s="16"/>
    </row>
    <row r="85" spans="1:7" x14ac:dyDescent="0.3">
      <c r="A85">
        <v>84</v>
      </c>
      <c r="B85" s="16" t="s">
        <v>133</v>
      </c>
      <c r="C85" s="16" t="s">
        <v>99</v>
      </c>
      <c r="D85" s="16"/>
      <c r="E85" s="16" t="s">
        <v>133</v>
      </c>
      <c r="G85" s="16"/>
    </row>
    <row r="86" spans="1:7" x14ac:dyDescent="0.3">
      <c r="A86">
        <v>85</v>
      </c>
      <c r="B86" s="16" t="s">
        <v>134</v>
      </c>
      <c r="C86" s="16" t="s">
        <v>99</v>
      </c>
      <c r="D86" s="16"/>
      <c r="E86" s="16" t="s">
        <v>134</v>
      </c>
      <c r="G86" s="16"/>
    </row>
    <row r="87" spans="1:7" x14ac:dyDescent="0.3">
      <c r="A87">
        <v>86</v>
      </c>
      <c r="B87" s="16" t="s">
        <v>135</v>
      </c>
      <c r="C87" s="16" t="s">
        <v>99</v>
      </c>
      <c r="D87" s="16"/>
      <c r="E87" s="16" t="s">
        <v>135</v>
      </c>
      <c r="G87" s="16"/>
    </row>
    <row r="88" spans="1:7" x14ac:dyDescent="0.3">
      <c r="A88">
        <v>87</v>
      </c>
      <c r="B88" s="16" t="s">
        <v>136</v>
      </c>
      <c r="C88" s="16" t="s">
        <v>99</v>
      </c>
      <c r="D88" s="16"/>
      <c r="E88" s="16" t="s">
        <v>136</v>
      </c>
      <c r="G88" s="16"/>
    </row>
    <row r="89" spans="1:7" x14ac:dyDescent="0.3">
      <c r="A89">
        <v>88</v>
      </c>
      <c r="B89" s="16" t="s">
        <v>137</v>
      </c>
      <c r="C89" s="16" t="s">
        <v>99</v>
      </c>
      <c r="D89" s="16"/>
      <c r="E89" s="16" t="s">
        <v>137</v>
      </c>
      <c r="G89" s="16"/>
    </row>
    <row r="90" spans="1:7" x14ac:dyDescent="0.3">
      <c r="A90">
        <v>89</v>
      </c>
      <c r="B90" s="16" t="s">
        <v>138</v>
      </c>
      <c r="C90" s="16" t="s">
        <v>99</v>
      </c>
      <c r="D90" s="16"/>
      <c r="E90" s="16" t="s">
        <v>138</v>
      </c>
      <c r="G90" s="16"/>
    </row>
    <row r="91" spans="1:7" x14ac:dyDescent="0.3">
      <c r="A91">
        <v>90</v>
      </c>
      <c r="B91" s="16" t="s">
        <v>139</v>
      </c>
      <c r="C91" s="16" t="s">
        <v>99</v>
      </c>
      <c r="D91" s="16"/>
      <c r="E91" s="16" t="s">
        <v>139</v>
      </c>
      <c r="G91" s="16"/>
    </row>
    <row r="92" spans="1:7" x14ac:dyDescent="0.3">
      <c r="A92">
        <v>91</v>
      </c>
      <c r="B92" s="16" t="s">
        <v>140</v>
      </c>
      <c r="C92" s="16" t="s">
        <v>99</v>
      </c>
      <c r="D92" s="16"/>
      <c r="E92" s="16" t="s">
        <v>140</v>
      </c>
      <c r="G92" s="16"/>
    </row>
    <row r="93" spans="1:7" x14ac:dyDescent="0.3">
      <c r="A93">
        <v>92</v>
      </c>
      <c r="B93" s="16" t="s">
        <v>141</v>
      </c>
      <c r="C93" s="16" t="s">
        <v>99</v>
      </c>
      <c r="D93" s="16"/>
      <c r="E93" s="16" t="s">
        <v>141</v>
      </c>
      <c r="G93" s="16"/>
    </row>
    <row r="94" spans="1:7" x14ac:dyDescent="0.3">
      <c r="A94">
        <v>93</v>
      </c>
      <c r="B94" s="16" t="s">
        <v>142</v>
      </c>
      <c r="C94" s="16" t="s">
        <v>99</v>
      </c>
      <c r="D94" s="16"/>
      <c r="E94" s="16" t="s">
        <v>142</v>
      </c>
      <c r="G94" s="16"/>
    </row>
    <row r="95" spans="1:7" x14ac:dyDescent="0.3">
      <c r="A95">
        <v>94</v>
      </c>
      <c r="B95" s="16" t="s">
        <v>143</v>
      </c>
      <c r="C95" s="16" t="s">
        <v>99</v>
      </c>
      <c r="D95" s="16"/>
      <c r="E95" s="16" t="s">
        <v>143</v>
      </c>
      <c r="G95" s="16"/>
    </row>
    <row r="96" spans="1:7" x14ac:dyDescent="0.3">
      <c r="A96">
        <v>95</v>
      </c>
      <c r="B96" s="16" t="s">
        <v>45</v>
      </c>
      <c r="C96" s="16" t="s">
        <v>15</v>
      </c>
      <c r="D96" s="16"/>
      <c r="E96" s="16" t="s">
        <v>144</v>
      </c>
      <c r="F96" t="s">
        <v>87</v>
      </c>
      <c r="G96" s="16" t="s">
        <v>145</v>
      </c>
    </row>
    <row r="97" spans="1:7" x14ac:dyDescent="0.3">
      <c r="A97">
        <v>96</v>
      </c>
      <c r="B97" s="16" t="s">
        <v>41</v>
      </c>
      <c r="C97" s="16" t="s">
        <v>15</v>
      </c>
      <c r="D97" s="16"/>
      <c r="E97" s="16" t="s">
        <v>146</v>
      </c>
      <c r="F97" t="s">
        <v>147</v>
      </c>
      <c r="G97" s="16"/>
    </row>
    <row r="98" spans="1:7" x14ac:dyDescent="0.3">
      <c r="A98">
        <v>97</v>
      </c>
      <c r="B98" s="16" t="s">
        <v>35</v>
      </c>
      <c r="C98" s="16" t="s">
        <v>15</v>
      </c>
      <c r="D98" s="16"/>
      <c r="E98" s="16" t="s">
        <v>35</v>
      </c>
      <c r="G98" s="16"/>
    </row>
    <row r="99" spans="1:7" x14ac:dyDescent="0.3">
      <c r="A99">
        <v>98</v>
      </c>
      <c r="B99" s="16" t="s">
        <v>148</v>
      </c>
      <c r="C99" s="16" t="s">
        <v>16</v>
      </c>
      <c r="D99" s="16"/>
      <c r="E99" s="16" t="s">
        <v>148</v>
      </c>
      <c r="G99" s="16"/>
    </row>
    <row r="100" spans="1:7" x14ac:dyDescent="0.3">
      <c r="A100">
        <v>99</v>
      </c>
      <c r="B100" s="16" t="s">
        <v>43</v>
      </c>
      <c r="C100" s="16" t="s">
        <v>16</v>
      </c>
      <c r="D100" s="16"/>
      <c r="E100" s="16" t="s">
        <v>43</v>
      </c>
      <c r="G100" s="16"/>
    </row>
    <row r="101" spans="1:7" x14ac:dyDescent="0.3">
      <c r="A101">
        <v>100</v>
      </c>
      <c r="B101" s="16" t="s">
        <v>149</v>
      </c>
      <c r="C101" s="16" t="s">
        <v>16</v>
      </c>
      <c r="D101" s="16"/>
      <c r="E101" s="16" t="s">
        <v>149</v>
      </c>
      <c r="G101" s="16"/>
    </row>
    <row r="102" spans="1:7" x14ac:dyDescent="0.3">
      <c r="A102">
        <v>101</v>
      </c>
      <c r="B102" s="16" t="s">
        <v>150</v>
      </c>
      <c r="C102" s="16" t="s">
        <v>16</v>
      </c>
      <c r="D102" s="16"/>
      <c r="E102" s="16" t="s">
        <v>150</v>
      </c>
      <c r="G102" s="16"/>
    </row>
    <row r="103" spans="1:7" x14ac:dyDescent="0.3">
      <c r="A103">
        <v>102</v>
      </c>
      <c r="B103" s="16" t="s">
        <v>151</v>
      </c>
      <c r="C103" s="16" t="s">
        <v>16</v>
      </c>
      <c r="D103" s="16"/>
      <c r="E103" s="16" t="s">
        <v>151</v>
      </c>
      <c r="G103" s="16"/>
    </row>
    <row r="104" spans="1:7" x14ac:dyDescent="0.3">
      <c r="A104">
        <v>103</v>
      </c>
      <c r="B104" s="16" t="s">
        <v>152</v>
      </c>
      <c r="C104" s="16" t="s">
        <v>16</v>
      </c>
      <c r="D104" s="16"/>
      <c r="E104" s="16" t="s">
        <v>152</v>
      </c>
      <c r="G104" s="16"/>
    </row>
    <row r="105" spans="1:7" x14ac:dyDescent="0.3">
      <c r="A105">
        <v>104</v>
      </c>
      <c r="B105" s="16" t="s">
        <v>153</v>
      </c>
      <c r="C105" s="16" t="s">
        <v>153</v>
      </c>
      <c r="D105" s="16"/>
      <c r="E105" s="16" t="s">
        <v>153</v>
      </c>
      <c r="G105" s="1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45924-CADE-4014-AD59-B990CF6D7397}">
  <dimension ref="A1:G13"/>
  <sheetViews>
    <sheetView workbookViewId="0">
      <selection activeCell="K10" sqref="K10"/>
    </sheetView>
  </sheetViews>
  <sheetFormatPr defaultRowHeight="14.4" x14ac:dyDescent="0.3"/>
  <cols>
    <col min="1" max="1" width="13.44140625" customWidth="1"/>
    <col min="2" max="2" width="25.5546875" bestFit="1" customWidth="1"/>
    <col min="3" max="3" width="8.44140625" bestFit="1" customWidth="1"/>
    <col min="4" max="4" width="7.109375" bestFit="1" customWidth="1"/>
    <col min="5" max="5" width="11.88671875" bestFit="1" customWidth="1"/>
    <col min="6" max="6" width="9.33203125" bestFit="1" customWidth="1"/>
    <col min="7" max="7" width="9.6640625" style="9" bestFit="1" customWidth="1"/>
    <col min="8" max="8" width="20.6640625" bestFit="1" customWidth="1"/>
    <col min="9" max="9" width="7.5546875" bestFit="1" customWidth="1"/>
    <col min="10" max="10" width="7.109375" bestFit="1" customWidth="1"/>
    <col min="11" max="11" width="11.88671875" bestFit="1" customWidth="1"/>
    <col min="12" max="12" width="9.33203125" bestFit="1" customWidth="1"/>
    <col min="13" max="13" width="11.33203125" bestFit="1" customWidth="1"/>
    <col min="14" max="14" width="11.88671875" bestFit="1" customWidth="1"/>
    <col min="15" max="15" width="9.33203125" bestFit="1" customWidth="1"/>
  </cols>
  <sheetData>
    <row r="1" spans="1:7" x14ac:dyDescent="0.3">
      <c r="A1" t="s">
        <v>9</v>
      </c>
      <c r="B1" t="s">
        <v>10</v>
      </c>
      <c r="C1" t="s">
        <v>2</v>
      </c>
      <c r="D1" t="s">
        <v>37</v>
      </c>
      <c r="E1" t="s">
        <v>19</v>
      </c>
      <c r="F1" t="s">
        <v>20</v>
      </c>
      <c r="G1"/>
    </row>
    <row r="2" spans="1:7" x14ac:dyDescent="0.3">
      <c r="A2" s="28">
        <v>45767</v>
      </c>
      <c r="B2" t="s">
        <v>38</v>
      </c>
      <c r="C2" t="s">
        <v>6</v>
      </c>
      <c r="D2">
        <v>5</v>
      </c>
      <c r="G2"/>
    </row>
    <row r="3" spans="1:7" x14ac:dyDescent="0.3">
      <c r="A3" s="28">
        <v>45767</v>
      </c>
      <c r="B3" t="s">
        <v>154</v>
      </c>
      <c r="C3" t="s">
        <v>99</v>
      </c>
      <c r="D3">
        <v>10</v>
      </c>
      <c r="G3"/>
    </row>
    <row r="4" spans="1:7" x14ac:dyDescent="0.3">
      <c r="A4" s="28">
        <v>45767</v>
      </c>
      <c r="B4" t="s">
        <v>39</v>
      </c>
      <c r="C4" t="s">
        <v>6</v>
      </c>
      <c r="D4">
        <v>10</v>
      </c>
      <c r="G4"/>
    </row>
    <row r="5" spans="1:7" x14ac:dyDescent="0.3">
      <c r="A5" s="28">
        <v>45769</v>
      </c>
      <c r="B5" t="s">
        <v>45</v>
      </c>
      <c r="C5" t="s">
        <v>42</v>
      </c>
      <c r="D5">
        <v>5</v>
      </c>
      <c r="G5"/>
    </row>
    <row r="6" spans="1:7" x14ac:dyDescent="0.3">
      <c r="A6" s="28">
        <v>45769</v>
      </c>
      <c r="B6" t="s">
        <v>148</v>
      </c>
      <c r="C6" t="s">
        <v>44</v>
      </c>
      <c r="D6">
        <v>5</v>
      </c>
      <c r="G6"/>
    </row>
    <row r="7" spans="1:7" x14ac:dyDescent="0.3">
      <c r="A7" s="28">
        <v>45770</v>
      </c>
      <c r="B7" t="s">
        <v>40</v>
      </c>
      <c r="C7" t="s">
        <v>6</v>
      </c>
      <c r="D7">
        <v>7</v>
      </c>
      <c r="G7"/>
    </row>
    <row r="8" spans="1:7" x14ac:dyDescent="0.3">
      <c r="A8" s="28">
        <v>45770</v>
      </c>
      <c r="B8" t="s">
        <v>41</v>
      </c>
      <c r="C8" t="s">
        <v>42</v>
      </c>
      <c r="D8">
        <v>20</v>
      </c>
      <c r="G8"/>
    </row>
    <row r="9" spans="1:7" x14ac:dyDescent="0.3">
      <c r="A9" s="28">
        <v>45770</v>
      </c>
      <c r="B9" t="s">
        <v>43</v>
      </c>
      <c r="C9" t="s">
        <v>44</v>
      </c>
      <c r="D9">
        <v>5</v>
      </c>
      <c r="G9"/>
    </row>
    <row r="10" spans="1:7" x14ac:dyDescent="0.3">
      <c r="A10" s="28">
        <v>45770</v>
      </c>
      <c r="B10" t="s">
        <v>45</v>
      </c>
      <c r="C10" t="s">
        <v>42</v>
      </c>
      <c r="D10">
        <v>5</v>
      </c>
      <c r="G10"/>
    </row>
    <row r="11" spans="1:7" x14ac:dyDescent="0.3">
      <c r="A11" s="28">
        <v>45773</v>
      </c>
      <c r="B11" t="s">
        <v>38</v>
      </c>
      <c r="C11" t="s">
        <v>6</v>
      </c>
      <c r="D11">
        <v>5</v>
      </c>
      <c r="G11"/>
    </row>
    <row r="12" spans="1:7" x14ac:dyDescent="0.3">
      <c r="A12" s="28">
        <v>45773</v>
      </c>
      <c r="B12" t="s">
        <v>155</v>
      </c>
      <c r="C12" t="s">
        <v>99</v>
      </c>
      <c r="D12">
        <v>5</v>
      </c>
    </row>
    <row r="13" spans="1:7" x14ac:dyDescent="0.3">
      <c r="A13" s="28">
        <v>45774</v>
      </c>
      <c r="B13" t="s">
        <v>38</v>
      </c>
      <c r="C13" t="s">
        <v>6</v>
      </c>
      <c r="D13">
        <v>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F3361-BD30-46CC-980A-380FB0BF7C64}">
  <dimension ref="A1:C7"/>
  <sheetViews>
    <sheetView workbookViewId="0">
      <selection sqref="A1:C7"/>
    </sheetView>
  </sheetViews>
  <sheetFormatPr defaultRowHeight="14.4" x14ac:dyDescent="0.3"/>
  <cols>
    <col min="1" max="1" width="5" bestFit="1" customWidth="1"/>
    <col min="2" max="2" width="15.88671875" bestFit="1" customWidth="1"/>
    <col min="3" max="3" width="15.44140625" bestFit="1" customWidth="1"/>
  </cols>
  <sheetData>
    <row r="1" spans="1:3" x14ac:dyDescent="0.3">
      <c r="A1" t="s">
        <v>0</v>
      </c>
      <c r="B1" t="s">
        <v>156</v>
      </c>
      <c r="C1" t="s">
        <v>157</v>
      </c>
    </row>
    <row r="2" spans="1:3" x14ac:dyDescent="0.3">
      <c r="A2">
        <v>1</v>
      </c>
      <c r="B2" t="s">
        <v>98</v>
      </c>
      <c r="C2">
        <v>250</v>
      </c>
    </row>
    <row r="3" spans="1:3" x14ac:dyDescent="0.3">
      <c r="A3">
        <v>2</v>
      </c>
      <c r="B3" t="s">
        <v>100</v>
      </c>
      <c r="C3">
        <v>100</v>
      </c>
    </row>
    <row r="4" spans="1:3" x14ac:dyDescent="0.3">
      <c r="A4">
        <v>3</v>
      </c>
      <c r="B4" t="s">
        <v>101</v>
      </c>
      <c r="C4">
        <v>100</v>
      </c>
    </row>
    <row r="5" spans="1:3" x14ac:dyDescent="0.3">
      <c r="A5">
        <v>4</v>
      </c>
      <c r="B5" t="s">
        <v>102</v>
      </c>
      <c r="C5">
        <v>100</v>
      </c>
    </row>
    <row r="6" spans="1:3" x14ac:dyDescent="0.3">
      <c r="A6">
        <v>5</v>
      </c>
      <c r="B6" t="s">
        <v>103</v>
      </c>
      <c r="C6">
        <v>5000</v>
      </c>
    </row>
    <row r="7" spans="1:3" x14ac:dyDescent="0.3">
      <c r="A7">
        <v>6</v>
      </c>
      <c r="B7" t="s">
        <v>104</v>
      </c>
      <c r="C7">
        <v>300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07D05-F4C3-4FF9-9941-57681468B607}">
  <dimension ref="A1:C5"/>
  <sheetViews>
    <sheetView tabSelected="1" workbookViewId="0">
      <selection activeCell="F7" sqref="F7"/>
    </sheetView>
  </sheetViews>
  <sheetFormatPr defaultRowHeight="14.4" x14ac:dyDescent="0.3"/>
  <cols>
    <col min="1" max="1" width="5" bestFit="1" customWidth="1"/>
    <col min="2" max="2" width="26" bestFit="1" customWidth="1"/>
    <col min="3" max="3" width="80.88671875" bestFit="1" customWidth="1"/>
  </cols>
  <sheetData>
    <row r="1" spans="1:3" x14ac:dyDescent="0.3">
      <c r="A1" t="s">
        <v>0</v>
      </c>
      <c r="B1" t="s">
        <v>158</v>
      </c>
      <c r="C1" t="s">
        <v>159</v>
      </c>
    </row>
    <row r="2" spans="1:3" x14ac:dyDescent="0.3">
      <c r="A2">
        <v>1</v>
      </c>
      <c r="B2" t="s">
        <v>154</v>
      </c>
      <c r="C2" t="s">
        <v>162</v>
      </c>
    </row>
    <row r="3" spans="1:3" x14ac:dyDescent="0.3">
      <c r="A3">
        <v>2</v>
      </c>
      <c r="B3" t="s">
        <v>160</v>
      </c>
      <c r="C3" t="s">
        <v>142</v>
      </c>
    </row>
    <row r="4" spans="1:3" x14ac:dyDescent="0.3">
      <c r="A4">
        <v>3</v>
      </c>
      <c r="B4" t="s">
        <v>155</v>
      </c>
      <c r="C4" t="s">
        <v>141</v>
      </c>
    </row>
    <row r="5" spans="1:3" x14ac:dyDescent="0.3">
      <c r="A5">
        <v>4</v>
      </c>
      <c r="B5" t="s">
        <v>161</v>
      </c>
      <c r="C5" t="s">
        <v>143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J13"/>
  <sheetViews>
    <sheetView zoomScale="76" workbookViewId="0">
      <selection activeCell="E5" sqref="E5"/>
    </sheetView>
  </sheetViews>
  <sheetFormatPr defaultRowHeight="14.4" x14ac:dyDescent="0.3"/>
  <cols>
    <col min="2" max="2" width="18.44140625" customWidth="1"/>
    <col min="3" max="3" width="42.6640625" customWidth="1"/>
    <col min="4" max="4" width="17.33203125" customWidth="1"/>
    <col min="5" max="5" width="15.5546875" customWidth="1"/>
    <col min="6" max="6" width="17.44140625" hidden="1" customWidth="1"/>
    <col min="7" max="7" width="17.44140625" customWidth="1"/>
    <col min="8" max="8" width="15" customWidth="1"/>
    <col min="9" max="9" width="55.5546875" customWidth="1"/>
    <col min="10" max="10" width="17.33203125" customWidth="1"/>
  </cols>
  <sheetData>
    <row r="1" spans="2:10" x14ac:dyDescent="0.3">
      <c r="C1" s="30" t="s">
        <v>34</v>
      </c>
      <c r="D1" s="30"/>
      <c r="E1" s="30"/>
    </row>
    <row r="2" spans="2:10" ht="15" thickBot="1" x14ac:dyDescent="0.35">
      <c r="B2" s="1" t="s">
        <v>9</v>
      </c>
      <c r="C2" s="1" t="s">
        <v>10</v>
      </c>
      <c r="D2" s="1" t="s">
        <v>2</v>
      </c>
      <c r="E2" s="1" t="s">
        <v>18</v>
      </c>
      <c r="F2" s="1" t="s">
        <v>17</v>
      </c>
      <c r="G2" s="1" t="s">
        <v>36</v>
      </c>
      <c r="H2" s="1" t="s">
        <v>11</v>
      </c>
      <c r="I2" s="1" t="s">
        <v>19</v>
      </c>
      <c r="J2" s="1" t="s">
        <v>20</v>
      </c>
    </row>
    <row r="3" spans="2:10" x14ac:dyDescent="0.3">
      <c r="B3" s="2">
        <v>45767</v>
      </c>
      <c r="C3" s="18" t="s">
        <v>39</v>
      </c>
      <c r="D3" s="17" t="str">
        <f>IFERROR(VLOOKUP(_TBL_LAPTOP_INVENTORY[[#This Row],[INVENTORY ITEM]], _TBL_INVENTORY_TOTAL[[INVENTORY ITEM]:[TYPE]], 2, FALSE), "")</f>
        <v>Laptop</v>
      </c>
      <c r="E3" s="21">
        <v>10</v>
      </c>
      <c r="F3" s="4">
        <f>IF(_TBL_LAPTOP_INVENTORY[[#This Row],[IN]] &lt;&gt; 0, _TBL_LAPTOP_INVENTORY[[#This Row],[IN]],"")</f>
        <v>10</v>
      </c>
      <c r="G3" s="20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>2</v>
      </c>
      <c r="H3" s="10"/>
      <c r="I3" s="25"/>
      <c r="J3" s="11"/>
    </row>
    <row r="4" spans="2:10" x14ac:dyDescent="0.3">
      <c r="B4" s="2">
        <v>45773</v>
      </c>
      <c r="C4" s="19" t="s">
        <v>155</v>
      </c>
      <c r="D4" s="17" t="str">
        <f>IFERROR(VLOOKUP(_TBL_LAPTOP_INVENTORY[[#This Row],[INVENTORY ITEM]], _TBL_INVENTORY_TOTAL[[INVENTORY ITEM]:[TYPE]], 2, FALSE), "")</f>
        <v>Add Ons</v>
      </c>
      <c r="E4" s="22">
        <v>5</v>
      </c>
      <c r="F4" s="4">
        <f>IF(_TBL_LAPTOP_INVENTORY[[#This Row],[IN]] &lt;&gt; 0, _TBL_LAPTOP_INVENTORY[[#This Row],[IN]],"")</f>
        <v>5</v>
      </c>
      <c r="G4" s="20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>2</v>
      </c>
      <c r="H4" s="12"/>
      <c r="I4" s="24"/>
      <c r="J4" s="13"/>
    </row>
    <row r="5" spans="2:10" x14ac:dyDescent="0.3">
      <c r="B5" s="2"/>
      <c r="C5" s="19"/>
      <c r="D5" s="17" t="str">
        <f>IFERROR(VLOOKUP(_TBL_LAPTOP_INVENTORY[[#This Row],[INVENTORY ITEM]], _TBL_INVENTORY_TOTAL[[INVENTORY ITEM]:[TYPE]], 2, FALSE), "")</f>
        <v/>
      </c>
      <c r="E5" s="22"/>
      <c r="F5" s="4" t="str">
        <f>IF(_TBL_LAPTOP_INVENTORY[[#This Row],[IN]] &lt;&gt; 0, _TBL_LAPTOP_INVENTORY[[#This Row],[IN]],"")</f>
        <v/>
      </c>
      <c r="G5" s="20" t="str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/>
      </c>
      <c r="H5" s="12"/>
      <c r="I5" s="24"/>
      <c r="J5" s="13"/>
    </row>
    <row r="6" spans="2:10" x14ac:dyDescent="0.3">
      <c r="B6" s="2"/>
      <c r="C6" s="19"/>
      <c r="D6" s="17" t="str">
        <f>IFERROR(VLOOKUP(_TBL_LAPTOP_INVENTORY[[#This Row],[INVENTORY ITEM]], _TBL_INVENTORY_TOTAL[[INVENTORY ITEM]:[TYPE]], 2, FALSE), "")</f>
        <v/>
      </c>
      <c r="E6" s="22"/>
      <c r="F6" s="4" t="str">
        <f>IF(_TBL_LAPTOP_INVENTORY[[#This Row],[IN]] &lt;&gt; 0, _TBL_LAPTOP_INVENTORY[[#This Row],[IN]],"")</f>
        <v/>
      </c>
      <c r="G6" s="20" t="str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/>
      </c>
      <c r="H6" s="12"/>
      <c r="I6" s="24"/>
      <c r="J6" s="13"/>
    </row>
    <row r="7" spans="2:10" x14ac:dyDescent="0.3">
      <c r="B7" s="2"/>
      <c r="C7" s="19"/>
      <c r="D7" s="17" t="str">
        <f>IFERROR(VLOOKUP(_TBL_LAPTOP_INVENTORY[[#This Row],[INVENTORY ITEM]], _TBL_INVENTORY_TOTAL[[INVENTORY ITEM]:[TYPE]], 2, FALSE), "")</f>
        <v/>
      </c>
      <c r="E7" s="22"/>
      <c r="F7" s="4" t="str">
        <f>IF(_TBL_LAPTOP_INVENTORY[[#This Row],[IN]] &lt;&gt; 0, _TBL_LAPTOP_INVENTORY[[#This Row],[IN]],"")</f>
        <v/>
      </c>
      <c r="G7" s="20" t="str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/>
      </c>
      <c r="H7" s="12"/>
      <c r="I7" s="24"/>
      <c r="J7" s="13"/>
    </row>
    <row r="8" spans="2:10" x14ac:dyDescent="0.3">
      <c r="B8" s="2"/>
      <c r="C8" s="19"/>
      <c r="D8" s="17" t="str">
        <f>IFERROR(VLOOKUP(_TBL_LAPTOP_INVENTORY[[#This Row],[INVENTORY ITEM]], _TBL_INVENTORY_TOTAL[[INVENTORY ITEM]:[TYPE]], 2, FALSE), "")</f>
        <v/>
      </c>
      <c r="E8" s="22"/>
      <c r="F8" s="4" t="str">
        <f>IF(_TBL_LAPTOP_INVENTORY[[#This Row],[IN]] &lt;&gt; 0, _TBL_LAPTOP_INVENTORY[[#This Row],[IN]],"")</f>
        <v/>
      </c>
      <c r="G8" s="20" t="str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/>
      </c>
      <c r="H8" s="12"/>
      <c r="I8" s="24"/>
      <c r="J8" s="13"/>
    </row>
    <row r="9" spans="2:10" x14ac:dyDescent="0.3">
      <c r="B9" s="2"/>
      <c r="C9" s="19"/>
      <c r="D9" s="17" t="str">
        <f>IFERROR(VLOOKUP(_TBL_LAPTOP_INVENTORY[[#This Row],[INVENTORY ITEM]], _TBL_INVENTORY_TOTAL[[INVENTORY ITEM]:[TYPE]], 2, FALSE), "")</f>
        <v/>
      </c>
      <c r="E9" s="22"/>
      <c r="F9" s="4" t="str">
        <f>IF(_TBL_LAPTOP_INVENTORY[[#This Row],[IN]] &lt;&gt; 0, _TBL_LAPTOP_INVENTORY[[#This Row],[IN]],"")</f>
        <v/>
      </c>
      <c r="G9" s="20" t="str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/>
      </c>
      <c r="H9" s="12"/>
      <c r="I9" s="24"/>
      <c r="J9" s="13"/>
    </row>
    <row r="10" spans="2:10" x14ac:dyDescent="0.3">
      <c r="B10" s="2"/>
      <c r="C10" s="19"/>
      <c r="D10" s="17" t="str">
        <f>IFERROR(VLOOKUP(_TBL_LAPTOP_INVENTORY[[#This Row],[INVENTORY ITEM]], _TBL_INVENTORY_TOTAL[[INVENTORY ITEM]:[TYPE]], 2, FALSE), "")</f>
        <v/>
      </c>
      <c r="E10" s="22"/>
      <c r="F10" s="4" t="str">
        <f>IF(_TBL_LAPTOP_INVENTORY[[#This Row],[IN]] &lt;&gt; 0, _TBL_LAPTOP_INVENTORY[[#This Row],[IN]],"")</f>
        <v/>
      </c>
      <c r="G10" s="20" t="str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/>
      </c>
      <c r="H10" s="12"/>
      <c r="I10" s="24"/>
      <c r="J10" s="13"/>
    </row>
    <row r="11" spans="2:10" ht="15" thickBot="1" x14ac:dyDescent="0.35">
      <c r="B11" s="9"/>
      <c r="C11" s="29"/>
      <c r="D11" s="17" t="str">
        <f>IFERROR(VLOOKUP(_TBL_LAPTOP_INVENTORY[[#This Row],[INVENTORY ITEM]], _TBL_INVENTORY_TOTAL[[INVENTORY ITEM]:[TYPE]], 2, FALSE), "")</f>
        <v/>
      </c>
      <c r="E11" s="23"/>
      <c r="F11" s="4" t="str">
        <f>IF(_TBL_LAPTOP_INVENTORY[[#This Row],[IN]] &lt;&gt; 0, _TBL_LAPTOP_INVENTORY[[#This Row],[IN]],"")</f>
        <v/>
      </c>
      <c r="G11" s="20" t="str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/>
      </c>
      <c r="H11" s="14"/>
      <c r="I11" s="26"/>
      <c r="J11" s="15"/>
    </row>
    <row r="12" spans="2:10" x14ac:dyDescent="0.3">
      <c r="B12" s="1" t="str">
        <f>_xlfn.CONCAT("COUNT: ", SUBTOTAL(103,_TBL_LAPTOP_INVENTORY[DATE]))</f>
        <v>COUNT: 2</v>
      </c>
      <c r="C12" s="6" t="s">
        <v>21</v>
      </c>
      <c r="D12" s="6"/>
      <c r="E12" s="5">
        <f>SUBTOTAL(109,_TBL_LAPTOP_INVENTORY[IN])</f>
        <v>15</v>
      </c>
      <c r="F12" s="5">
        <f>SUBTOTAL(109,_TBL_LAPTOP_INVENTORY[TOTAL])</f>
        <v>15</v>
      </c>
      <c r="G12" s="5"/>
      <c r="H12" s="5">
        <f>SUBTOTAL(109,_TBL_LAPTOP_INVENTORY[BACKJOB])</f>
        <v>0</v>
      </c>
      <c r="I12" s="27"/>
      <c r="J12" s="3"/>
    </row>
    <row r="13" spans="2:10" x14ac:dyDescent="0.3">
      <c r="C13" s="7" t="s">
        <v>22</v>
      </c>
      <c r="D13" s="7"/>
      <c r="E13" s="8">
        <f>SUM(_TBL_LAPTOP_INVENTORY[IN])</f>
        <v>15</v>
      </c>
      <c r="F13" s="8">
        <f>SUM(_TBL_LAPTOP_INVENTORY[TOTAL])</f>
        <v>15</v>
      </c>
      <c r="G13" s="8"/>
      <c r="H13" s="8">
        <f>SUM(_TBL_LAPTOP_INVENTORY[BACKJOB])</f>
        <v>0</v>
      </c>
    </row>
  </sheetData>
  <mergeCells count="1">
    <mergeCell ref="C1:E1"/>
  </mergeCells>
  <dataValidations count="1">
    <dataValidation type="list" allowBlank="1" showInputMessage="1" showErrorMessage="1" sqref="C3:C11" xr:uid="{668124BE-DB4F-4949-ADA8-671BF8E8709D}">
      <formula1>NAMES_INVENTORY_ITEMS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40611CAA-C662-48B7-A77B-A9B7FD12B7E6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1"/>
              <x14:cfIcon iconSet="3Symbols" iconId="2"/>
            </x14:iconSet>
          </x14:cfRule>
          <xm:sqref>G3:G11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_TBL_INVENTORY_NAMES</vt:lpstr>
      <vt:lpstr>_TBL_INVENTORY</vt:lpstr>
      <vt:lpstr>_TBL_INVENTORY_TOTAL</vt:lpstr>
      <vt:lpstr>_TBL_ADD_ONS</vt:lpstr>
      <vt:lpstr>_TBL_FREEBIES_SET</vt:lpstr>
      <vt:lpstr>INVENTORY</vt:lpstr>
      <vt:lpstr>NAMES_INVENTORY_ITEMS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2025-04-26T08:08:53Z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c56578fe-b795-4190-9af8-b8d418a6b6e8</vt:lpwstr>
  </property>
</Properties>
</file>