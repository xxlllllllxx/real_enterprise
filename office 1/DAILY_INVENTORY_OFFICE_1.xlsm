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data" ContentType="application/vnd.openxmlformats-officedocument.model+data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queryTables/queryTable4.xml" ContentType="application/vnd.openxmlformats-officedocument.spreadsheetml.query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__users__\__management__\real_enterprise\tables\"/>
    </mc:Choice>
  </mc:AlternateContent>
  <xr:revisionPtr revIDLastSave="0" documentId="13_ncr:1_{02881074-45C1-4B4F-9945-B3975C4E5DBC}" xr6:coauthVersionLast="36" xr6:coauthVersionMax="47" xr10:uidLastSave="{00000000-0000-0000-0000-000000000000}"/>
  <bookViews>
    <workbookView xWindow="-120" yWindow="-120" windowWidth="29040" windowHeight="15720" firstSheet="5" activeTab="5" xr2:uid="{00000000-000D-0000-FFFF-FFFF00000000}"/>
  </bookViews>
  <sheets>
    <sheet name="_TBL_SPECS" sheetId="6" state="hidden" r:id="rId1"/>
    <sheet name="_TBL_INVENTORY_TYPE" sheetId="5" state="hidden" r:id="rId2"/>
    <sheet name="_TBL_INVENTORY" sheetId="4" state="hidden" r:id="rId3"/>
    <sheet name="_TBL_BRAND" sheetId="3" state="hidden" r:id="rId4"/>
    <sheet name="_TBL_DATES" sheetId="7" state="hidden" r:id="rId5"/>
    <sheet name="INVENTORY" sheetId="2" r:id="rId6"/>
  </sheets>
  <definedNames>
    <definedName name="_xlcn.WorksheetConnection_DAILY_INVENTORY.xlsx_TBL_BRAND1" hidden="1">_TBL_BRAND[]</definedName>
    <definedName name="_xlcn.WorksheetConnection_DAILY_INVENTORY.xlsx_TBL_INVENTORY1" hidden="1">_TBL_INVENTORY[]</definedName>
    <definedName name="ExternalData_1" localSheetId="3" hidden="1">_TBL_BRAND!$A$1:$C$6</definedName>
    <definedName name="ExternalData_1" localSheetId="4" hidden="1">_TBL_DATES!$A$1:$E$9</definedName>
    <definedName name="ExternalData_2" localSheetId="2" hidden="1">_TBL_INVENTORY!$A$1:$G$12</definedName>
    <definedName name="ExternalData_3" localSheetId="1" hidden="1">_TBL_INVENTORY_TYPE!$A$1:$D$7</definedName>
    <definedName name="ExternalData_4" localSheetId="0" hidden="1">_TBL_SPECS!$A$1:$C$11</definedName>
    <definedName name="NAMES_INVENTORY">OFFSET(_TBL_INVENTORY[NAME], 0, 0, COUNTA(_TBL_INVENTORY[NAME]), 1)</definedName>
    <definedName name="WorkbookPath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_TBL_INVENTORY" name="_TBL_INVENTORY" connection="WorksheetConnection_DAILY_INVENTORY.xlsx!_TBL_INVENTORY"/>
          <x15:modelTable id="_TBL_BRAND" name="_TBL_BRAND" connection="WorksheetConnection_DAILY_INVENTORY.xlsx!_TBL_BRAND"/>
        </x15:modelTables>
        <x15:modelRelationships>
          <x15:modelRelationship fromTable="_TBL_INVENTORY" fromColumn="BRAND" toTable="_TBL_BRAND" toColumn="NAME"/>
        </x15:modelRelationships>
      </x15:dataModel>
    </ext>
  </extLst>
</workbook>
</file>

<file path=xl/calcChain.xml><?xml version="1.0" encoding="utf-8"?>
<calcChain xmlns="http://schemas.openxmlformats.org/spreadsheetml/2006/main">
  <c r="F3" i="2" l="1"/>
  <c r="F4" i="2"/>
  <c r="F5" i="2"/>
  <c r="F6" i="2"/>
  <c r="F7" i="2"/>
  <c r="F8" i="2"/>
  <c r="F9" i="2"/>
  <c r="F10" i="2"/>
  <c r="F11" i="2"/>
  <c r="F12" i="2"/>
  <c r="D3" i="2"/>
  <c r="D4" i="2"/>
  <c r="D5" i="2"/>
  <c r="D6" i="2"/>
  <c r="D7" i="2"/>
  <c r="D8" i="2"/>
  <c r="D9" i="2"/>
  <c r="D10" i="2"/>
  <c r="D11" i="2"/>
  <c r="D12" i="2"/>
  <c r="G13" i="2" l="1"/>
  <c r="E13" i="2"/>
  <c r="G14" i="2"/>
  <c r="E14" i="2"/>
  <c r="B13" i="2"/>
  <c r="F13" i="2" l="1"/>
  <c r="F14" i="2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3B58365A-CC5E-4833-936D-4E36E7616AAA}" keepAlive="1" name="Query - _TBL_BRAND" description="Connection to the '_TBL_BRAND' query in the workbook." type="5" refreshedVersion="6" background="1" saveData="1">
    <dbPr connection="Provider=Microsoft.Mashup.OleDb.1;Data Source=$Workbook$;Location=_TBL_BRAND;Extended Properties=&quot;&quot;" command="SELECT * FROM [_TBL_BRAND]"/>
  </connection>
  <connection id="2" xr16:uid="{E321D4D9-DCDC-4545-AE28-06F40D70F658}" keepAlive="1" name="Query - _TBL_DATES" description="Connection to the '_TBL_DATES' query in the workbook." type="5" refreshedVersion="6" background="1" saveData="1">
    <dbPr connection="Provider=Microsoft.Mashup.OleDb.1;Data Source=$Workbook$;Location=_TBL_DATES;Extended Properties=&quot;&quot;" command="SELECT * FROM [_TBL_DATES]"/>
  </connection>
  <connection id="3" xr16:uid="{85815DB0-BA33-40EE-B2D9-AAEF05D56A01}" keepAlive="1" name="Query - _TBL_INVENTORY" description="Connection to the '_TBL_INVENTORY' query in the workbook." type="5" refreshedVersion="6" background="1" saveData="1">
    <dbPr connection="Provider=Microsoft.Mashup.OleDb.1;Data Source=$Workbook$;Location=_TBL_INVENTORY;Extended Properties=&quot;&quot;" command="SELECT * FROM [_TBL_INVENTORY]"/>
  </connection>
  <connection id="4" xr16:uid="{32B1E25C-3287-42F5-9905-A806C6011D23}" keepAlive="1" name="Query - _TBL_SPECS" description="Connection to the '_TBL_SPECS' query in the workbook." type="5" refreshedVersion="6" background="1" saveData="1">
    <dbPr connection="Provider=Microsoft.Mashup.OleDb.1;Data Source=$Workbook$;Location=_TBL_SPECS;Extended Properties=&quot;&quot;" command="SELECT * FROM [_TBL_SPECS]"/>
  </connection>
  <connection id="5" xr16:uid="{F4437E77-6917-47D0-8D36-57411AE3B45E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6" xr16:uid="{B886457F-2EBF-4713-B56E-D076C14A69A0}" name="WorksheetConnection_DAILY_INVENTORY.xlsx!_TBL_BRAND" type="102" refreshedVersion="8" minRefreshableVersion="5">
    <extLst>
      <ext xmlns:x15="http://schemas.microsoft.com/office/spreadsheetml/2010/11/main" uri="{DE250136-89BD-433C-8126-D09CA5730AF9}">
        <x15:connection id="_TBL_BRAND">
          <x15:rangePr sourceName="_xlcn.WorksheetConnection_DAILY_INVENTORY.xlsx_TBL_BRAND1"/>
        </x15:connection>
      </ext>
    </extLst>
  </connection>
  <connection id="7" xr16:uid="{40AF4445-C7C4-49BE-BA5F-817D1DCC5EC0}" name="WorksheetConnection_DAILY_INVENTORY.xlsx!_TBL_INVENTORY" type="102" refreshedVersion="8" minRefreshableVersion="5">
    <extLst>
      <ext xmlns:x15="http://schemas.microsoft.com/office/spreadsheetml/2010/11/main" uri="{DE250136-89BD-433C-8126-D09CA5730AF9}">
        <x15:connection id="_TBL_INVENTORY">
          <x15:rangePr sourceName="_xlcn.WorksheetConnection_DAILY_INVENTORY.xlsx_TBL_INVENTORY1"/>
        </x15:connection>
      </ext>
    </extLst>
  </connection>
</connections>
</file>

<file path=xl/sharedStrings.xml><?xml version="1.0" encoding="utf-8"?>
<sst xmlns="http://schemas.openxmlformats.org/spreadsheetml/2006/main" count="121" uniqueCount="70">
  <si>
    <t>ID</t>
  </si>
  <si>
    <t>NAME</t>
  </si>
  <si>
    <t>TYPE</t>
  </si>
  <si>
    <t>BRAND</t>
  </si>
  <si>
    <t>CODE</t>
  </si>
  <si>
    <t>SPECS</t>
  </si>
  <si>
    <t>DELL 3120 REGULAR 4 / 16</t>
  </si>
  <si>
    <t>Laptop</t>
  </si>
  <si>
    <t>DELL</t>
  </si>
  <si>
    <t>HP</t>
  </si>
  <si>
    <t>Column1</t>
  </si>
  <si>
    <t>DATE</t>
  </si>
  <si>
    <t>INVENTORY ITEM</t>
  </si>
  <si>
    <t>BACKJOB</t>
  </si>
  <si>
    <t>DELL 3180 REGULAR 4 / 16</t>
  </si>
  <si>
    <t>ACER</t>
  </si>
  <si>
    <t>ASUS</t>
  </si>
  <si>
    <t>LENOVO</t>
  </si>
  <si>
    <t>LAPTOP</t>
  </si>
  <si>
    <t>PC Parts</t>
  </si>
  <si>
    <t>PCPARTS</t>
  </si>
  <si>
    <t>Freebies</t>
  </si>
  <si>
    <t>FREEBIES</t>
  </si>
  <si>
    <t>Printers</t>
  </si>
  <si>
    <t>PRINTERS</t>
  </si>
  <si>
    <t>Speakers</t>
  </si>
  <si>
    <t>SPEAKERS</t>
  </si>
  <si>
    <t>Accessories</t>
  </si>
  <si>
    <t>ACCESSORIES</t>
  </si>
  <si>
    <t>TOTAL</t>
  </si>
  <si>
    <t>IN</t>
  </si>
  <si>
    <t>REMARKS</t>
  </si>
  <si>
    <t>BOX ID</t>
  </si>
  <si>
    <t>3120</t>
  </si>
  <si>
    <t>3180</t>
  </si>
  <si>
    <t xml:space="preserve">TOTAL: </t>
  </si>
  <si>
    <t>ABSOLUTE TOTAL:</t>
  </si>
  <si>
    <t>START_DATE</t>
  </si>
  <si>
    <t>END_DATE</t>
  </si>
  <si>
    <t>DAYS_COUNT</t>
  </si>
  <si>
    <t>Current Date</t>
  </si>
  <si>
    <t>Previous Date</t>
  </si>
  <si>
    <t>Current Week</t>
  </si>
  <si>
    <t>Previous Week</t>
  </si>
  <si>
    <t>Current Month</t>
  </si>
  <si>
    <t>Previous Month</t>
  </si>
  <si>
    <t>Current Year</t>
  </si>
  <si>
    <t>Custom</t>
  </si>
  <si>
    <t>2 / 16</t>
  </si>
  <si>
    <t>4 / 16</t>
  </si>
  <si>
    <t>4 / 32</t>
  </si>
  <si>
    <t>8 / 128</t>
  </si>
  <si>
    <t>8 / 256</t>
  </si>
  <si>
    <t>VARIANT</t>
  </si>
  <si>
    <t>REGULAR</t>
  </si>
  <si>
    <t>DELL 3120 REGULAR 4 / 32</t>
  </si>
  <si>
    <t>HP REGULAR 4 / 16</t>
  </si>
  <si>
    <t>HP TOUCHSCREEN 4 / 16</t>
  </si>
  <si>
    <t>TOUCHSCREEN</t>
  </si>
  <si>
    <t>HP 14' 4 / 16</t>
  </si>
  <si>
    <t>14'</t>
  </si>
  <si>
    <t>DELL 3180 REGULAR 4 / 32</t>
  </si>
  <si>
    <t>INVENTORY</t>
  </si>
  <si>
    <t>DELL CHARGER</t>
  </si>
  <si>
    <t>CHARGER</t>
  </si>
  <si>
    <t>HP CHARGER</t>
  </si>
  <si>
    <t>DELL Monitor</t>
  </si>
  <si>
    <t>Monitor</t>
  </si>
  <si>
    <t>ACER 3343 TOUCHSCREEN 4 / 16</t>
  </si>
  <si>
    <t>3343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</si>
</sst>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</borders>
  <cellStyleXfs count="1">
    <xf numFmtId="0" fontId="0" fillId="0" borderId="0"/>
  </cellStyleXfs>
  <cellXfs count="29">
    <xf numFmtId="0" fontId="0" fillId="0" borderId="0" xfId="0"/>
    <xf numFmtId="0" fontId="0" fillId="0" borderId="0" xfId="0" applyAlignment="1">
      <alignment horizontal="left"/>
    </xf>
    <xf numFmtId="14" fontId="0" fillId="0" borderId="0" xfId="0" applyNumberFormat="1" applyAlignment="1">
      <alignment horizontal="center"/>
    </xf>
    <xf numFmtId="2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right"/>
    </xf>
    <xf numFmtId="0" fontId="0" fillId="0" borderId="0" xfId="0" applyAlignment="1">
      <alignment horizontal="right"/>
    </xf>
    <xf numFmtId="0" fontId="2" fillId="0" borderId="0" xfId="0" applyFont="1" applyAlignment="1">
      <alignment horizontal="right"/>
    </xf>
    <xf numFmtId="1" fontId="2" fillId="0" borderId="0" xfId="0" applyNumberFormat="1" applyFont="1"/>
    <xf numFmtId="14" fontId="0" fillId="0" borderId="0" xfId="0" applyNumberFormat="1"/>
    <xf numFmtId="0" fontId="0" fillId="0" borderId="1" xfId="0" applyBorder="1" applyAlignment="1">
      <alignment horizontal="center"/>
    </xf>
    <xf numFmtId="2" fontId="0" fillId="0" borderId="2" xfId="0" applyNumberFormat="1" applyBorder="1" applyAlignment="1">
      <alignment horizontal="center"/>
    </xf>
    <xf numFmtId="0" fontId="0" fillId="0" borderId="3" xfId="0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5" xfId="0" applyBorder="1" applyAlignment="1">
      <alignment horizontal="center"/>
    </xf>
    <xf numFmtId="2" fontId="0" fillId="0" borderId="6" xfId="0" applyNumberFormat="1" applyBorder="1" applyAlignment="1">
      <alignment horizontal="center"/>
    </xf>
    <xf numFmtId="0" fontId="0" fillId="0" borderId="0" xfId="0" applyNumberFormat="1"/>
    <xf numFmtId="0" fontId="0" fillId="0" borderId="0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Border="1" applyAlignment="1">
      <alignment horizontal="left"/>
    </xf>
    <xf numFmtId="0" fontId="1" fillId="0" borderId="9" xfId="0" applyFont="1" applyBorder="1" applyAlignment="1">
      <alignment horizontal="lef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1" fontId="0" fillId="0" borderId="7" xfId="0" applyNumberFormat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11" xfId="0" applyBorder="1" applyAlignment="1">
      <alignment horizontal="center"/>
    </xf>
  </cellXfs>
  <cellStyles count="1">
    <cellStyle name="Normal" xfId="0" builtinId="0"/>
  </cellStyles>
  <dxfs count="31">
    <dxf>
      <numFmt numFmtId="2" formatCode="0.0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numFmt numFmtId="1" formatCode="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m/d/yyyy"/>
    </dxf>
    <dxf>
      <numFmt numFmtId="19" formatCode="m/d/yyyy"/>
    </dxf>
    <dxf>
      <numFmt numFmtId="19" formatCode="m/d/yyyy"/>
    </dxf>
    <dxf>
      <numFmt numFmtId="2" formatCode="0.00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1" formatCode="0"/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left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  <vertical/>
        <horizontal/>
      </border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powerPivotData" Target="model/item.data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06/relationships/vbaProject" Target="vbaProject.bin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4" connectionId="4" xr16:uid="{EA4D9F21-8D00-469A-BD11-53BB304FD602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3" xr16:uid="{9ED08904-790B-4B5C-9FCE-DB3E7ADB5ABE}" autoFormatId="16" applyNumberFormats="0" applyBorderFormats="0" applyFontFormats="0" applyPatternFormats="0" applyAlignmentFormats="0" applyWidthHeightFormats="0">
  <queryTableRefresh nextId="9">
    <queryTableFields count="7">
      <queryTableField id="1" name="ID" tableColumnId="1"/>
      <queryTableField id="2" name="NAME" tableColumnId="2"/>
      <queryTableField id="3" name="TYPE" tableColumnId="3"/>
      <queryTableField id="4" name="BRAND" tableColumnId="4"/>
      <queryTableField id="5" name="CODE" tableColumnId="5"/>
      <queryTableField id="7" name="VARIANT" tableColumnId="7"/>
      <queryTableField id="6" name="SPECS" tableColumnId="6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" xr16:uid="{3DFAF822-0BB0-464E-BFDD-E672198830BD}" autoFormatId="16" applyNumberFormats="0" applyBorderFormats="0" applyFontFormats="0" applyPatternFormats="0" applyAlignmentFormats="0" applyWidthHeightFormats="0">
  <queryTableRefresh nextId="4">
    <queryTableFields count="3">
      <queryTableField id="1" name="ID" tableColumnId="1"/>
      <queryTableField id="2" name="NAME" tableColumnId="2"/>
      <queryTableField id="3" name="CODE" tableColumnId="3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" xr16:uid="{329289D7-0D3A-4A3D-85AF-880025C06F49}" autoFormatId="16" applyNumberFormats="0" applyBorderFormats="0" applyFontFormats="0" applyPatternFormats="0" applyAlignmentFormats="0" applyWidthHeightFormats="0">
  <queryTableRefresh nextId="6">
    <queryTableFields count="5">
      <queryTableField id="1" name="DATE" tableColumnId="1"/>
      <queryTableField id="2" name="START_DATE" tableColumnId="2"/>
      <queryTableField id="3" name="END_DATE" tableColumnId="3"/>
      <queryTableField id="4" name="NAME" tableColumnId="4"/>
      <queryTableField id="5" name="DAYS_COUNT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AFD8291-BBD0-475B-91B8-E2C6DE19DBA8}" name="_TBL_SPECS" displayName="_TBL_SPECS" ref="A1:C11" tableType="queryTable" totalsRowShown="0">
  <autoFilter ref="A1:C11" xr:uid="{8AFD8291-BBD0-475B-91B8-E2C6DE19DBA8}"/>
  <tableColumns count="3">
    <tableColumn id="1" xr3:uid="{831D3F8C-DB08-4FC1-93B9-3186C252869A}" uniqueName="1" name="ID" queryTableFieldId="1"/>
    <tableColumn id="2" xr3:uid="{4281C9EC-728A-418E-B654-1F1CABE1B3EE}" uniqueName="2" name="NAME" queryTableFieldId="2" dataDxfId="30"/>
    <tableColumn id="3" xr3:uid="{F82FC7B3-1F61-4B9D-84A6-DC626273D2EA}" uniqueName="3" name="CODE" queryTableFieldId="3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4D3215-F9F9-4D1D-A07B-6BE9ED4E88C4}" name="_TBL_INVENTORY_TYPE" displayName="_TBL_INVENTORY_TYPE" ref="A1:D7" totalsRowShown="0">
  <autoFilter ref="A1:D7" xr:uid="{254D3215-F9F9-4D1D-A07B-6BE9ED4E88C4}"/>
  <tableColumns count="4">
    <tableColumn id="1" xr3:uid="{C24F0F0E-DC65-4DD0-B891-8054B96A0C76}" name="ID"/>
    <tableColumn id="2" xr3:uid="{FA4CEB5B-3FB9-45CC-BBA1-1F6C7D966D87}" name="NAME" dataDxfId="29"/>
    <tableColumn id="3" xr3:uid="{77531021-D05F-4B6C-84DA-32AED82A9680}" name="CODE" dataDxfId="28"/>
    <tableColumn id="4" xr3:uid="{14FAAE2A-851C-47A6-B61E-F2657B28BBEB}" name="Column1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2FA0ED0-29DC-44A7-AA33-A3BB3B6E3AE6}" name="_TBL_INVENTORY" displayName="_TBL_INVENTORY" ref="A1:G12" tableType="queryTable" totalsRowShown="0">
  <autoFilter ref="A1:G12" xr:uid="{C2FA0ED0-29DC-44A7-AA33-A3BB3B6E3AE6}"/>
  <tableColumns count="7">
    <tableColumn id="1" xr3:uid="{230559D2-85F3-485E-879F-2321096E7E33}" uniqueName="1" name="ID" queryTableFieldId="1"/>
    <tableColumn id="2" xr3:uid="{004234A9-C7CA-48D8-A03A-3BF277A905CC}" uniqueName="2" name="NAME" queryTableFieldId="2" dataDxfId="14"/>
    <tableColumn id="3" xr3:uid="{076104D8-C9E8-451B-A965-B0F52E829B97}" uniqueName="3" name="TYPE" queryTableFieldId="3" dataDxfId="13"/>
    <tableColumn id="4" xr3:uid="{EED15770-5ACA-47A3-90AC-004FB47CC5A3}" uniqueName="4" name="BRAND" queryTableFieldId="4" dataDxfId="12"/>
    <tableColumn id="5" xr3:uid="{3006AD62-9893-4204-AD0A-4EF3B9BE605E}" uniqueName="5" name="CODE" queryTableFieldId="5" dataDxfId="11"/>
    <tableColumn id="7" xr3:uid="{755E8365-A27A-40BA-BC6C-656013F5F0FA}" uniqueName="7" name="VARIANT" queryTableFieldId="7"/>
    <tableColumn id="6" xr3:uid="{895EF583-4F50-4211-A9B8-9D6A9E4977E5}" uniqueName="6" name="SPECS" queryTableFieldId="6" dataDxfId="10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3094CCA-E1C1-4BDF-A888-CF855643FCCE}" name="_TBL_BRAND" displayName="_TBL_BRAND" ref="A1:C6" tableType="queryTable" totalsRowShown="0">
  <autoFilter ref="A1:C6" xr:uid="{D3094CCA-E1C1-4BDF-A888-CF855643FCCE}"/>
  <tableColumns count="3">
    <tableColumn id="1" xr3:uid="{CD355638-7210-4B3C-9B81-7CA586CCCE35}" uniqueName="1" name="ID" queryTableFieldId="1"/>
    <tableColumn id="2" xr3:uid="{A17084AD-45C6-49FE-AF2F-9D8660CF2AA8}" uniqueName="2" name="NAME" queryTableFieldId="2" dataDxfId="27"/>
    <tableColumn id="3" xr3:uid="{C0011154-0B7E-42B1-B5DD-084C7A3F69EC}" uniqueName="3" name="CODE" queryTableFieldId="3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7AB51C8-F98B-4131-90AD-8854C43EB09E}" name="_TBL_DATES" displayName="_TBL_DATES" ref="A1:E9" tableType="queryTable" totalsRowShown="0">
  <autoFilter ref="A1:E9" xr:uid="{D7AB51C8-F98B-4131-90AD-8854C43EB09E}"/>
  <tableColumns count="5">
    <tableColumn id="1" xr3:uid="{A5235917-4E70-423A-B0B8-2E9003CF299A}" uniqueName="1" name="DATE" queryTableFieldId="1" dataDxfId="17"/>
    <tableColumn id="2" xr3:uid="{9ACA5BAE-3452-4A54-88A1-1D3A54B85E6B}" uniqueName="2" name="START_DATE" queryTableFieldId="2" dataDxfId="16"/>
    <tableColumn id="3" xr3:uid="{C60B9200-CA57-4C5B-AF47-28D5CBEAD345}" uniqueName="3" name="END_DATE" queryTableFieldId="3" dataDxfId="15"/>
    <tableColumn id="4" xr3:uid="{A600AE55-31A6-4008-AA79-30DCDCBCFBDA}" uniqueName="4" name="NAME" queryTableFieldId="4" dataDxfId="26"/>
    <tableColumn id="5" xr3:uid="{D5A638A7-F80A-405A-9E9E-84C05C30493C}" uniqueName="5" name="DAYS_COUNT" queryTableFieldId="5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1196D4F-0C08-44E6-8845-054A162CF400}" name="_TBL_LAPTOP_INVENTORY" displayName="_TBL_LAPTOP_INVENTORY" ref="B2:I13" totalsRowCount="1" headerRowDxfId="25" dataDxfId="24">
  <autoFilter ref="B2:I12" xr:uid="{11196D4F-0C08-44E6-8845-054A162CF400}"/>
  <tableColumns count="8">
    <tableColumn id="1" xr3:uid="{7E5944E0-EEF7-48BA-9C65-2A065AAFA2D9}" name="DATE" totalsRowFunction="custom" dataDxfId="23" totalsRowDxfId="7">
      <totalsRowFormula>_xlfn.CONCAT("COUNT: ", SUBTOTAL(103,_TBL_LAPTOP_INVENTORY[DATE]))</totalsRowFormula>
    </tableColumn>
    <tableColumn id="2" xr3:uid="{6346439F-B17B-42E4-B169-E92F350D30A5}" name="INVENTORY ITEM" totalsRowLabel="TOTAL: " dataDxfId="22" totalsRowDxfId="6"/>
    <tableColumn id="3" xr3:uid="{1EB83D46-47C2-4650-9EFD-5BC25AF91D98}" name="TYPE" dataDxfId="9" totalsRowDxfId="5">
      <calculatedColumnFormula>IFERROR(VLOOKUP(_TBL_LAPTOP_INVENTORY[[#This Row],[INVENTORY ITEM]], INDEX(_TBL_INVENTORY[],,2):INDEX(_TBL_INVENTORY[],,3), 2, FALSE), "")</calculatedColumnFormula>
    </tableColumn>
    <tableColumn id="4" xr3:uid="{95CD9087-654C-4E2A-AF3A-261436977333}" name="IN" totalsRowFunction="sum" dataDxfId="21" totalsRowDxfId="4"/>
    <tableColumn id="7" xr3:uid="{A2774850-F5E8-4FA1-8C17-FE6EEC4F8D73}" name="TOTAL" totalsRowFunction="sum" dataDxfId="8" totalsRowDxfId="3">
      <calculatedColumnFormula>IF(_TBL_LAPTOP_INVENTORY[[#This Row],[IN]] &lt;&gt; 0, _TBL_LAPTOP_INVENTORY[[#This Row],[IN]],"")</calculatedColumnFormula>
    </tableColumn>
    <tableColumn id="8" xr3:uid="{3BEEB058-8C1B-4F3B-A112-E1C3BF3C5795}" name="BACKJOB" totalsRowFunction="sum" dataDxfId="20" totalsRowDxfId="2"/>
    <tableColumn id="10" xr3:uid="{1B6A8F81-4CD3-412F-B3A2-C032710C5771}" name="REMARKS" dataDxfId="19" totalsRowDxfId="1"/>
    <tableColumn id="12" xr3:uid="{161DBC59-E0E9-488B-9D75-AD60C50E18B7}" name="BOX ID" dataDxfId="18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3B76B4-8FE3-47ED-9AEF-EE1F61FCD8EB}">
  <sheetPr codeName="Sheet1"/>
  <dimension ref="A1:C6"/>
  <sheetViews>
    <sheetView workbookViewId="0">
      <selection activeCell="F11" sqref="F11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48</v>
      </c>
    </row>
    <row r="3" spans="1:3" x14ac:dyDescent="0.25">
      <c r="A3">
        <v>2</v>
      </c>
      <c r="B3" t="s">
        <v>49</v>
      </c>
    </row>
    <row r="4" spans="1:3" x14ac:dyDescent="0.25">
      <c r="A4">
        <v>3</v>
      </c>
      <c r="B4" t="s">
        <v>50</v>
      </c>
    </row>
    <row r="5" spans="1:3" x14ac:dyDescent="0.25">
      <c r="A5">
        <v>4</v>
      </c>
      <c r="B5" t="s">
        <v>51</v>
      </c>
    </row>
    <row r="6" spans="1:3" x14ac:dyDescent="0.25">
      <c r="A6">
        <v>5</v>
      </c>
      <c r="B6" t="s">
        <v>52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5A4E0C-F018-4B84-8B6D-6C68E449C05C}">
  <sheetPr codeName="Sheet3"/>
  <dimension ref="A1:D7"/>
  <sheetViews>
    <sheetView workbookViewId="0"/>
  </sheetViews>
  <sheetFormatPr defaultRowHeight="15" x14ac:dyDescent="0.25"/>
  <cols>
    <col min="1" max="1" width="5.140625" bestFit="1" customWidth="1"/>
    <col min="2" max="2" width="11.28515625" bestFit="1" customWidth="1"/>
    <col min="3" max="3" width="12.7109375" bestFit="1" customWidth="1"/>
    <col min="4" max="4" width="11.140625" bestFit="1" customWidth="1"/>
  </cols>
  <sheetData>
    <row r="1" spans="1:4" x14ac:dyDescent="0.25">
      <c r="A1" t="s">
        <v>0</v>
      </c>
      <c r="B1" t="s">
        <v>1</v>
      </c>
      <c r="C1" t="s">
        <v>4</v>
      </c>
      <c r="D1" t="s">
        <v>10</v>
      </c>
    </row>
    <row r="2" spans="1:4" x14ac:dyDescent="0.25">
      <c r="A2">
        <v>1</v>
      </c>
      <c r="B2" t="s">
        <v>7</v>
      </c>
      <c r="C2" t="s">
        <v>18</v>
      </c>
    </row>
    <row r="3" spans="1:4" x14ac:dyDescent="0.25">
      <c r="A3">
        <v>2</v>
      </c>
      <c r="B3" t="s">
        <v>19</v>
      </c>
      <c r="C3" t="s">
        <v>20</v>
      </c>
    </row>
    <row r="4" spans="1:4" x14ac:dyDescent="0.25">
      <c r="A4">
        <v>3</v>
      </c>
      <c r="B4" t="s">
        <v>21</v>
      </c>
      <c r="C4" t="s">
        <v>22</v>
      </c>
    </row>
    <row r="5" spans="1:4" x14ac:dyDescent="0.25">
      <c r="A5">
        <v>4</v>
      </c>
      <c r="B5" t="s">
        <v>23</v>
      </c>
      <c r="C5" t="s">
        <v>24</v>
      </c>
    </row>
    <row r="6" spans="1:4" x14ac:dyDescent="0.25">
      <c r="A6">
        <v>5</v>
      </c>
      <c r="B6" t="s">
        <v>25</v>
      </c>
      <c r="C6" t="s">
        <v>26</v>
      </c>
    </row>
    <row r="7" spans="1:4" x14ac:dyDescent="0.25">
      <c r="A7">
        <v>6</v>
      </c>
      <c r="B7" t="s">
        <v>27</v>
      </c>
      <c r="C7" t="s">
        <v>28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E478FD-3DCB-44A5-B916-6B371FA4571D}">
  <sheetPr codeName="Sheet4"/>
  <dimension ref="A1:G12"/>
  <sheetViews>
    <sheetView workbookViewId="0">
      <selection sqref="A1:G12"/>
    </sheetView>
  </sheetViews>
  <sheetFormatPr defaultRowHeight="15" x14ac:dyDescent="0.25"/>
  <cols>
    <col min="1" max="1" width="5.140625" bestFit="1" customWidth="1"/>
    <col min="2" max="2" width="29" bestFit="1" customWidth="1"/>
    <col min="3" max="3" width="8.7109375" bestFit="1" customWidth="1"/>
    <col min="4" max="4" width="9.5703125" bestFit="1" customWidth="1"/>
    <col min="5" max="5" width="9.28515625" bestFit="1" customWidth="1"/>
    <col min="6" max="6" width="14" bestFit="1" customWidth="1"/>
    <col min="7" max="7" width="8.5703125" bestFit="1" customWidth="1"/>
  </cols>
  <sheetData>
    <row r="1" spans="1:7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53</v>
      </c>
      <c r="G1" t="s">
        <v>5</v>
      </c>
    </row>
    <row r="2" spans="1:7" x14ac:dyDescent="0.25">
      <c r="A2">
        <v>1</v>
      </c>
      <c r="B2" s="16" t="s">
        <v>6</v>
      </c>
      <c r="C2" s="16" t="s">
        <v>7</v>
      </c>
      <c r="D2" s="16" t="s">
        <v>8</v>
      </c>
      <c r="E2" s="16" t="s">
        <v>33</v>
      </c>
      <c r="F2" t="s">
        <v>54</v>
      </c>
      <c r="G2" s="16" t="s">
        <v>49</v>
      </c>
    </row>
    <row r="3" spans="1:7" x14ac:dyDescent="0.25">
      <c r="A3">
        <v>2</v>
      </c>
      <c r="B3" s="16" t="s">
        <v>55</v>
      </c>
      <c r="C3" s="16" t="s">
        <v>7</v>
      </c>
      <c r="D3" s="16" t="s">
        <v>8</v>
      </c>
      <c r="E3" s="16" t="s">
        <v>33</v>
      </c>
      <c r="F3" t="s">
        <v>54</v>
      </c>
      <c r="G3" s="16" t="s">
        <v>50</v>
      </c>
    </row>
    <row r="4" spans="1:7" x14ac:dyDescent="0.25">
      <c r="A4">
        <v>3</v>
      </c>
      <c r="B4" s="16" t="s">
        <v>56</v>
      </c>
      <c r="C4" s="16" t="s">
        <v>7</v>
      </c>
      <c r="D4" s="16" t="s">
        <v>9</v>
      </c>
      <c r="E4" s="16"/>
      <c r="F4" t="s">
        <v>54</v>
      </c>
      <c r="G4" s="16" t="s">
        <v>49</v>
      </c>
    </row>
    <row r="5" spans="1:7" x14ac:dyDescent="0.25">
      <c r="A5">
        <v>4</v>
      </c>
      <c r="B5" s="16" t="s">
        <v>57</v>
      </c>
      <c r="C5" s="16" t="s">
        <v>7</v>
      </c>
      <c r="D5" s="16" t="s">
        <v>9</v>
      </c>
      <c r="E5" s="16"/>
      <c r="F5" t="s">
        <v>58</v>
      </c>
      <c r="G5" s="16" t="s">
        <v>49</v>
      </c>
    </row>
    <row r="6" spans="1:7" x14ac:dyDescent="0.25">
      <c r="A6">
        <v>5</v>
      </c>
      <c r="B6" s="16" t="s">
        <v>14</v>
      </c>
      <c r="C6" s="16" t="s">
        <v>7</v>
      </c>
      <c r="D6" s="16" t="s">
        <v>8</v>
      </c>
      <c r="E6" s="16" t="s">
        <v>34</v>
      </c>
      <c r="F6" t="s">
        <v>54</v>
      </c>
      <c r="G6" s="16" t="s">
        <v>49</v>
      </c>
    </row>
    <row r="7" spans="1:7" x14ac:dyDescent="0.25">
      <c r="A7">
        <v>6</v>
      </c>
      <c r="B7" s="16" t="s">
        <v>59</v>
      </c>
      <c r="C7" s="16" t="s">
        <v>7</v>
      </c>
      <c r="D7" s="16" t="s">
        <v>9</v>
      </c>
      <c r="E7" s="16"/>
      <c r="F7" t="s">
        <v>60</v>
      </c>
      <c r="G7" s="16" t="s">
        <v>49</v>
      </c>
    </row>
    <row r="8" spans="1:7" x14ac:dyDescent="0.25">
      <c r="A8">
        <v>7</v>
      </c>
      <c r="B8" s="16" t="s">
        <v>63</v>
      </c>
      <c r="C8" s="16" t="s">
        <v>21</v>
      </c>
      <c r="D8" s="16" t="s">
        <v>8</v>
      </c>
      <c r="E8" s="16" t="s">
        <v>64</v>
      </c>
      <c r="G8" s="16"/>
    </row>
    <row r="9" spans="1:7" x14ac:dyDescent="0.25">
      <c r="A9">
        <v>8</v>
      </c>
      <c r="B9" s="16" t="s">
        <v>65</v>
      </c>
      <c r="C9" s="16" t="s">
        <v>21</v>
      </c>
      <c r="D9" s="16" t="s">
        <v>9</v>
      </c>
      <c r="E9" s="16" t="s">
        <v>64</v>
      </c>
      <c r="G9" s="16"/>
    </row>
    <row r="10" spans="1:7" x14ac:dyDescent="0.25">
      <c r="A10">
        <v>9</v>
      </c>
      <c r="B10" s="16" t="s">
        <v>66</v>
      </c>
      <c r="C10" s="16" t="s">
        <v>19</v>
      </c>
      <c r="D10" s="16" t="s">
        <v>8</v>
      </c>
      <c r="E10" s="16" t="s">
        <v>67</v>
      </c>
      <c r="G10" s="16"/>
    </row>
    <row r="11" spans="1:7" x14ac:dyDescent="0.25">
      <c r="B11" s="16" t="s">
        <v>61</v>
      </c>
      <c r="C11" s="16" t="s">
        <v>7</v>
      </c>
      <c r="D11" s="16" t="s">
        <v>8</v>
      </c>
      <c r="E11" s="16" t="s">
        <v>34</v>
      </c>
      <c r="F11" t="s">
        <v>54</v>
      </c>
      <c r="G11" s="16" t="s">
        <v>50</v>
      </c>
    </row>
    <row r="12" spans="1:7" x14ac:dyDescent="0.25">
      <c r="B12" s="16" t="s">
        <v>68</v>
      </c>
      <c r="C12" s="16" t="s">
        <v>7</v>
      </c>
      <c r="D12" s="16" t="s">
        <v>15</v>
      </c>
      <c r="E12" s="16" t="s">
        <v>69</v>
      </c>
      <c r="F12" t="s">
        <v>58</v>
      </c>
      <c r="G12" s="16" t="s">
        <v>49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8D8AC8-8691-4720-858B-0FF6500AEC42}">
  <sheetPr codeName="Sheet5"/>
  <dimension ref="A1:C6"/>
  <sheetViews>
    <sheetView workbookViewId="0">
      <selection activeCell="G10" sqref="G10"/>
    </sheetView>
  </sheetViews>
  <sheetFormatPr defaultRowHeight="15" x14ac:dyDescent="0.25"/>
  <cols>
    <col min="1" max="1" width="5.140625" bestFit="1" customWidth="1"/>
    <col min="2" max="2" width="8.85546875" bestFit="1" customWidth="1"/>
    <col min="3" max="3" width="8.140625" bestFit="1" customWidth="1"/>
  </cols>
  <sheetData>
    <row r="1" spans="1:3" x14ac:dyDescent="0.25">
      <c r="A1" t="s">
        <v>0</v>
      </c>
      <c r="B1" t="s">
        <v>1</v>
      </c>
      <c r="C1" t="s">
        <v>4</v>
      </c>
    </row>
    <row r="2" spans="1:3" x14ac:dyDescent="0.25">
      <c r="A2">
        <v>1</v>
      </c>
      <c r="B2" t="s">
        <v>15</v>
      </c>
    </row>
    <row r="3" spans="1:3" x14ac:dyDescent="0.25">
      <c r="A3">
        <v>2</v>
      </c>
      <c r="B3" t="s">
        <v>16</v>
      </c>
    </row>
    <row r="4" spans="1:3" x14ac:dyDescent="0.25">
      <c r="A4">
        <v>3</v>
      </c>
      <c r="B4" t="s">
        <v>8</v>
      </c>
    </row>
    <row r="5" spans="1:3" x14ac:dyDescent="0.25">
      <c r="A5">
        <v>4</v>
      </c>
      <c r="B5" t="s">
        <v>9</v>
      </c>
    </row>
    <row r="6" spans="1:3" x14ac:dyDescent="0.25">
      <c r="A6">
        <v>5</v>
      </c>
      <c r="B6" t="s">
        <v>17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99D148-A7B3-4A39-AD0F-53A67EEF0BED}">
  <sheetPr codeName="Sheet6"/>
  <dimension ref="A1:E9"/>
  <sheetViews>
    <sheetView workbookViewId="0">
      <selection sqref="A1:E9"/>
    </sheetView>
  </sheetViews>
  <sheetFormatPr defaultRowHeight="15" x14ac:dyDescent="0.25"/>
  <cols>
    <col min="1" max="1" width="9.7109375" bestFit="1" customWidth="1"/>
    <col min="2" max="2" width="14.28515625" bestFit="1" customWidth="1"/>
    <col min="3" max="3" width="12.5703125" bestFit="1" customWidth="1"/>
    <col min="4" max="4" width="15.140625" customWidth="1"/>
    <col min="5" max="5" width="15.5703125" bestFit="1" customWidth="1"/>
  </cols>
  <sheetData>
    <row r="1" spans="1:5" x14ac:dyDescent="0.25">
      <c r="A1" t="s">
        <v>11</v>
      </c>
      <c r="B1" t="s">
        <v>37</v>
      </c>
      <c r="C1" t="s">
        <v>38</v>
      </c>
      <c r="D1" t="s">
        <v>1</v>
      </c>
      <c r="E1" t="s">
        <v>39</v>
      </c>
    </row>
    <row r="2" spans="1:5" x14ac:dyDescent="0.25">
      <c r="A2" s="9">
        <v>45766</v>
      </c>
      <c r="B2" s="9">
        <v>45766</v>
      </c>
      <c r="C2" s="9">
        <v>45766</v>
      </c>
      <c r="D2" t="s">
        <v>40</v>
      </c>
      <c r="E2">
        <v>1</v>
      </c>
    </row>
    <row r="3" spans="1:5" x14ac:dyDescent="0.25">
      <c r="A3" s="9">
        <v>45766</v>
      </c>
      <c r="B3" s="9">
        <v>45765</v>
      </c>
      <c r="C3" s="9">
        <v>45765</v>
      </c>
      <c r="D3" t="s">
        <v>41</v>
      </c>
      <c r="E3">
        <v>1</v>
      </c>
    </row>
    <row r="4" spans="1:5" x14ac:dyDescent="0.25">
      <c r="A4" s="9">
        <v>45766</v>
      </c>
      <c r="B4" s="9">
        <v>45760</v>
      </c>
      <c r="C4" s="9">
        <v>45766</v>
      </c>
      <c r="D4" t="s">
        <v>42</v>
      </c>
      <c r="E4">
        <v>7</v>
      </c>
    </row>
    <row r="5" spans="1:5" x14ac:dyDescent="0.25">
      <c r="A5" s="9">
        <v>45766</v>
      </c>
      <c r="B5" s="9">
        <v>45753</v>
      </c>
      <c r="C5" s="9">
        <v>45759</v>
      </c>
      <c r="D5" t="s">
        <v>43</v>
      </c>
      <c r="E5">
        <v>7</v>
      </c>
    </row>
    <row r="6" spans="1:5" x14ac:dyDescent="0.25">
      <c r="A6" s="9">
        <v>45766</v>
      </c>
      <c r="B6" s="9">
        <v>45748</v>
      </c>
      <c r="C6" s="9">
        <v>45777</v>
      </c>
      <c r="D6" t="s">
        <v>44</v>
      </c>
      <c r="E6">
        <v>30</v>
      </c>
    </row>
    <row r="7" spans="1:5" x14ac:dyDescent="0.25">
      <c r="A7" s="9">
        <v>45766</v>
      </c>
      <c r="B7" s="9">
        <v>45717</v>
      </c>
      <c r="C7" s="9">
        <v>45747</v>
      </c>
      <c r="D7" t="s">
        <v>45</v>
      </c>
      <c r="E7">
        <v>31</v>
      </c>
    </row>
    <row r="8" spans="1:5" x14ac:dyDescent="0.25">
      <c r="A8" s="9">
        <v>45766</v>
      </c>
      <c r="B8" s="9">
        <v>45658</v>
      </c>
      <c r="C8" s="9">
        <v>46022</v>
      </c>
      <c r="D8" t="s">
        <v>46</v>
      </c>
      <c r="E8">
        <v>365</v>
      </c>
    </row>
    <row r="9" spans="1:5" x14ac:dyDescent="0.25">
      <c r="A9" s="9">
        <v>45766</v>
      </c>
      <c r="B9" s="9"/>
      <c r="C9" s="9"/>
      <c r="D9" t="s">
        <v>47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071CFB-B8DC-490F-BE65-2AD1B532161F}">
  <sheetPr codeName="Sheet2"/>
  <dimension ref="B1:I14"/>
  <sheetViews>
    <sheetView tabSelected="1" workbookViewId="0">
      <selection activeCell="G3" sqref="G3"/>
    </sheetView>
  </sheetViews>
  <sheetFormatPr defaultRowHeight="15" x14ac:dyDescent="0.25"/>
  <cols>
    <col min="2" max="2" width="18.42578125" customWidth="1"/>
    <col min="3" max="3" width="42.7109375" customWidth="1"/>
    <col min="4" max="4" width="17.28515625" customWidth="1"/>
    <col min="5" max="5" width="15.5703125" customWidth="1"/>
    <col min="6" max="6" width="17.42578125" customWidth="1"/>
    <col min="7" max="7" width="15" customWidth="1"/>
    <col min="8" max="8" width="55.5703125" customWidth="1"/>
    <col min="9" max="9" width="17.28515625" customWidth="1"/>
  </cols>
  <sheetData>
    <row r="1" spans="2:9" x14ac:dyDescent="0.25">
      <c r="C1" s="22" t="s">
        <v>62</v>
      </c>
      <c r="D1" s="22"/>
      <c r="E1" s="22"/>
    </row>
    <row r="2" spans="2:9" ht="15.75" thickBot="1" x14ac:dyDescent="0.3">
      <c r="B2" s="1" t="s">
        <v>11</v>
      </c>
      <c r="C2" s="1" t="s">
        <v>12</v>
      </c>
      <c r="D2" s="1" t="s">
        <v>2</v>
      </c>
      <c r="E2" s="1" t="s">
        <v>30</v>
      </c>
      <c r="F2" s="1" t="s">
        <v>29</v>
      </c>
      <c r="G2" s="1" t="s">
        <v>13</v>
      </c>
      <c r="H2" s="1" t="s">
        <v>31</v>
      </c>
      <c r="I2" s="1" t="s">
        <v>32</v>
      </c>
    </row>
    <row r="3" spans="2:9" x14ac:dyDescent="0.25">
      <c r="B3" s="2">
        <v>45766</v>
      </c>
      <c r="C3" s="18" t="s">
        <v>55</v>
      </c>
      <c r="D3" s="17" t="str">
        <f>IFERROR(VLOOKUP(_TBL_LAPTOP_INVENTORY[[#This Row],[INVENTORY ITEM]], INDEX(_TBL_INVENTORY[],,2):INDEX(_TBL_INVENTORY[],,3), 2, FALSE), "")</f>
        <v>Laptop</v>
      </c>
      <c r="E3" s="23">
        <v>20</v>
      </c>
      <c r="F3" s="4">
        <f>IF(_TBL_LAPTOP_INVENTORY[[#This Row],[IN]] &lt;&gt; 0, _TBL_LAPTOP_INVENTORY[[#This Row],[IN]],"")</f>
        <v>20</v>
      </c>
      <c r="G3" s="10"/>
      <c r="H3" s="27"/>
      <c r="I3" s="11"/>
    </row>
    <row r="4" spans="2:9" x14ac:dyDescent="0.25">
      <c r="B4" s="2"/>
      <c r="C4" s="19"/>
      <c r="D4" s="17" t="str">
        <f>IFERROR(VLOOKUP(_TBL_LAPTOP_INVENTORY[[#This Row],[INVENTORY ITEM]], INDEX(_TBL_INVENTORY[],,2):INDEX(_TBL_INVENTORY[],,3), 2, FALSE), "")</f>
        <v/>
      </c>
      <c r="E4" s="24"/>
      <c r="F4" s="4" t="str">
        <f>IF(_TBL_LAPTOP_INVENTORY[[#This Row],[IN]] &lt;&gt; 0, _TBL_LAPTOP_INVENTORY[[#This Row],[IN]],"")</f>
        <v/>
      </c>
      <c r="G4" s="12"/>
      <c r="H4" s="26"/>
      <c r="I4" s="13"/>
    </row>
    <row r="5" spans="2:9" x14ac:dyDescent="0.25">
      <c r="B5" s="2"/>
      <c r="C5" s="19"/>
      <c r="D5" s="17" t="str">
        <f>IFERROR(VLOOKUP(_TBL_LAPTOP_INVENTORY[[#This Row],[INVENTORY ITEM]], INDEX(_TBL_INVENTORY[],,2):INDEX(_TBL_INVENTORY[],,3), 2, FALSE), "")</f>
        <v/>
      </c>
      <c r="E5" s="24"/>
      <c r="F5" s="4" t="str">
        <f>IF(_TBL_LAPTOP_INVENTORY[[#This Row],[IN]] &lt;&gt; 0, _TBL_LAPTOP_INVENTORY[[#This Row],[IN]],"")</f>
        <v/>
      </c>
      <c r="G5" s="12"/>
      <c r="H5" s="26"/>
      <c r="I5" s="13"/>
    </row>
    <row r="6" spans="2:9" x14ac:dyDescent="0.25">
      <c r="B6" s="2"/>
      <c r="C6" s="19"/>
      <c r="D6" s="17" t="str">
        <f>IFERROR(VLOOKUP(_TBL_LAPTOP_INVENTORY[[#This Row],[INVENTORY ITEM]], INDEX(_TBL_INVENTORY[],,2):INDEX(_TBL_INVENTORY[],,3), 2, FALSE), "")</f>
        <v/>
      </c>
      <c r="E6" s="24"/>
      <c r="F6" s="4" t="str">
        <f>IF(_TBL_LAPTOP_INVENTORY[[#This Row],[IN]] &lt;&gt; 0, _TBL_LAPTOP_INVENTORY[[#This Row],[IN]],"")</f>
        <v/>
      </c>
      <c r="G6" s="12"/>
      <c r="H6" s="26"/>
      <c r="I6" s="13"/>
    </row>
    <row r="7" spans="2:9" x14ac:dyDescent="0.25">
      <c r="B7" s="2"/>
      <c r="C7" s="19"/>
      <c r="D7" s="17" t="str">
        <f>IFERROR(VLOOKUP(_TBL_LAPTOP_INVENTORY[[#This Row],[INVENTORY ITEM]], INDEX(_TBL_INVENTORY[],,2):INDEX(_TBL_INVENTORY[],,3), 2, FALSE), "")</f>
        <v/>
      </c>
      <c r="E7" s="24"/>
      <c r="F7" s="4" t="str">
        <f>IF(_TBL_LAPTOP_INVENTORY[[#This Row],[IN]] &lt;&gt; 0, _TBL_LAPTOP_INVENTORY[[#This Row],[IN]],"")</f>
        <v/>
      </c>
      <c r="G7" s="12"/>
      <c r="H7" s="26"/>
      <c r="I7" s="13"/>
    </row>
    <row r="8" spans="2:9" x14ac:dyDescent="0.25">
      <c r="B8" s="2"/>
      <c r="C8" s="19"/>
      <c r="D8" s="17" t="str">
        <f>IFERROR(VLOOKUP(_TBL_LAPTOP_INVENTORY[[#This Row],[INVENTORY ITEM]], INDEX(_TBL_INVENTORY[],,2):INDEX(_TBL_INVENTORY[],,3), 2, FALSE), "")</f>
        <v/>
      </c>
      <c r="E8" s="24"/>
      <c r="F8" s="4" t="str">
        <f>IF(_TBL_LAPTOP_INVENTORY[[#This Row],[IN]] &lt;&gt; 0, _TBL_LAPTOP_INVENTORY[[#This Row],[IN]],"")</f>
        <v/>
      </c>
      <c r="G8" s="12"/>
      <c r="H8" s="26"/>
      <c r="I8" s="13"/>
    </row>
    <row r="9" spans="2:9" x14ac:dyDescent="0.25">
      <c r="B9" s="2"/>
      <c r="C9" s="19"/>
      <c r="D9" s="17" t="str">
        <f>IFERROR(VLOOKUP(_TBL_LAPTOP_INVENTORY[[#This Row],[INVENTORY ITEM]], INDEX(_TBL_INVENTORY[],,2):INDEX(_TBL_INVENTORY[],,3), 2, FALSE), "")</f>
        <v/>
      </c>
      <c r="E9" s="24"/>
      <c r="F9" s="4" t="str">
        <f>IF(_TBL_LAPTOP_INVENTORY[[#This Row],[IN]] &lt;&gt; 0, _TBL_LAPTOP_INVENTORY[[#This Row],[IN]],"")</f>
        <v/>
      </c>
      <c r="G9" s="12"/>
      <c r="H9" s="26"/>
      <c r="I9" s="13"/>
    </row>
    <row r="10" spans="2:9" x14ac:dyDescent="0.25">
      <c r="B10" s="2"/>
      <c r="C10" s="19"/>
      <c r="D10" s="17" t="str">
        <f>IFERROR(VLOOKUP(_TBL_LAPTOP_INVENTORY[[#This Row],[INVENTORY ITEM]], INDEX(_TBL_INVENTORY[],,2):INDEX(_TBL_INVENTORY[],,3), 2, FALSE), "")</f>
        <v/>
      </c>
      <c r="E10" s="24"/>
      <c r="F10" s="4" t="str">
        <f>IF(_TBL_LAPTOP_INVENTORY[[#This Row],[IN]] &lt;&gt; 0, _TBL_LAPTOP_INVENTORY[[#This Row],[IN]],"")</f>
        <v/>
      </c>
      <c r="G10" s="12"/>
      <c r="H10" s="26"/>
      <c r="I10" s="13"/>
    </row>
    <row r="11" spans="2:9" x14ac:dyDescent="0.25">
      <c r="B11" s="2"/>
      <c r="C11" s="19"/>
      <c r="D11" s="17" t="str">
        <f>IFERROR(VLOOKUP(_TBL_LAPTOP_INVENTORY[[#This Row],[INVENTORY ITEM]], INDEX(_TBL_INVENTORY[],,2):INDEX(_TBL_INVENTORY[],,3), 2, FALSE), "")</f>
        <v/>
      </c>
      <c r="E11" s="24"/>
      <c r="F11" s="4" t="str">
        <f>IF(_TBL_LAPTOP_INVENTORY[[#This Row],[IN]] &lt;&gt; 0, _TBL_LAPTOP_INVENTORY[[#This Row],[IN]],"")</f>
        <v/>
      </c>
      <c r="G11" s="12"/>
      <c r="H11" s="26"/>
      <c r="I11" s="13"/>
    </row>
    <row r="12" spans="2:9" ht="15.75" thickBot="1" x14ac:dyDescent="0.3">
      <c r="B12" s="9"/>
      <c r="C12" s="20"/>
      <c r="D12" s="17" t="str">
        <f>IFERROR(VLOOKUP(_TBL_LAPTOP_INVENTORY[[#This Row],[INVENTORY ITEM]], INDEX(_TBL_INVENTORY[],,2):INDEX(_TBL_INVENTORY[],,3), 2, FALSE), "")</f>
        <v/>
      </c>
      <c r="E12" s="25"/>
      <c r="F12" s="4" t="str">
        <f>IF(_TBL_LAPTOP_INVENTORY[[#This Row],[IN]] &lt;&gt; 0, _TBL_LAPTOP_INVENTORY[[#This Row],[IN]],"")</f>
        <v/>
      </c>
      <c r="G12" s="14"/>
      <c r="H12" s="28"/>
      <c r="I12" s="15"/>
    </row>
    <row r="13" spans="2:9" x14ac:dyDescent="0.25">
      <c r="B13" s="1" t="str">
        <f>_xlfn.CONCAT("COUNT: ", SUBTOTAL(103,_TBL_LAPTOP_INVENTORY[DATE]))</f>
        <v>COUNT: 1</v>
      </c>
      <c r="C13" s="6" t="s">
        <v>35</v>
      </c>
      <c r="D13" s="6"/>
      <c r="E13" s="5">
        <f>SUBTOTAL(109,_TBL_LAPTOP_INVENTORY[IN])</f>
        <v>20</v>
      </c>
      <c r="F13" s="5">
        <f>SUBTOTAL(109,_TBL_LAPTOP_INVENTORY[TOTAL])</f>
        <v>20</v>
      </c>
      <c r="G13" s="5">
        <f>SUBTOTAL(109,_TBL_LAPTOP_INVENTORY[BACKJOB])</f>
        <v>0</v>
      </c>
      <c r="H13" s="21"/>
      <c r="I13" s="3"/>
    </row>
    <row r="14" spans="2:9" x14ac:dyDescent="0.25">
      <c r="C14" s="7" t="s">
        <v>36</v>
      </c>
      <c r="D14" s="7"/>
      <c r="E14" s="8">
        <f>SUM(_TBL_LAPTOP_INVENTORY[IN])</f>
        <v>20</v>
      </c>
      <c r="F14" s="8">
        <f>SUM(_TBL_LAPTOP_INVENTORY[TOTAL])</f>
        <v>20</v>
      </c>
      <c r="G14" s="8">
        <f>SUM(_TBL_LAPTOP_INVENTORY[BACKJOB])</f>
        <v>0</v>
      </c>
    </row>
  </sheetData>
  <mergeCells count="1">
    <mergeCell ref="C1:E1"/>
  </mergeCells>
  <dataValidations count="1">
    <dataValidation type="list" allowBlank="1" showInputMessage="1" showErrorMessage="1" sqref="C3:C12" xr:uid="{FC9EEEB7-5DE2-47D8-BC51-64C10AA3C30C}">
      <formula1>NAMES_INVENTORY</formula1>
    </dataValidation>
  </dataValidations>
  <pageMargins left="0.7" right="0.7" top="0.75" bottom="0.75" header="0.3" footer="0.3"/>
  <pageSetup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8316F4A-A9F6-4FC9-876A-E122422B702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_TBL_SPECS</vt:lpstr>
      <vt:lpstr>_TBL_INVENTORY_TYPE</vt:lpstr>
      <vt:lpstr>_TBL_INVENTORY</vt:lpstr>
      <vt:lpstr>_TBL_BRAND</vt:lpstr>
      <vt:lpstr>_TBL_DATES</vt:lpstr>
      <vt:lpstr>INVENTORY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NBS-Lewis</dc:creator>
  <cp:lastModifiedBy>Admin</cp:lastModifiedBy>
  <dcterms:created xsi:type="dcterms:W3CDTF">2015-06-05T18:17:20Z</dcterms:created>
  <dcterms:modified xsi:type="dcterms:W3CDTF">2025-04-19T04:20:56Z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c56578fe-b795-4190-9af8-b8d418a6b6e8</vt:lpwstr>
  </property>
</Properties>
</file>