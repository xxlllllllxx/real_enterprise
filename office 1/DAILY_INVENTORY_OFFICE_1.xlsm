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67095DEF-D3DE-4180-8673-39B405167FDB}" xr6:coauthVersionLast="36" xr6:coauthVersionMax="47" xr10:uidLastSave="{00000000-0000-0000-0000-000000000000}"/>
  <bookViews>
    <workbookView xWindow="-120" yWindow="-120" windowWidth="29040" windowHeight="15720" firstSheet="1" activeTab="6" xr2:uid="{00000000-000D-0000-FFFF-FFFF00000000}"/>
  </bookViews>
  <sheets>
    <sheet name="_TBL_INVENTORY" sheetId="4" state="hidden" r:id="rId1"/>
    <sheet name="_TBL_INVENTORY_TOTAL" sheetId="8" r:id="rId2"/>
    <sheet name="_TBL_ADD_ONS" sheetId="10" state="hidden" r:id="rId3"/>
    <sheet name="_TBL_FREEBIES_SET" sheetId="11" state="hidden" r:id="rId4"/>
    <sheet name="_TBL_SALES_TOTAL" sheetId="13" state="hidden" r:id="rId5"/>
    <sheet name="INVENTORY" sheetId="2" r:id="rId6"/>
    <sheet name="Sheet1" sheetId="14" r:id="rId7"/>
  </sheets>
  <definedNames>
    <definedName name="ExternalData_1" localSheetId="2" hidden="1">_TBL_ADD_ONS!$A$1:$C$8</definedName>
    <definedName name="ExternalData_1" localSheetId="3" hidden="1">_TBL_FREEBIES_SET!$A$1:$E$6</definedName>
    <definedName name="ExternalData_1" localSheetId="1" hidden="1">_TBL_INVENTORY_TOTAL!#REF!</definedName>
    <definedName name="ExternalData_1" localSheetId="4" hidden="1">_TBL_SALES_TOTAL!#REF!</definedName>
    <definedName name="ExternalData_2" localSheetId="0" hidden="1">_TBL_INVENTORY!$A$1:$G$109</definedName>
    <definedName name="ExternalData_2" localSheetId="1" hidden="1">_TBL_INVENTORY_TOTAL!#REF!</definedName>
    <definedName name="ExternalData_2" localSheetId="4" hidden="1">_TBL_SALES_TOTAL!$A$1:$G$4</definedName>
    <definedName name="ExternalData_3" localSheetId="1" hidden="1">_TBL_INVENTORY_TOTAL!$A$1:$F$32</definedName>
    <definedName name="NAMES_INVENTORY">OFFSET(_TBL_INVENTORY[NAME], 0, 0, COUNTA(_TBL_INVENTORY[NAME]), 1)</definedName>
    <definedName name="NAMES_INVENTORY_ITEMS">_TBL_INVENTORY_TOTAL[INVENTORY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2" l="1"/>
  <c r="G34" i="2"/>
  <c r="D48" i="2"/>
  <c r="F48" i="2"/>
  <c r="G48" i="2"/>
  <c r="H48" i="2"/>
  <c r="D49" i="2"/>
  <c r="F49" i="2"/>
  <c r="G49" i="2"/>
  <c r="H49" i="2"/>
  <c r="H3" i="2" l="1"/>
  <c r="D32" i="2"/>
  <c r="D33" i="2"/>
  <c r="D34" i="2"/>
  <c r="D35" i="2"/>
  <c r="D36" i="2"/>
  <c r="D37" i="2"/>
  <c r="D38" i="2"/>
  <c r="D39" i="2"/>
  <c r="F32" i="2"/>
  <c r="F33" i="2"/>
  <c r="F34" i="2"/>
  <c r="F35" i="2"/>
  <c r="F36" i="2"/>
  <c r="F37" i="2"/>
  <c r="F38" i="2"/>
  <c r="F39" i="2"/>
  <c r="G32" i="2"/>
  <c r="G33" i="2"/>
  <c r="G36" i="2"/>
  <c r="G37" i="2"/>
  <c r="G38" i="2"/>
  <c r="G39" i="2"/>
  <c r="H32" i="2"/>
  <c r="H33" i="2"/>
  <c r="H34" i="2"/>
  <c r="H35" i="2"/>
  <c r="H36" i="2"/>
  <c r="H37" i="2"/>
  <c r="H38" i="2"/>
  <c r="H39" i="2"/>
  <c r="D40" i="2"/>
  <c r="D41" i="2"/>
  <c r="D42" i="2"/>
  <c r="D43" i="2"/>
  <c r="F40" i="2"/>
  <c r="F41" i="2"/>
  <c r="F42" i="2"/>
  <c r="F43" i="2"/>
  <c r="G40" i="2"/>
  <c r="G41" i="2"/>
  <c r="G42" i="2"/>
  <c r="G43" i="2"/>
  <c r="H40" i="2"/>
  <c r="H41" i="2"/>
  <c r="H42" i="2"/>
  <c r="H43" i="2"/>
  <c r="D44" i="2"/>
  <c r="D45" i="2"/>
  <c r="F44" i="2"/>
  <c r="F45" i="2"/>
  <c r="G44" i="2"/>
  <c r="G45" i="2"/>
  <c r="H44" i="2"/>
  <c r="H45" i="2"/>
  <c r="D46" i="2"/>
  <c r="F46" i="2"/>
  <c r="G46" i="2"/>
  <c r="H46" i="2"/>
  <c r="D47" i="2"/>
  <c r="F47" i="2"/>
  <c r="G47" i="2"/>
  <c r="H47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D18" i="2"/>
  <c r="D19" i="2"/>
  <c r="D20" i="2"/>
  <c r="D21" i="2"/>
  <c r="D22" i="2"/>
  <c r="D23" i="2"/>
  <c r="D24" i="2"/>
  <c r="F18" i="2"/>
  <c r="F19" i="2"/>
  <c r="F20" i="2"/>
  <c r="F21" i="2"/>
  <c r="F22" i="2"/>
  <c r="F23" i="2"/>
  <c r="F24" i="2"/>
  <c r="G18" i="2"/>
  <c r="G19" i="2"/>
  <c r="G20" i="2"/>
  <c r="G21" i="2"/>
  <c r="G22" i="2"/>
  <c r="G23" i="2"/>
  <c r="G24" i="2"/>
  <c r="H18" i="2"/>
  <c r="H19" i="2"/>
  <c r="H20" i="2"/>
  <c r="H21" i="2"/>
  <c r="H22" i="2"/>
  <c r="H23" i="2"/>
  <c r="H24" i="2"/>
  <c r="G25" i="2" l="1"/>
  <c r="G26" i="2"/>
  <c r="G27" i="2"/>
  <c r="G28" i="2"/>
  <c r="G29" i="2"/>
  <c r="G30" i="2"/>
  <c r="G31" i="2"/>
  <c r="G3" i="2"/>
  <c r="D25" i="2"/>
  <c r="D26" i="2"/>
  <c r="D27" i="2"/>
  <c r="D28" i="2"/>
  <c r="D29" i="2"/>
  <c r="D30" i="2"/>
  <c r="D31" i="2"/>
  <c r="D3" i="2"/>
  <c r="H25" i="2"/>
  <c r="H26" i="2"/>
  <c r="H27" i="2"/>
  <c r="H28" i="2"/>
  <c r="H29" i="2"/>
  <c r="H30" i="2"/>
  <c r="H31" i="2"/>
  <c r="F3" i="2" l="1"/>
  <c r="F25" i="2"/>
  <c r="F26" i="2"/>
  <c r="F27" i="2"/>
  <c r="F28" i="2"/>
  <c r="F29" i="2"/>
  <c r="F30" i="2"/>
  <c r="F31" i="2"/>
  <c r="I50" i="2" l="1"/>
  <c r="E50" i="2"/>
  <c r="I51" i="2"/>
  <c r="E51" i="2"/>
  <c r="B50" i="2"/>
  <c r="F50" i="2" l="1"/>
  <c r="F5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2B97DFBD-96C3-486B-BF18-303D76183DE0}" keepAlive="1" name="Query - _TBL_INVENTORY_TOTAL" description="Connection to the '_TBL_INVENTORY_TOTAL' query in the workbook." type="5" refreshedVersion="6" background="1" saveData="1">
    <dbPr connection="Provider=Microsoft.Mashup.OleDb.1;Data Source=$Workbook$;Location=_TBL_INVENTORY_TOTAL;Extended Properties=&quot;&quot;" command="SELECT * FROM [_TBL_INVENTORY_TOTAL]"/>
  </connection>
  <connection id="5" xr16:uid="{82399F67-89F1-4E46-ADFD-FDAEBE258A1B}" keepAlive="1" name="Query - _TBL_SALES_TOTAL" description="Connection to the '_TBL_SALES_TOTAL' query in the workbook." type="5" refreshedVersion="6" background="1" saveData="1">
    <dbPr connection="Provider=Microsoft.Mashup.OleDb.1;Data Source=$Workbook$;Location=_TBL_SALES_TOTAL;Extended Properties=&quot;&quot;" command="SELECT * FROM [_TBL_SALES_TOTAL]"/>
  </connection>
</connections>
</file>

<file path=xl/sharedStrings.xml><?xml version="1.0" encoding="utf-8"?>
<sst xmlns="http://schemas.openxmlformats.org/spreadsheetml/2006/main" count="603" uniqueCount="197">
  <si>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</si>
  <si>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</si>
  <si>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</si>
  <si>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</si>
  <si>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</si>
  <si>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</si>
  <si>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</si>
  <si>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</si>
  <si>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</si>
  <si>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</si>
  <si>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</si>
  <si>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</si>
  <si>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</si>
  <si>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</si>
  <si>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</si>
  <si>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</si>
  <si>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</si>
  <si>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</si>
  <si>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</si>
  <si>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</si>
  <si>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</si>
  <si>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</si>
  <si>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</si>
  <si>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</si>
  <si>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</si>
  <si>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</si>
  <si>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</si>
  <si>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</si>
  <si>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</si>
  <si>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</si>
  <si>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</si>
  <si>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</si>
  <si>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</si>
  <si>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</si>
  <si>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</si>
  <si>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</si>
  <si>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</si>
  <si>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</si>
  <si>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</si>
  <si>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</si>
  <si>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</si>
  <si>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</si>
  <si>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</si>
  <si>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</si>
  <si>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</si>
  <si>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</si>
  <si>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</si>
  <si>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</si>
  <si>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</si>
  <si>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</si>
  <si>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</si>
  <si>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</si>
  <si>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</si>
  <si>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</si>
  <si>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</si>
  <si>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</si>
  <si>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</si>
  <si>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</si>
  <si>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</si>
  <si>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</si>
  <si>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</si>
  <si>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</si>
  <si>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</si>
  <si>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</si>
  <si>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</si>
  <si>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</si>
  <si>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</si>
  <si>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</si>
  <si>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</si>
  <si>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</si>
  <si>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</si>
  <si>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</si>
  <si>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</si>
  <si>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</si>
  <si>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</si>
  <si>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</si>
  <si>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</si>
  <si>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</si>
  <si>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</si>
  <si>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</si>
  <si>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</si>
  <si>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</si>
  <si>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</si>
  <si>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</si>
  <si>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</si>
  <si>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</si>
  <si>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</si>
  <si>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</si>
  <si>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</si>
  <si>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</si>
  <si>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</si>
  <si>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</si>
  <si>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</si>
  <si>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</si>
  <si>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</si>
  <si>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</si>
  <si>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</si>
  <si>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</si>
  <si>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</si>
  <si>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</si>
  <si>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</si>
  <si>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</si>
  <si>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</si>
  <si>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</si>
  <si>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</si>
  <si>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</si>
  <si>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</si>
  <si>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</si>
  <si>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</si>
  <si>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</si>
  <si>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</si>
  <si>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</si>
  <si>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</si>
  <si>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</si>
  <si>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</si>
  <si>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</si>
  <si>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</si>
  <si>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</si>
  <si>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</si>
  <si>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</si>
  <si>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</si>
  <si>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</si>
  <si>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</si>
  <si>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</si>
  <si>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</si>
  <si>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</si>
  <si>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</si>
  <si>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</si>
  <si>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</si>
  <si>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</si>
  <si>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</si>
  <si>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</si>
  <si>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</si>
  <si>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</si>
  <si>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</si>
  <si>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</si>
  <si>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</si>
  <si>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</si>
  <si>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</si>
  <si>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</si>
  <si>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</si>
  <si>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</si>
  <si>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</si>
  <si>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</si>
  <si>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</si>
  <si>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</si>
  <si>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</si>
  <si>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</si>
  <si>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</si>
  <si>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</si>
  <si>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</si>
  <si>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</si>
  <si>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</si>
  <si>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</si>
  <si>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</si>
  <si>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</si>
  <si>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</si>
  <si>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</si>
  <si>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</si>
  <si>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</si>
  <si>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</si>
  <si>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</si>
  <si>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</si>
  <si>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</si>
  <si>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</si>
  <si>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</si>
  <si>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</si>
  <si>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</si>
  <si>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</si>
  <si>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PRINTER SET</t>
  </si>
  <si>
    <t>VGA, Laminator, Sheets</t>
  </si>
  <si>
    <t>PRICE</t>
  </si>
  <si>
    <t>FREEBIES</t>
  </si>
  <si>
    <t>Mouse, table, Laptop Bag, Laptop Brush, Laptop Stand, Charger, Mouse Pad, P47 Headphone</t>
  </si>
  <si>
    <t>ADD ONS</t>
  </si>
  <si>
    <t>ACER REGULAR 4 / 16</t>
  </si>
  <si>
    <t>ASUS REGULAR 4 / 16</t>
  </si>
  <si>
    <t>ASUS REGULAR 4 / 32</t>
  </si>
  <si>
    <t>G 2010</t>
  </si>
  <si>
    <t>WINDOWS</t>
  </si>
  <si>
    <t>Computer Basic Set</t>
  </si>
  <si>
    <t>Keyboard/mouse, wi-fi dongle, speaker, vga, powercord, mousepad</t>
  </si>
  <si>
    <t>laminator</t>
  </si>
  <si>
    <t/>
  </si>
  <si>
    <t>paper cutter</t>
  </si>
  <si>
    <t>stylus pen</t>
  </si>
  <si>
    <t>action cam</t>
  </si>
  <si>
    <t>7 LBC Freebies</t>
  </si>
  <si>
    <t>speaker, mouse, mousepad, p47 headphone, stand, brush, bag</t>
  </si>
  <si>
    <t>7 Laptop Freebies</t>
  </si>
  <si>
    <t>laptop table, mouse, mousepad, p47 headphone, stand, brush, bag</t>
  </si>
  <si>
    <t>big box</t>
  </si>
  <si>
    <t>computer table</t>
  </si>
  <si>
    <t>keyboard &amp; mouse</t>
  </si>
  <si>
    <t>powercord</t>
  </si>
  <si>
    <t>vga</t>
  </si>
  <si>
    <t>LENOVO TS 4 /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</si>
</sst>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9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numFmt numFmtId="27" formatCode="m/d/yyyy\ h:mm"/>
    </dxf>
    <dxf>
      <numFmt numFmtId="19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7CA71798-B9C2-448F-875A-6A14296A27A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10">
    <queryTableFields count="5">
      <queryTableField id="1" name="ID" tableColumnId="1"/>
      <queryTableField id="2" name="FREEBIES NAME" tableColumnId="2"/>
      <queryTableField id="6" name="PRICE" tableColumnId="4"/>
      <queryTableField id="7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3D94302-1ED0-4388-89B2-45CE98AE580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MAIN PRODUCT" tableColumnId="2"/>
      <queryTableField id="3" name="PRICE DEFAULT" tableColumnId="3"/>
      <queryTableField id="4" name="Add Ons 1" tableColumnId="4"/>
      <queryTableField id="5" name="Add Ons 2" tableColumnId="5"/>
      <queryTableField id="6" name="Add Ons 3" tableColumnId="6"/>
      <queryTableField id="7" name="Freebie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9" tableType="queryTable" totalsRowShown="0">
  <autoFilter ref="A1:G10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26"/>
    <tableColumn id="3" xr3:uid="{076104D8-C9E8-451B-A965-B0F52E829B97}" uniqueName="3" name="TYPE" queryTableFieldId="3" dataDxfId="25"/>
    <tableColumn id="4" xr3:uid="{EED15770-5ACA-47A3-90AC-004FB47CC5A3}" uniqueName="4" name="BRAND" queryTableFieldId="4" dataDxfId="24"/>
    <tableColumn id="5" xr3:uid="{3006AD62-9893-4204-AD0A-4EF3B9BE605E}" uniqueName="5" name="CODE" queryTableFieldId="5" dataDxfId="23"/>
    <tableColumn id="7" xr3:uid="{755E8365-A27A-40BA-BC6C-656013F5F0FA}" uniqueName="7" name="VARIANT" queryTableFieldId="7"/>
    <tableColumn id="6" xr3:uid="{895EF583-4F50-4211-A9B8-9D6A9E4977E5}" uniqueName="6" name="SPECS" queryTableFieldId="6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DFFED-044D-46BF-AFC1-613F27E47CDE}" name="_TBL_INVENTORY_TOTAL" displayName="_TBL_INVENTORY_TOTAL" ref="A1:F32" tableType="queryTable" totalsRowShown="0">
  <autoFilter ref="A1:F32" xr:uid="{FE7D3CD1-6982-40A6-89E3-4EBC05E8AFDF}"/>
  <tableColumns count="6">
    <tableColumn id="1" xr3:uid="{9C249E6F-0856-4EB5-A363-0B53C4870275}" uniqueName="1" name="DATE" queryTableFieldId="1" dataDxfId="21"/>
    <tableColumn id="2" xr3:uid="{AE6E4E97-D271-4EDD-9CAD-F8AA56AA244B}" uniqueName="2" name="INVENTORY ITEM" queryTableFieldId="2"/>
    <tableColumn id="3" xr3:uid="{5718A11B-CE77-48E2-ABAB-2EDF819005B0}" uniqueName="3" name="TYPE" queryTableFieldId="3"/>
    <tableColumn id="4" xr3:uid="{D0888ACB-90C5-4168-86EC-20870AA15B64}" uniqueName="4" name="OUT" queryTableFieldId="4"/>
    <tableColumn id="5" xr3:uid="{3351E4B8-9334-42A7-B468-0E12377C8E62}" uniqueName="5" name="REMARKS" queryTableFieldId="5"/>
    <tableColumn id="6" xr3:uid="{E8EFF6AB-DD0F-476D-8638-F2162728B777}" uniqueName="6" name="BOX I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8" tableType="queryTable" totalsRowShown="0">
  <autoFilter ref="A1:C8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E6" tableType="queryTable" totalsRowShown="0">
  <autoFilter ref="A1:E6" xr:uid="{CF1DB815-BC6A-46F1-A46E-D87A4899A757}"/>
  <tableColumns count="5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CAE13350-F267-41A9-A339-E0C7508618A5}" uniqueName="4" name="PRICE" queryTableFieldId="6"/>
    <tableColumn id="5" xr3:uid="{9A5B9F08-54E9-4D2F-BC90-2D0A39313102}" uniqueName="5" name="TYPE" queryTableFieldId="7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89E2F1-8ADD-4141-ACAA-CE6CC25E04DC}" name="_TBL_SALES_TOTAL" displayName="_TBL_SALES_TOTAL" ref="A1:G4" tableType="queryTable" totalsRowShown="0">
  <autoFilter ref="A1:G4" xr:uid="{89CB2FA6-F4F0-48F6-A59F-5238096F35F2}"/>
  <tableColumns count="7">
    <tableColumn id="1" xr3:uid="{4135A25D-58B2-4F0B-9096-8DE2A2FB4782}" uniqueName="1" name="DATE" queryTableFieldId="1" dataDxfId="20"/>
    <tableColumn id="2" xr3:uid="{60306C98-1C42-470B-AD63-BE32ACB63502}" uniqueName="2" name="MAIN PRODUCT" queryTableFieldId="2"/>
    <tableColumn id="3" xr3:uid="{6910D3BB-A69C-4EED-94E1-DCDDFE7208A2}" uniqueName="3" name="PRICE DEFAULT" queryTableFieldId="3"/>
    <tableColumn id="4" xr3:uid="{161DC965-FB7C-4DCB-A701-D0BDE3171653}" uniqueName="4" name="Add Ons 1" queryTableFieldId="4"/>
    <tableColumn id="5" xr3:uid="{275E0A74-3F1E-4A71-B467-99DCA82BEDBA}" uniqueName="5" name="Add Ons 2" queryTableFieldId="5"/>
    <tableColumn id="6" xr3:uid="{C402658B-4387-47AE-A3A1-70AF336D036F}" uniqueName="6" name="Add Ons 3" queryTableFieldId="6"/>
    <tableColumn id="7" xr3:uid="{2F4649E5-1BF3-44B3-A6DA-03E97517ED93}" uniqueName="7" name="Freebie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50" totalsRowCount="1" headerRowDxfId="28" dataDxfId="27">
  <autoFilter ref="B2:K49" xr:uid="{11196D4F-0C08-44E6-8845-054A162CF400}"/>
  <tableColumns count="10">
    <tableColumn id="1" xr3:uid="{7E5944E0-EEF7-48BA-9C65-2A065AAFA2D9}" name="DATE" totalsRowFunction="custom" dataDxfId="19" totalsRowDxfId="9">
      <totalsRowFormula>_xlfn.CONCAT("COUNT: ", SUBTOTAL(103,_TBL_LAPTOP_INVENTORY[DATE]))</totalsRowFormula>
    </tableColumn>
    <tableColumn id="2" xr3:uid="{6346439F-B17B-42E4-B169-E92F350D30A5}" name="INVENTORY ITEM" totalsRowLabel="TOTAL: " dataDxfId="18" totalsRowDxfId="8"/>
    <tableColumn id="3" xr3:uid="{1EB83D46-47C2-4650-9EFD-5BC25AF91D98}" name="TYPE" dataDxfId="17" totalsRowDxfId="7">
      <calculatedColumnFormula>IFERROR(VLOOKUP(_TBL_LAPTOP_INVENTORY[[#This Row],[INVENTORY ITEM]],_TBL_INVENTORY_TOTAL[[INVENTORY ITEM]:[TYPE]], 2, FALSE), "")</calculatedColumnFormula>
    </tableColumn>
    <tableColumn id="4" xr3:uid="{95CD9087-654C-4E2A-AF3A-261436977333}" name="IN" totalsRowFunction="sum" dataDxfId="16" totalsRowDxfId="6"/>
    <tableColumn id="7" xr3:uid="{A2774850-F5E8-4FA1-8C17-FE6EEC4F8D73}" name="TOTAL" totalsRowFunction="sum" dataDxfId="15" totalsRowDxfId="5">
      <calculatedColumnFormula>IF(_TBL_LAPTOP_INVENTORY[[#This Row],[IN]] &lt;&gt; 0, _TBL_LAPTOP_INVENTORY[[#This Row],[IN]],"")</calculatedColumnFormula>
    </tableColumn>
    <tableColumn id="6" xr3:uid="{7B30A78A-5F63-4277-97D2-7BBA168939D7}" name="CURRENT STOCK" dataDxfId="14" totalsRowDxfId="4">
      <calculatedColumnFormula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calculatedColumnFormula>
    </tableColumn>
    <tableColumn id="5" xr3:uid="{F9B5002D-09AE-4A0A-AFEA-D020AB4F85E7}" name="VALID" dataDxfId="13" totalsRowDxfId="3">
      <calculatedColumnFormula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calculatedColumnFormula>
    </tableColumn>
    <tableColumn id="8" xr3:uid="{3BEEB058-8C1B-4F3B-A112-E1C3BF3C5795}" name="BACKJOB" totalsRowFunction="sum" dataDxfId="12" totalsRowDxfId="2"/>
    <tableColumn id="10" xr3:uid="{1B6A8F81-4CD3-412F-B3A2-C032710C5771}" name="REMARKS" dataDxfId="11" totalsRowDxfId="1"/>
    <tableColumn id="12" xr3:uid="{161DBC59-E0E9-488B-9D75-AD60C50E18B7}" name="BOX ID" dataDxfId="10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9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3" t="s">
        <v>46</v>
      </c>
      <c r="C2" s="13" t="s">
        <v>6</v>
      </c>
      <c r="D2" s="13" t="s">
        <v>7</v>
      </c>
      <c r="E2" s="13"/>
      <c r="F2" t="s">
        <v>28</v>
      </c>
      <c r="G2" s="13" t="s">
        <v>23</v>
      </c>
    </row>
    <row r="3" spans="1:7" x14ac:dyDescent="0.25">
      <c r="A3">
        <v>2</v>
      </c>
      <c r="B3" s="13" t="s">
        <v>38</v>
      </c>
      <c r="C3" s="13" t="s">
        <v>6</v>
      </c>
      <c r="D3" s="13" t="s">
        <v>7</v>
      </c>
      <c r="E3" s="13"/>
      <c r="F3" t="s">
        <v>28</v>
      </c>
      <c r="G3" s="13" t="s">
        <v>24</v>
      </c>
    </row>
    <row r="4" spans="1:7" x14ac:dyDescent="0.25">
      <c r="A4">
        <v>3</v>
      </c>
      <c r="B4" s="13" t="s">
        <v>39</v>
      </c>
      <c r="C4" s="13" t="s">
        <v>6</v>
      </c>
      <c r="D4" s="13" t="s">
        <v>7</v>
      </c>
      <c r="E4" s="13"/>
      <c r="F4" t="s">
        <v>28</v>
      </c>
      <c r="G4" s="13" t="s">
        <v>25</v>
      </c>
    </row>
    <row r="5" spans="1:7" x14ac:dyDescent="0.25">
      <c r="A5">
        <v>4</v>
      </c>
      <c r="B5" s="13" t="s">
        <v>29</v>
      </c>
      <c r="C5" s="13" t="s">
        <v>6</v>
      </c>
      <c r="D5" s="13" t="s">
        <v>8</v>
      </c>
      <c r="E5" s="13"/>
      <c r="F5" t="s">
        <v>28</v>
      </c>
      <c r="G5" s="13" t="s">
        <v>24</v>
      </c>
    </row>
    <row r="6" spans="1:7" x14ac:dyDescent="0.25">
      <c r="A6">
        <v>5</v>
      </c>
      <c r="B6" s="13" t="s">
        <v>47</v>
      </c>
      <c r="C6" s="13" t="s">
        <v>6</v>
      </c>
      <c r="D6" s="13" t="s">
        <v>8</v>
      </c>
      <c r="E6" s="13"/>
      <c r="F6" t="s">
        <v>28</v>
      </c>
      <c r="G6" s="13" t="s">
        <v>25</v>
      </c>
    </row>
    <row r="7" spans="1:7" x14ac:dyDescent="0.25">
      <c r="A7">
        <v>6</v>
      </c>
      <c r="B7" s="13" t="s">
        <v>40</v>
      </c>
      <c r="C7" s="13" t="s">
        <v>6</v>
      </c>
      <c r="D7" s="13" t="s">
        <v>48</v>
      </c>
      <c r="E7" s="13"/>
      <c r="F7" t="s">
        <v>28</v>
      </c>
      <c r="G7" s="13" t="s">
        <v>24</v>
      </c>
    </row>
    <row r="8" spans="1:7" x14ac:dyDescent="0.25">
      <c r="A8">
        <v>7</v>
      </c>
      <c r="B8" s="13" t="s">
        <v>49</v>
      </c>
      <c r="C8" s="13" t="s">
        <v>6</v>
      </c>
      <c r="D8" s="13" t="s">
        <v>14</v>
      </c>
      <c r="E8" s="13"/>
      <c r="F8" t="s">
        <v>28</v>
      </c>
      <c r="G8" s="13" t="s">
        <v>24</v>
      </c>
    </row>
    <row r="9" spans="1:7" x14ac:dyDescent="0.25">
      <c r="A9">
        <v>8</v>
      </c>
      <c r="B9" s="13" t="s">
        <v>50</v>
      </c>
      <c r="C9" s="13" t="s">
        <v>6</v>
      </c>
      <c r="D9" s="13" t="s">
        <v>14</v>
      </c>
      <c r="E9" s="13"/>
      <c r="F9" t="s">
        <v>28</v>
      </c>
      <c r="G9" s="13" t="s">
        <v>25</v>
      </c>
    </row>
    <row r="10" spans="1:7" x14ac:dyDescent="0.25">
      <c r="A10">
        <v>9</v>
      </c>
      <c r="B10" s="13" t="s">
        <v>175</v>
      </c>
      <c r="C10" s="13" t="s">
        <v>6</v>
      </c>
      <c r="D10" s="13" t="s">
        <v>12</v>
      </c>
      <c r="E10" s="13"/>
      <c r="F10" t="s">
        <v>28</v>
      </c>
      <c r="G10" s="13" t="s">
        <v>24</v>
      </c>
    </row>
    <row r="11" spans="1:7" x14ac:dyDescent="0.25">
      <c r="A11">
        <v>10</v>
      </c>
      <c r="B11" s="13" t="s">
        <v>176</v>
      </c>
      <c r="C11" s="13" t="s">
        <v>6</v>
      </c>
      <c r="D11" s="13" t="s">
        <v>13</v>
      </c>
      <c r="E11" s="13"/>
      <c r="F11" t="s">
        <v>28</v>
      </c>
      <c r="G11" s="13" t="s">
        <v>24</v>
      </c>
    </row>
    <row r="12" spans="1:7" x14ac:dyDescent="0.25">
      <c r="A12">
        <v>11</v>
      </c>
      <c r="B12" s="13" t="s">
        <v>177</v>
      </c>
      <c r="C12" s="13" t="s">
        <v>6</v>
      </c>
      <c r="D12" s="13" t="s">
        <v>13</v>
      </c>
      <c r="E12" s="13"/>
      <c r="F12" t="s">
        <v>28</v>
      </c>
      <c r="G12" s="13" t="s">
        <v>25</v>
      </c>
    </row>
    <row r="13" spans="1:7" x14ac:dyDescent="0.25">
      <c r="A13">
        <v>12</v>
      </c>
      <c r="B13" s="13" t="s">
        <v>30</v>
      </c>
      <c r="C13" s="13" t="s">
        <v>6</v>
      </c>
      <c r="D13" s="13" t="s">
        <v>8</v>
      </c>
      <c r="E13" s="13"/>
      <c r="F13" t="s">
        <v>31</v>
      </c>
      <c r="G13" s="13" t="s">
        <v>24</v>
      </c>
    </row>
    <row r="14" spans="1:7" x14ac:dyDescent="0.25">
      <c r="A14">
        <v>13</v>
      </c>
      <c r="B14" s="13" t="s">
        <v>51</v>
      </c>
      <c r="C14" s="13" t="s">
        <v>6</v>
      </c>
      <c r="D14" s="13" t="s">
        <v>8</v>
      </c>
      <c r="E14" s="13"/>
      <c r="F14" t="s">
        <v>31</v>
      </c>
      <c r="G14" s="13" t="s">
        <v>25</v>
      </c>
    </row>
    <row r="15" spans="1:7" x14ac:dyDescent="0.25">
      <c r="A15">
        <v>14</v>
      </c>
      <c r="B15" s="13" t="s">
        <v>52</v>
      </c>
      <c r="C15" s="13" t="s">
        <v>6</v>
      </c>
      <c r="D15" s="13" t="s">
        <v>7</v>
      </c>
      <c r="E15" s="13"/>
      <c r="F15" t="s">
        <v>31</v>
      </c>
      <c r="G15" s="13" t="s">
        <v>24</v>
      </c>
    </row>
    <row r="16" spans="1:7" x14ac:dyDescent="0.25">
      <c r="A16">
        <v>15</v>
      </c>
      <c r="B16" s="13" t="s">
        <v>53</v>
      </c>
      <c r="C16" s="13" t="s">
        <v>6</v>
      </c>
      <c r="D16" s="13" t="s">
        <v>7</v>
      </c>
      <c r="E16" s="13"/>
      <c r="F16" t="s">
        <v>31</v>
      </c>
      <c r="G16" s="13" t="s">
        <v>25</v>
      </c>
    </row>
    <row r="17" spans="1:7" x14ac:dyDescent="0.25">
      <c r="A17">
        <v>16</v>
      </c>
      <c r="B17" s="13" t="s">
        <v>54</v>
      </c>
      <c r="C17" s="13" t="s">
        <v>6</v>
      </c>
      <c r="D17" s="13" t="s">
        <v>12</v>
      </c>
      <c r="E17" s="13"/>
      <c r="F17" t="s">
        <v>31</v>
      </c>
      <c r="G17" s="13" t="s">
        <v>25</v>
      </c>
    </row>
    <row r="18" spans="1:7" x14ac:dyDescent="0.25">
      <c r="A18">
        <v>17</v>
      </c>
      <c r="B18" s="13" t="s">
        <v>55</v>
      </c>
      <c r="C18" s="13" t="s">
        <v>6</v>
      </c>
      <c r="D18" s="13" t="s">
        <v>12</v>
      </c>
      <c r="E18" s="13"/>
      <c r="F18" t="s">
        <v>31</v>
      </c>
      <c r="G18" s="13" t="s">
        <v>24</v>
      </c>
    </row>
    <row r="19" spans="1:7" x14ac:dyDescent="0.25">
      <c r="A19">
        <v>18</v>
      </c>
      <c r="B19" s="13" t="s">
        <v>56</v>
      </c>
      <c r="C19" s="13" t="s">
        <v>6</v>
      </c>
      <c r="D19" s="13" t="s">
        <v>14</v>
      </c>
      <c r="E19" s="13"/>
      <c r="F19" t="s">
        <v>31</v>
      </c>
      <c r="G19" s="13" t="s">
        <v>24</v>
      </c>
    </row>
    <row r="20" spans="1:7" x14ac:dyDescent="0.25">
      <c r="A20">
        <v>19</v>
      </c>
      <c r="B20" s="13" t="s">
        <v>57</v>
      </c>
      <c r="C20" s="13" t="s">
        <v>6</v>
      </c>
      <c r="D20" s="13" t="s">
        <v>48</v>
      </c>
      <c r="E20" s="13"/>
      <c r="F20" t="s">
        <v>31</v>
      </c>
      <c r="G20" s="13" t="s">
        <v>25</v>
      </c>
    </row>
    <row r="21" spans="1:7" x14ac:dyDescent="0.25">
      <c r="A21">
        <v>20</v>
      </c>
      <c r="B21" s="13" t="s">
        <v>58</v>
      </c>
      <c r="C21" s="13" t="s">
        <v>6</v>
      </c>
      <c r="D21" s="13" t="s">
        <v>7</v>
      </c>
      <c r="E21" s="13"/>
      <c r="F21" t="s">
        <v>33</v>
      </c>
      <c r="G21" s="13" t="s">
        <v>24</v>
      </c>
    </row>
    <row r="22" spans="1:7" x14ac:dyDescent="0.25">
      <c r="A22">
        <v>21</v>
      </c>
      <c r="B22" s="13" t="s">
        <v>59</v>
      </c>
      <c r="C22" s="13" t="s">
        <v>6</v>
      </c>
      <c r="D22" s="13" t="s">
        <v>8</v>
      </c>
      <c r="E22" s="13"/>
      <c r="F22" t="s">
        <v>33</v>
      </c>
      <c r="G22" s="13" t="s">
        <v>23</v>
      </c>
    </row>
    <row r="23" spans="1:7" x14ac:dyDescent="0.25">
      <c r="A23">
        <v>22</v>
      </c>
      <c r="B23" s="13" t="s">
        <v>32</v>
      </c>
      <c r="C23" s="13" t="s">
        <v>6</v>
      </c>
      <c r="D23" s="13" t="s">
        <v>8</v>
      </c>
      <c r="E23" s="13"/>
      <c r="F23" t="s">
        <v>33</v>
      </c>
      <c r="G23" s="13" t="s">
        <v>24</v>
      </c>
    </row>
    <row r="24" spans="1:7" x14ac:dyDescent="0.25">
      <c r="A24">
        <v>23</v>
      </c>
      <c r="B24" s="13" t="s">
        <v>60</v>
      </c>
      <c r="C24" s="13" t="s">
        <v>6</v>
      </c>
      <c r="D24" s="13" t="s">
        <v>8</v>
      </c>
      <c r="E24" s="13"/>
      <c r="F24" t="s">
        <v>33</v>
      </c>
      <c r="G24" s="13" t="s">
        <v>25</v>
      </c>
    </row>
    <row r="25" spans="1:7" x14ac:dyDescent="0.25">
      <c r="A25">
        <v>24</v>
      </c>
      <c r="B25" s="13" t="s">
        <v>61</v>
      </c>
      <c r="C25" s="13" t="s">
        <v>6</v>
      </c>
      <c r="D25" s="13" t="s">
        <v>8</v>
      </c>
      <c r="E25" s="13"/>
      <c r="F25" t="s">
        <v>33</v>
      </c>
      <c r="G25" s="13" t="s">
        <v>62</v>
      </c>
    </row>
    <row r="26" spans="1:7" x14ac:dyDescent="0.25">
      <c r="A26">
        <v>25</v>
      </c>
      <c r="B26" s="13" t="s">
        <v>63</v>
      </c>
      <c r="C26" s="13" t="s">
        <v>6</v>
      </c>
      <c r="D26" s="13" t="s">
        <v>8</v>
      </c>
      <c r="E26" s="13"/>
      <c r="F26" t="s">
        <v>33</v>
      </c>
      <c r="G26" s="13" t="s">
        <v>64</v>
      </c>
    </row>
    <row r="27" spans="1:7" x14ac:dyDescent="0.25">
      <c r="A27">
        <v>26</v>
      </c>
      <c r="B27" s="13" t="s">
        <v>65</v>
      </c>
      <c r="C27" s="13" t="s">
        <v>6</v>
      </c>
      <c r="D27" s="13" t="s">
        <v>12</v>
      </c>
      <c r="E27" s="13"/>
      <c r="F27" t="s">
        <v>33</v>
      </c>
      <c r="G27" s="13" t="s">
        <v>23</v>
      </c>
    </row>
    <row r="28" spans="1:7" x14ac:dyDescent="0.25">
      <c r="A28">
        <v>27</v>
      </c>
      <c r="B28" s="13" t="s">
        <v>66</v>
      </c>
      <c r="C28" s="13" t="s">
        <v>6</v>
      </c>
      <c r="D28" s="13" t="s">
        <v>12</v>
      </c>
      <c r="E28" s="13"/>
      <c r="F28" t="s">
        <v>33</v>
      </c>
      <c r="G28" s="13" t="s">
        <v>24</v>
      </c>
    </row>
    <row r="29" spans="1:7" x14ac:dyDescent="0.25">
      <c r="A29">
        <v>28</v>
      </c>
      <c r="B29" s="13" t="s">
        <v>67</v>
      </c>
      <c r="C29" s="13" t="s">
        <v>6</v>
      </c>
      <c r="D29" s="13" t="s">
        <v>13</v>
      </c>
      <c r="E29" s="13"/>
      <c r="F29" t="s">
        <v>33</v>
      </c>
      <c r="G29" s="13" t="s">
        <v>23</v>
      </c>
    </row>
    <row r="30" spans="1:7" x14ac:dyDescent="0.25">
      <c r="A30">
        <v>29</v>
      </c>
      <c r="B30" s="13" t="s">
        <v>68</v>
      </c>
      <c r="C30" s="13" t="s">
        <v>6</v>
      </c>
      <c r="D30" s="13" t="s">
        <v>14</v>
      </c>
      <c r="E30" s="13"/>
      <c r="F30" t="s">
        <v>33</v>
      </c>
      <c r="G30" s="13" t="s">
        <v>24</v>
      </c>
    </row>
    <row r="31" spans="1:7" x14ac:dyDescent="0.25">
      <c r="A31">
        <v>30</v>
      </c>
      <c r="B31" s="13" t="s">
        <v>69</v>
      </c>
      <c r="C31" s="13" t="s">
        <v>6</v>
      </c>
      <c r="D31" s="13" t="s">
        <v>7</v>
      </c>
      <c r="E31" s="13"/>
      <c r="F31" t="s">
        <v>70</v>
      </c>
      <c r="G31" s="13" t="s">
        <v>24</v>
      </c>
    </row>
    <row r="32" spans="1:7" x14ac:dyDescent="0.25">
      <c r="A32">
        <v>31</v>
      </c>
      <c r="B32" s="13" t="s">
        <v>71</v>
      </c>
      <c r="C32" s="13" t="s">
        <v>6</v>
      </c>
      <c r="D32" s="13" t="s">
        <v>7</v>
      </c>
      <c r="E32" s="13"/>
      <c r="F32" t="s">
        <v>70</v>
      </c>
      <c r="G32" s="13" t="s">
        <v>25</v>
      </c>
    </row>
    <row r="33" spans="1:7" x14ac:dyDescent="0.25">
      <c r="A33">
        <v>32</v>
      </c>
      <c r="B33" s="13" t="s">
        <v>72</v>
      </c>
      <c r="C33" s="13" t="s">
        <v>6</v>
      </c>
      <c r="D33" s="13" t="s">
        <v>7</v>
      </c>
      <c r="E33" s="13"/>
      <c r="F33" t="s">
        <v>70</v>
      </c>
      <c r="G33" s="13" t="s">
        <v>26</v>
      </c>
    </row>
    <row r="34" spans="1:7" x14ac:dyDescent="0.25">
      <c r="A34">
        <v>33</v>
      </c>
      <c r="B34" s="13" t="s">
        <v>73</v>
      </c>
      <c r="C34" s="13" t="s">
        <v>6</v>
      </c>
      <c r="D34" s="13" t="s">
        <v>12</v>
      </c>
      <c r="E34" s="13"/>
      <c r="F34" t="s">
        <v>70</v>
      </c>
      <c r="G34" s="13" t="s">
        <v>24</v>
      </c>
    </row>
    <row r="35" spans="1:7" x14ac:dyDescent="0.25">
      <c r="A35">
        <v>34</v>
      </c>
      <c r="B35" s="13" t="s">
        <v>74</v>
      </c>
      <c r="C35" s="13" t="s">
        <v>6</v>
      </c>
      <c r="D35" s="13" t="s">
        <v>12</v>
      </c>
      <c r="E35" s="13"/>
      <c r="F35" t="s">
        <v>70</v>
      </c>
      <c r="G35" s="13" t="s">
        <v>25</v>
      </c>
    </row>
    <row r="36" spans="1:7" x14ac:dyDescent="0.25">
      <c r="A36">
        <v>35</v>
      </c>
      <c r="B36" s="13" t="s">
        <v>75</v>
      </c>
      <c r="C36" s="13" t="s">
        <v>6</v>
      </c>
      <c r="D36" s="13" t="s">
        <v>14</v>
      </c>
      <c r="E36" s="13"/>
      <c r="F36" t="s">
        <v>70</v>
      </c>
      <c r="G36" s="13" t="s">
        <v>24</v>
      </c>
    </row>
    <row r="37" spans="1:7" x14ac:dyDescent="0.25">
      <c r="A37">
        <v>36</v>
      </c>
      <c r="B37" s="13" t="s">
        <v>76</v>
      </c>
      <c r="C37" s="13" t="s">
        <v>6</v>
      </c>
      <c r="D37" s="13" t="s">
        <v>14</v>
      </c>
      <c r="E37" s="13"/>
      <c r="F37" t="s">
        <v>70</v>
      </c>
      <c r="G37" s="13" t="s">
        <v>25</v>
      </c>
    </row>
    <row r="38" spans="1:7" x14ac:dyDescent="0.25">
      <c r="A38">
        <v>37</v>
      </c>
      <c r="B38" s="13" t="s">
        <v>77</v>
      </c>
      <c r="C38" s="13" t="s">
        <v>6</v>
      </c>
      <c r="D38" s="13" t="s">
        <v>14</v>
      </c>
      <c r="E38" s="13"/>
      <c r="F38" t="s">
        <v>70</v>
      </c>
      <c r="G38" s="13" t="s">
        <v>78</v>
      </c>
    </row>
    <row r="39" spans="1:7" x14ac:dyDescent="0.25">
      <c r="A39">
        <v>38</v>
      </c>
      <c r="B39" s="13" t="s">
        <v>79</v>
      </c>
      <c r="C39" s="13" t="s">
        <v>6</v>
      </c>
      <c r="D39" s="13" t="s">
        <v>8</v>
      </c>
      <c r="E39" s="13"/>
      <c r="F39" t="s">
        <v>70</v>
      </c>
      <c r="G39" s="13" t="s">
        <v>25</v>
      </c>
    </row>
    <row r="40" spans="1:7" x14ac:dyDescent="0.25">
      <c r="A40">
        <v>39</v>
      </c>
      <c r="B40" s="13" t="s">
        <v>80</v>
      </c>
      <c r="C40" s="13" t="s">
        <v>6</v>
      </c>
      <c r="D40" s="13" t="s">
        <v>8</v>
      </c>
      <c r="E40" s="13"/>
      <c r="F40" t="s">
        <v>70</v>
      </c>
      <c r="G40" s="13" t="s">
        <v>78</v>
      </c>
    </row>
    <row r="41" spans="1:7" x14ac:dyDescent="0.25">
      <c r="A41">
        <v>40</v>
      </c>
      <c r="B41" s="13" t="s">
        <v>81</v>
      </c>
      <c r="C41" s="13" t="s">
        <v>6</v>
      </c>
      <c r="D41" s="13" t="s">
        <v>13</v>
      </c>
      <c r="E41" s="13"/>
      <c r="F41" t="s">
        <v>70</v>
      </c>
      <c r="G41" s="13" t="s">
        <v>25</v>
      </c>
    </row>
    <row r="42" spans="1:7" x14ac:dyDescent="0.25">
      <c r="A42">
        <v>41</v>
      </c>
      <c r="B42" s="13" t="s">
        <v>82</v>
      </c>
      <c r="C42" s="13" t="s">
        <v>6</v>
      </c>
      <c r="D42" s="13" t="s">
        <v>48</v>
      </c>
      <c r="E42" s="13"/>
      <c r="F42" t="s">
        <v>70</v>
      </c>
      <c r="G42" s="13" t="s">
        <v>25</v>
      </c>
    </row>
    <row r="43" spans="1:7" x14ac:dyDescent="0.25">
      <c r="A43">
        <v>42</v>
      </c>
      <c r="B43" s="13" t="s">
        <v>83</v>
      </c>
      <c r="C43" s="13" t="s">
        <v>6</v>
      </c>
      <c r="D43" s="13" t="s">
        <v>84</v>
      </c>
      <c r="E43" s="13"/>
      <c r="F43" t="s">
        <v>85</v>
      </c>
      <c r="G43" s="13"/>
    </row>
    <row r="44" spans="1:7" x14ac:dyDescent="0.25">
      <c r="A44">
        <v>43</v>
      </c>
      <c r="B44" s="13" t="s">
        <v>86</v>
      </c>
      <c r="C44" s="13" t="s">
        <v>6</v>
      </c>
      <c r="D44" s="13" t="s">
        <v>84</v>
      </c>
      <c r="E44" s="13"/>
      <c r="F44" t="s">
        <v>87</v>
      </c>
      <c r="G44" s="13"/>
    </row>
    <row r="45" spans="1:7" x14ac:dyDescent="0.25">
      <c r="A45">
        <v>44</v>
      </c>
      <c r="B45" s="13" t="s">
        <v>88</v>
      </c>
      <c r="C45" s="13" t="s">
        <v>6</v>
      </c>
      <c r="D45" s="13" t="s">
        <v>88</v>
      </c>
      <c r="E45" s="13"/>
      <c r="G45" s="13"/>
    </row>
    <row r="46" spans="1:7" x14ac:dyDescent="0.25">
      <c r="A46">
        <v>45</v>
      </c>
      <c r="B46" s="13" t="s">
        <v>89</v>
      </c>
      <c r="C46" s="13" t="s">
        <v>6</v>
      </c>
      <c r="D46" s="13" t="s">
        <v>7</v>
      </c>
      <c r="E46" s="13"/>
      <c r="F46" t="s">
        <v>85</v>
      </c>
      <c r="G46" s="13"/>
    </row>
    <row r="47" spans="1:7" x14ac:dyDescent="0.25">
      <c r="A47">
        <v>46</v>
      </c>
      <c r="B47" s="13" t="s">
        <v>90</v>
      </c>
      <c r="C47" s="13" t="s">
        <v>6</v>
      </c>
      <c r="D47" s="13" t="s">
        <v>7</v>
      </c>
      <c r="E47" s="13"/>
      <c r="F47" t="s">
        <v>87</v>
      </c>
      <c r="G47" s="13"/>
    </row>
    <row r="48" spans="1:7" x14ac:dyDescent="0.25">
      <c r="A48">
        <v>47</v>
      </c>
      <c r="B48" s="13" t="s">
        <v>91</v>
      </c>
      <c r="C48" s="13" t="s">
        <v>6</v>
      </c>
      <c r="D48" s="13" t="s">
        <v>7</v>
      </c>
      <c r="E48" s="13"/>
      <c r="F48" t="s">
        <v>92</v>
      </c>
      <c r="G48" s="13"/>
    </row>
    <row r="49" spans="1:7" x14ac:dyDescent="0.25">
      <c r="A49">
        <v>48</v>
      </c>
      <c r="B49" s="13" t="s">
        <v>93</v>
      </c>
      <c r="C49" s="13" t="s">
        <v>6</v>
      </c>
      <c r="D49" s="13" t="s">
        <v>93</v>
      </c>
      <c r="E49" s="13"/>
      <c r="G49" s="13"/>
    </row>
    <row r="50" spans="1:7" x14ac:dyDescent="0.25">
      <c r="A50">
        <v>49</v>
      </c>
      <c r="B50" s="13" t="s">
        <v>94</v>
      </c>
      <c r="C50" s="13" t="s">
        <v>6</v>
      </c>
      <c r="D50" s="13" t="s">
        <v>94</v>
      </c>
      <c r="E50" s="13"/>
      <c r="G50" s="13"/>
    </row>
    <row r="51" spans="1:7" x14ac:dyDescent="0.25">
      <c r="A51">
        <v>50</v>
      </c>
      <c r="B51" s="13" t="s">
        <v>95</v>
      </c>
      <c r="C51" s="13" t="s">
        <v>6</v>
      </c>
      <c r="D51" s="13" t="s">
        <v>14</v>
      </c>
      <c r="E51" s="13"/>
      <c r="F51" t="s">
        <v>85</v>
      </c>
      <c r="G51" s="13"/>
    </row>
    <row r="52" spans="1:7" x14ac:dyDescent="0.25">
      <c r="A52">
        <v>51</v>
      </c>
      <c r="B52" s="13" t="s">
        <v>96</v>
      </c>
      <c r="C52" s="13" t="s">
        <v>6</v>
      </c>
      <c r="D52" s="13" t="s">
        <v>14</v>
      </c>
      <c r="E52" s="13"/>
      <c r="F52" t="s">
        <v>87</v>
      </c>
      <c r="G52" s="13"/>
    </row>
    <row r="53" spans="1:7" x14ac:dyDescent="0.25">
      <c r="A53">
        <v>52</v>
      </c>
      <c r="B53" s="13" t="s">
        <v>97</v>
      </c>
      <c r="C53" s="13" t="s">
        <v>6</v>
      </c>
      <c r="D53" s="13" t="s">
        <v>97</v>
      </c>
      <c r="E53" s="13"/>
      <c r="G53" s="13"/>
    </row>
    <row r="54" spans="1:7" x14ac:dyDescent="0.25">
      <c r="A54">
        <v>53</v>
      </c>
      <c r="B54" s="13" t="s">
        <v>98</v>
      </c>
      <c r="C54" s="13" t="s">
        <v>99</v>
      </c>
      <c r="D54" s="13"/>
      <c r="E54" s="13" t="s">
        <v>98</v>
      </c>
      <c r="G54" s="13"/>
    </row>
    <row r="55" spans="1:7" x14ac:dyDescent="0.25">
      <c r="A55">
        <v>54</v>
      </c>
      <c r="B55" s="13" t="s">
        <v>100</v>
      </c>
      <c r="C55" s="13" t="s">
        <v>99</v>
      </c>
      <c r="D55" s="13"/>
      <c r="E55" s="13" t="s">
        <v>100</v>
      </c>
      <c r="G55" s="13"/>
    </row>
    <row r="56" spans="1:7" x14ac:dyDescent="0.25">
      <c r="A56">
        <v>55</v>
      </c>
      <c r="B56" s="13" t="s">
        <v>101</v>
      </c>
      <c r="C56" s="13" t="s">
        <v>99</v>
      </c>
      <c r="D56" s="13"/>
      <c r="E56" s="13" t="s">
        <v>101</v>
      </c>
      <c r="G56" s="13"/>
    </row>
    <row r="57" spans="1:7" x14ac:dyDescent="0.25">
      <c r="A57">
        <v>56</v>
      </c>
      <c r="B57" s="13" t="s">
        <v>102</v>
      </c>
      <c r="C57" s="13" t="s">
        <v>99</v>
      </c>
      <c r="D57" s="13"/>
      <c r="E57" s="13" t="s">
        <v>102</v>
      </c>
      <c r="G57" s="13"/>
    </row>
    <row r="58" spans="1:7" x14ac:dyDescent="0.25">
      <c r="A58">
        <v>57</v>
      </c>
      <c r="B58" s="13" t="s">
        <v>103</v>
      </c>
      <c r="C58" s="13" t="s">
        <v>99</v>
      </c>
      <c r="D58" s="13"/>
      <c r="E58" s="13" t="s">
        <v>103</v>
      </c>
      <c r="G58" s="13"/>
    </row>
    <row r="59" spans="1:7" x14ac:dyDescent="0.25">
      <c r="A59">
        <v>58</v>
      </c>
      <c r="B59" s="13" t="s">
        <v>104</v>
      </c>
      <c r="C59" s="13" t="s">
        <v>99</v>
      </c>
      <c r="D59" s="13"/>
      <c r="E59" s="13" t="s">
        <v>104</v>
      </c>
      <c r="G59" s="13"/>
    </row>
    <row r="60" spans="1:7" x14ac:dyDescent="0.25">
      <c r="A60">
        <v>59</v>
      </c>
      <c r="B60" s="13" t="s">
        <v>105</v>
      </c>
      <c r="C60" s="13" t="s">
        <v>99</v>
      </c>
      <c r="D60" s="13"/>
      <c r="E60" s="13" t="s">
        <v>105</v>
      </c>
      <c r="G60" s="13"/>
    </row>
    <row r="61" spans="1:7" x14ac:dyDescent="0.25">
      <c r="A61">
        <v>60</v>
      </c>
      <c r="B61" s="13" t="s">
        <v>106</v>
      </c>
      <c r="C61" s="13" t="s">
        <v>99</v>
      </c>
      <c r="D61" s="13"/>
      <c r="E61" s="13" t="s">
        <v>106</v>
      </c>
      <c r="G61" s="13"/>
    </row>
    <row r="62" spans="1:7" x14ac:dyDescent="0.25">
      <c r="A62">
        <v>61</v>
      </c>
      <c r="B62" s="13" t="s">
        <v>107</v>
      </c>
      <c r="C62" s="13" t="s">
        <v>99</v>
      </c>
      <c r="D62" s="13"/>
      <c r="E62" s="13" t="s">
        <v>107</v>
      </c>
      <c r="G62" s="13"/>
    </row>
    <row r="63" spans="1:7" x14ac:dyDescent="0.25">
      <c r="A63">
        <v>62</v>
      </c>
      <c r="B63" s="13" t="s">
        <v>108</v>
      </c>
      <c r="C63" s="13" t="s">
        <v>99</v>
      </c>
      <c r="D63" s="13"/>
      <c r="E63" s="13" t="s">
        <v>108</v>
      </c>
      <c r="G63" s="13"/>
    </row>
    <row r="64" spans="1:7" x14ac:dyDescent="0.25">
      <c r="A64">
        <v>63</v>
      </c>
      <c r="B64" s="13" t="s">
        <v>109</v>
      </c>
      <c r="C64" s="13" t="s">
        <v>99</v>
      </c>
      <c r="D64" s="13"/>
      <c r="E64" s="13" t="s">
        <v>109</v>
      </c>
      <c r="G64" s="13"/>
    </row>
    <row r="65" spans="1:7" x14ac:dyDescent="0.25">
      <c r="A65">
        <v>64</v>
      </c>
      <c r="B65" s="13" t="s">
        <v>110</v>
      </c>
      <c r="C65" s="13" t="s">
        <v>99</v>
      </c>
      <c r="D65" s="13"/>
      <c r="E65" s="13" t="s">
        <v>110</v>
      </c>
      <c r="G65" s="13"/>
    </row>
    <row r="66" spans="1:7" x14ac:dyDescent="0.25">
      <c r="A66">
        <v>65</v>
      </c>
      <c r="B66" s="13" t="s">
        <v>111</v>
      </c>
      <c r="C66" s="13" t="s">
        <v>99</v>
      </c>
      <c r="D66" s="13"/>
      <c r="E66" s="13" t="s">
        <v>111</v>
      </c>
      <c r="G66" s="13"/>
    </row>
    <row r="67" spans="1:7" x14ac:dyDescent="0.25">
      <c r="A67">
        <v>66</v>
      </c>
      <c r="B67" s="13" t="s">
        <v>112</v>
      </c>
      <c r="C67" s="13" t="s">
        <v>99</v>
      </c>
      <c r="D67" s="13"/>
      <c r="E67" s="13" t="s">
        <v>112</v>
      </c>
      <c r="G67" s="13"/>
    </row>
    <row r="68" spans="1:7" x14ac:dyDescent="0.25">
      <c r="A68">
        <v>67</v>
      </c>
      <c r="B68" s="13" t="s">
        <v>113</v>
      </c>
      <c r="C68" s="13" t="s">
        <v>99</v>
      </c>
      <c r="D68" s="13"/>
      <c r="E68" s="13" t="s">
        <v>113</v>
      </c>
      <c r="G68" s="13"/>
    </row>
    <row r="69" spans="1:7" x14ac:dyDescent="0.25">
      <c r="A69">
        <v>68</v>
      </c>
      <c r="B69" s="13" t="s">
        <v>114</v>
      </c>
      <c r="C69" s="13" t="s">
        <v>99</v>
      </c>
      <c r="D69" s="13"/>
      <c r="E69" s="13" t="s">
        <v>114</v>
      </c>
      <c r="G69" s="13"/>
    </row>
    <row r="70" spans="1:7" x14ac:dyDescent="0.25">
      <c r="A70">
        <v>69</v>
      </c>
      <c r="B70" s="13" t="s">
        <v>115</v>
      </c>
      <c r="C70" s="13" t="s">
        <v>99</v>
      </c>
      <c r="D70" s="13"/>
      <c r="E70" s="13" t="s">
        <v>115</v>
      </c>
      <c r="G70" s="13"/>
    </row>
    <row r="71" spans="1:7" x14ac:dyDescent="0.25">
      <c r="A71">
        <v>70</v>
      </c>
      <c r="B71" s="13" t="s">
        <v>116</v>
      </c>
      <c r="C71" s="13" t="s">
        <v>99</v>
      </c>
      <c r="D71" s="13"/>
      <c r="E71" s="13" t="s">
        <v>116</v>
      </c>
      <c r="G71" s="13"/>
    </row>
    <row r="72" spans="1:7" x14ac:dyDescent="0.25">
      <c r="A72">
        <v>71</v>
      </c>
      <c r="B72" s="13" t="s">
        <v>117</v>
      </c>
      <c r="C72" s="13" t="s">
        <v>99</v>
      </c>
      <c r="D72" s="13"/>
      <c r="E72" s="13" t="s">
        <v>117</v>
      </c>
      <c r="G72" s="13"/>
    </row>
    <row r="73" spans="1:7" x14ac:dyDescent="0.25">
      <c r="A73">
        <v>72</v>
      </c>
      <c r="B73" s="13" t="s">
        <v>118</v>
      </c>
      <c r="C73" s="13" t="s">
        <v>99</v>
      </c>
      <c r="D73" s="13"/>
      <c r="E73" s="13" t="s">
        <v>118</v>
      </c>
      <c r="G73" s="13"/>
    </row>
    <row r="74" spans="1:7" x14ac:dyDescent="0.25">
      <c r="A74">
        <v>73</v>
      </c>
      <c r="B74" s="13" t="s">
        <v>119</v>
      </c>
      <c r="C74" s="13" t="s">
        <v>99</v>
      </c>
      <c r="D74" s="13"/>
      <c r="E74" s="13" t="s">
        <v>119</v>
      </c>
      <c r="G74" s="13"/>
    </row>
    <row r="75" spans="1:7" x14ac:dyDescent="0.25">
      <c r="A75">
        <v>74</v>
      </c>
      <c r="B75" s="13" t="s">
        <v>120</v>
      </c>
      <c r="C75" s="13" t="s">
        <v>99</v>
      </c>
      <c r="D75" s="13"/>
      <c r="E75" s="13" t="s">
        <v>120</v>
      </c>
      <c r="G75" s="13"/>
    </row>
    <row r="76" spans="1:7" x14ac:dyDescent="0.25">
      <c r="A76">
        <v>75</v>
      </c>
      <c r="B76" s="13" t="s">
        <v>121</v>
      </c>
      <c r="C76" s="13" t="s">
        <v>99</v>
      </c>
      <c r="D76" s="13"/>
      <c r="E76" s="13" t="s">
        <v>121</v>
      </c>
      <c r="G76" s="13"/>
    </row>
    <row r="77" spans="1:7" x14ac:dyDescent="0.25">
      <c r="A77">
        <v>76</v>
      </c>
      <c r="B77" s="13" t="s">
        <v>122</v>
      </c>
      <c r="C77" s="13" t="s">
        <v>99</v>
      </c>
      <c r="D77" s="13"/>
      <c r="E77" s="13" t="s">
        <v>122</v>
      </c>
      <c r="G77" s="13"/>
    </row>
    <row r="78" spans="1:7" x14ac:dyDescent="0.25">
      <c r="A78">
        <v>77</v>
      </c>
      <c r="B78" s="13" t="s">
        <v>123</v>
      </c>
      <c r="C78" s="13" t="s">
        <v>99</v>
      </c>
      <c r="D78" s="13"/>
      <c r="E78" s="13" t="s">
        <v>123</v>
      </c>
      <c r="G78" s="13"/>
    </row>
    <row r="79" spans="1:7" x14ac:dyDescent="0.25">
      <c r="A79">
        <v>78</v>
      </c>
      <c r="B79" s="13" t="s">
        <v>124</v>
      </c>
      <c r="C79" s="13" t="s">
        <v>99</v>
      </c>
      <c r="D79" s="13"/>
      <c r="E79" s="13" t="s">
        <v>124</v>
      </c>
      <c r="G79" s="13"/>
    </row>
    <row r="80" spans="1:7" x14ac:dyDescent="0.25">
      <c r="A80">
        <v>79</v>
      </c>
      <c r="B80" s="13" t="s">
        <v>125</v>
      </c>
      <c r="C80" s="13" t="s">
        <v>99</v>
      </c>
      <c r="D80" s="13"/>
      <c r="E80" s="13" t="s">
        <v>125</v>
      </c>
      <c r="G80" s="13"/>
    </row>
    <row r="81" spans="1:7" x14ac:dyDescent="0.25">
      <c r="A81">
        <v>80</v>
      </c>
      <c r="B81" s="13" t="s">
        <v>126</v>
      </c>
      <c r="C81" s="13" t="s">
        <v>99</v>
      </c>
      <c r="D81" s="13"/>
      <c r="E81" s="13" t="s">
        <v>126</v>
      </c>
      <c r="G81" s="13"/>
    </row>
    <row r="82" spans="1:7" x14ac:dyDescent="0.25">
      <c r="A82">
        <v>81</v>
      </c>
      <c r="B82" s="13" t="s">
        <v>127</v>
      </c>
      <c r="C82" s="13" t="s">
        <v>99</v>
      </c>
      <c r="D82" s="13"/>
      <c r="E82" s="13" t="s">
        <v>127</v>
      </c>
      <c r="G82" s="13"/>
    </row>
    <row r="83" spans="1:7" x14ac:dyDescent="0.25">
      <c r="A83">
        <v>82</v>
      </c>
      <c r="B83" s="13" t="s">
        <v>128</v>
      </c>
      <c r="C83" s="13" t="s">
        <v>99</v>
      </c>
      <c r="D83" s="13"/>
      <c r="E83" s="13" t="s">
        <v>128</v>
      </c>
      <c r="G83" s="13"/>
    </row>
    <row r="84" spans="1:7" x14ac:dyDescent="0.25">
      <c r="A84">
        <v>83</v>
      </c>
      <c r="B84" s="13" t="s">
        <v>129</v>
      </c>
      <c r="C84" s="13" t="s">
        <v>99</v>
      </c>
      <c r="D84" s="13"/>
      <c r="E84" s="13" t="s">
        <v>129</v>
      </c>
      <c r="G84" s="13"/>
    </row>
    <row r="85" spans="1:7" x14ac:dyDescent="0.25">
      <c r="A85">
        <v>84</v>
      </c>
      <c r="B85" s="13" t="s">
        <v>130</v>
      </c>
      <c r="C85" s="13" t="s">
        <v>99</v>
      </c>
      <c r="D85" s="13"/>
      <c r="E85" s="13" t="s">
        <v>130</v>
      </c>
      <c r="G85" s="13"/>
    </row>
    <row r="86" spans="1:7" x14ac:dyDescent="0.25">
      <c r="A86">
        <v>85</v>
      </c>
      <c r="B86" s="13" t="s">
        <v>131</v>
      </c>
      <c r="C86" s="13" t="s">
        <v>99</v>
      </c>
      <c r="D86" s="13"/>
      <c r="E86" s="13" t="s">
        <v>131</v>
      </c>
      <c r="G86" s="13"/>
    </row>
    <row r="87" spans="1:7" x14ac:dyDescent="0.25">
      <c r="A87">
        <v>86</v>
      </c>
      <c r="B87" s="13" t="s">
        <v>132</v>
      </c>
      <c r="C87" s="13" t="s">
        <v>99</v>
      </c>
      <c r="D87" s="13"/>
      <c r="E87" s="13" t="s">
        <v>132</v>
      </c>
      <c r="G87" s="13"/>
    </row>
    <row r="88" spans="1:7" x14ac:dyDescent="0.25">
      <c r="A88">
        <v>87</v>
      </c>
      <c r="B88" s="13" t="s">
        <v>133</v>
      </c>
      <c r="C88" s="13" t="s">
        <v>99</v>
      </c>
      <c r="D88" s="13"/>
      <c r="E88" s="13" t="s">
        <v>133</v>
      </c>
      <c r="G88" s="13"/>
    </row>
    <row r="89" spans="1:7" x14ac:dyDescent="0.25">
      <c r="A89">
        <v>88</v>
      </c>
      <c r="B89" s="13" t="s">
        <v>134</v>
      </c>
      <c r="C89" s="13" t="s">
        <v>99</v>
      </c>
      <c r="D89" s="13"/>
      <c r="E89" s="13" t="s">
        <v>134</v>
      </c>
      <c r="G89" s="13"/>
    </row>
    <row r="90" spans="1:7" x14ac:dyDescent="0.25">
      <c r="A90">
        <v>89</v>
      </c>
      <c r="B90" s="13" t="s">
        <v>135</v>
      </c>
      <c r="C90" s="13" t="s">
        <v>99</v>
      </c>
      <c r="D90" s="13"/>
      <c r="E90" s="13" t="s">
        <v>135</v>
      </c>
      <c r="G90" s="13"/>
    </row>
    <row r="91" spans="1:7" x14ac:dyDescent="0.25">
      <c r="A91">
        <v>90</v>
      </c>
      <c r="B91" s="13" t="s">
        <v>136</v>
      </c>
      <c r="C91" s="13" t="s">
        <v>99</v>
      </c>
      <c r="D91" s="13"/>
      <c r="E91" s="13" t="s">
        <v>136</v>
      </c>
      <c r="G91" s="13"/>
    </row>
    <row r="92" spans="1:7" x14ac:dyDescent="0.25">
      <c r="A92">
        <v>91</v>
      </c>
      <c r="B92" s="13" t="s">
        <v>137</v>
      </c>
      <c r="C92" s="13" t="s">
        <v>99</v>
      </c>
      <c r="D92" s="13"/>
      <c r="E92" s="13" t="s">
        <v>137</v>
      </c>
      <c r="G92" s="13"/>
    </row>
    <row r="93" spans="1:7" x14ac:dyDescent="0.25">
      <c r="A93">
        <v>92</v>
      </c>
      <c r="B93" s="13" t="s">
        <v>138</v>
      </c>
      <c r="C93" s="13" t="s">
        <v>99</v>
      </c>
      <c r="D93" s="13"/>
      <c r="E93" s="13" t="s">
        <v>138</v>
      </c>
      <c r="G93" s="13"/>
    </row>
    <row r="94" spans="1:7" x14ac:dyDescent="0.25">
      <c r="A94">
        <v>93</v>
      </c>
      <c r="B94" s="13" t="s">
        <v>139</v>
      </c>
      <c r="C94" s="13" t="s">
        <v>99</v>
      </c>
      <c r="D94" s="13"/>
      <c r="E94" s="13" t="s">
        <v>139</v>
      </c>
      <c r="G94" s="13"/>
    </row>
    <row r="95" spans="1:7" x14ac:dyDescent="0.25">
      <c r="A95">
        <v>94</v>
      </c>
      <c r="B95" s="13" t="s">
        <v>140</v>
      </c>
      <c r="C95" s="13" t="s">
        <v>99</v>
      </c>
      <c r="D95" s="13"/>
      <c r="E95" s="13" t="s">
        <v>140</v>
      </c>
      <c r="G95" s="13"/>
    </row>
    <row r="96" spans="1:7" x14ac:dyDescent="0.25">
      <c r="A96">
        <v>95</v>
      </c>
      <c r="B96" s="13" t="s">
        <v>141</v>
      </c>
      <c r="C96" s="13" t="s">
        <v>99</v>
      </c>
      <c r="D96" s="13"/>
      <c r="E96" s="13" t="s">
        <v>141</v>
      </c>
      <c r="G96" s="13"/>
    </row>
    <row r="97" spans="1:7" x14ac:dyDescent="0.25">
      <c r="A97">
        <v>96</v>
      </c>
      <c r="B97" s="13" t="s">
        <v>142</v>
      </c>
      <c r="C97" s="13" t="s">
        <v>99</v>
      </c>
      <c r="D97" s="13"/>
      <c r="E97" s="13" t="s">
        <v>142</v>
      </c>
      <c r="G97" s="13"/>
    </row>
    <row r="98" spans="1:7" x14ac:dyDescent="0.25">
      <c r="A98">
        <v>97</v>
      </c>
      <c r="B98" s="13" t="s">
        <v>143</v>
      </c>
      <c r="C98" s="13" t="s">
        <v>99</v>
      </c>
      <c r="D98" s="13"/>
      <c r="E98" s="13" t="s">
        <v>143</v>
      </c>
      <c r="G98" s="13"/>
    </row>
    <row r="99" spans="1:7" x14ac:dyDescent="0.25">
      <c r="A99">
        <v>98</v>
      </c>
      <c r="B99" s="13" t="s">
        <v>45</v>
      </c>
      <c r="C99" s="13" t="s">
        <v>15</v>
      </c>
      <c r="D99" s="13"/>
      <c r="E99" s="13" t="s">
        <v>144</v>
      </c>
      <c r="F99" t="s">
        <v>87</v>
      </c>
      <c r="G99" s="13" t="s">
        <v>145</v>
      </c>
    </row>
    <row r="100" spans="1:7" x14ac:dyDescent="0.25">
      <c r="A100">
        <v>99</v>
      </c>
      <c r="B100" s="13" t="s">
        <v>41</v>
      </c>
      <c r="C100" s="13" t="s">
        <v>15</v>
      </c>
      <c r="D100" s="13"/>
      <c r="E100" s="13" t="s">
        <v>146</v>
      </c>
      <c r="F100" t="s">
        <v>147</v>
      </c>
      <c r="G100" s="13"/>
    </row>
    <row r="101" spans="1:7" x14ac:dyDescent="0.25">
      <c r="A101">
        <v>100</v>
      </c>
      <c r="B101" s="13" t="s">
        <v>35</v>
      </c>
      <c r="C101" s="13" t="s">
        <v>15</v>
      </c>
      <c r="D101" s="13"/>
      <c r="E101" s="13" t="s">
        <v>35</v>
      </c>
      <c r="G101" s="13"/>
    </row>
    <row r="102" spans="1:7" x14ac:dyDescent="0.25">
      <c r="A102">
        <v>101</v>
      </c>
      <c r="B102" s="13" t="s">
        <v>148</v>
      </c>
      <c r="C102" s="13" t="s">
        <v>16</v>
      </c>
      <c r="D102" s="13"/>
      <c r="E102" s="13" t="s">
        <v>148</v>
      </c>
      <c r="G102" s="13"/>
    </row>
    <row r="103" spans="1:7" x14ac:dyDescent="0.25">
      <c r="A103">
        <v>102</v>
      </c>
      <c r="B103" s="13" t="s">
        <v>43</v>
      </c>
      <c r="C103" s="13" t="s">
        <v>16</v>
      </c>
      <c r="D103" s="13"/>
      <c r="E103" s="13" t="s">
        <v>43</v>
      </c>
      <c r="G103" s="13"/>
    </row>
    <row r="104" spans="1:7" x14ac:dyDescent="0.25">
      <c r="A104">
        <v>103</v>
      </c>
      <c r="B104" s="13" t="s">
        <v>149</v>
      </c>
      <c r="C104" s="13" t="s">
        <v>16</v>
      </c>
      <c r="D104" s="13"/>
      <c r="E104" s="13" t="s">
        <v>149</v>
      </c>
      <c r="G104" s="13"/>
    </row>
    <row r="105" spans="1:7" x14ac:dyDescent="0.25">
      <c r="A105">
        <v>104</v>
      </c>
      <c r="B105" s="13" t="s">
        <v>178</v>
      </c>
      <c r="C105" s="13" t="s">
        <v>16</v>
      </c>
      <c r="D105" s="13"/>
      <c r="E105" s="13" t="s">
        <v>178</v>
      </c>
      <c r="G105" s="13"/>
    </row>
    <row r="106" spans="1:7" x14ac:dyDescent="0.25">
      <c r="A106">
        <v>105</v>
      </c>
      <c r="B106" s="13" t="s">
        <v>150</v>
      </c>
      <c r="C106" s="13" t="s">
        <v>16</v>
      </c>
      <c r="D106" s="13"/>
      <c r="E106" s="13" t="s">
        <v>150</v>
      </c>
      <c r="G106" s="13"/>
    </row>
    <row r="107" spans="1:7" x14ac:dyDescent="0.25">
      <c r="A107">
        <v>106</v>
      </c>
      <c r="B107" s="13" t="s">
        <v>151</v>
      </c>
      <c r="C107" s="13" t="s">
        <v>16</v>
      </c>
      <c r="D107" s="13"/>
      <c r="E107" s="13" t="s">
        <v>151</v>
      </c>
      <c r="G107" s="13"/>
    </row>
    <row r="108" spans="1:7" x14ac:dyDescent="0.25">
      <c r="A108">
        <v>107</v>
      </c>
      <c r="B108" s="13" t="s">
        <v>152</v>
      </c>
      <c r="C108" s="13" t="s">
        <v>16</v>
      </c>
      <c r="D108" s="13"/>
      <c r="E108" s="13" t="s">
        <v>152</v>
      </c>
      <c r="G108" s="13"/>
    </row>
    <row r="109" spans="1:7" x14ac:dyDescent="0.25">
      <c r="A109">
        <v>108</v>
      </c>
      <c r="B109" s="13" t="s">
        <v>153</v>
      </c>
      <c r="C109" s="13" t="s">
        <v>153</v>
      </c>
      <c r="D109" s="13"/>
      <c r="E109" s="13" t="s">
        <v>153</v>
      </c>
      <c r="G109" s="1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M32"/>
  <sheetViews>
    <sheetView topLeftCell="A15" workbookViewId="0">
      <selection activeCell="A32" sqref="A32"/>
    </sheetView>
  </sheetViews>
  <sheetFormatPr defaultRowHeight="15" x14ac:dyDescent="0.25"/>
  <cols>
    <col min="1" max="1" width="10.140625" style="2" bestFit="1" customWidth="1"/>
    <col min="2" max="2" width="23.85546875" bestFit="1" customWidth="1"/>
    <col min="3" max="3" width="10.42578125" bestFit="1" customWidth="1"/>
    <col min="4" max="4" width="7.140625" bestFit="1" customWidth="1"/>
    <col min="5" max="5" width="62.5703125" bestFit="1" customWidth="1"/>
    <col min="6" max="6" width="9.28515625" bestFit="1" customWidth="1"/>
    <col min="7" max="7" width="13.42578125" customWidth="1"/>
    <col min="8" max="8" width="25.5703125" bestFit="1" customWidth="1"/>
    <col min="9" max="9" width="8.42578125" bestFit="1" customWidth="1"/>
    <col min="10" max="10" width="7.140625" bestFit="1" customWidth="1"/>
    <col min="11" max="11" width="11.85546875" bestFit="1" customWidth="1"/>
    <col min="12" max="12" width="9.28515625" bestFit="1" customWidth="1"/>
    <col min="13" max="13" width="9.7109375" style="9" bestFit="1" customWidth="1"/>
    <col min="14" max="14" width="20.7109375" bestFit="1" customWidth="1"/>
    <col min="15" max="15" width="7.5703125" bestFit="1" customWidth="1"/>
    <col min="16" max="16" width="7.140625" bestFit="1" customWidth="1"/>
    <col min="17" max="17" width="11.85546875" bestFit="1" customWidth="1"/>
    <col min="18" max="18" width="9.28515625" bestFit="1" customWidth="1"/>
    <col min="19" max="19" width="11.28515625" bestFit="1" customWidth="1"/>
    <col min="20" max="20" width="11.85546875" bestFit="1" customWidth="1"/>
    <col min="21" max="21" width="9.28515625" bestFit="1" customWidth="1"/>
  </cols>
  <sheetData>
    <row r="1" spans="1:13" x14ac:dyDescent="0.25">
      <c r="A1" s="2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M1"/>
    </row>
    <row r="2" spans="1:13" x14ac:dyDescent="0.25">
      <c r="A2" s="2">
        <v>45780</v>
      </c>
      <c r="B2" t="s">
        <v>53</v>
      </c>
      <c r="C2" t="s">
        <v>179</v>
      </c>
      <c r="D2">
        <v>1</v>
      </c>
      <c r="M2"/>
    </row>
    <row r="3" spans="1:13" x14ac:dyDescent="0.25">
      <c r="A3" s="2">
        <v>45780</v>
      </c>
      <c r="B3" t="s">
        <v>178</v>
      </c>
      <c r="C3" t="s">
        <v>44</v>
      </c>
      <c r="D3">
        <v>19</v>
      </c>
      <c r="M3"/>
    </row>
    <row r="4" spans="1:13" x14ac:dyDescent="0.25">
      <c r="A4" s="2">
        <v>45780</v>
      </c>
      <c r="B4" t="s">
        <v>151</v>
      </c>
      <c r="C4" t="s">
        <v>44</v>
      </c>
      <c r="D4">
        <v>17</v>
      </c>
      <c r="M4"/>
    </row>
    <row r="5" spans="1:13" x14ac:dyDescent="0.25">
      <c r="A5" s="2">
        <v>45780</v>
      </c>
      <c r="B5" t="s">
        <v>43</v>
      </c>
      <c r="C5" t="s">
        <v>44</v>
      </c>
      <c r="D5">
        <v>8</v>
      </c>
      <c r="M5"/>
    </row>
    <row r="6" spans="1:13" x14ac:dyDescent="0.25">
      <c r="A6" s="2">
        <v>45780</v>
      </c>
      <c r="B6" t="s">
        <v>149</v>
      </c>
      <c r="C6" t="s">
        <v>44</v>
      </c>
      <c r="D6">
        <v>7</v>
      </c>
      <c r="M6"/>
    </row>
    <row r="7" spans="1:13" x14ac:dyDescent="0.25">
      <c r="A7" s="2">
        <v>45780</v>
      </c>
      <c r="B7" t="s">
        <v>35</v>
      </c>
      <c r="C7" t="s">
        <v>42</v>
      </c>
      <c r="D7">
        <v>14</v>
      </c>
      <c r="M7"/>
    </row>
    <row r="8" spans="1:13" x14ac:dyDescent="0.25">
      <c r="A8" s="2">
        <v>45780</v>
      </c>
      <c r="B8" t="s">
        <v>41</v>
      </c>
      <c r="C8" t="s">
        <v>42</v>
      </c>
      <c r="D8">
        <v>5</v>
      </c>
      <c r="M8"/>
    </row>
    <row r="9" spans="1:13" x14ac:dyDescent="0.25">
      <c r="A9" s="2">
        <v>45780</v>
      </c>
      <c r="B9" t="s">
        <v>45</v>
      </c>
      <c r="C9" t="s">
        <v>42</v>
      </c>
      <c r="D9">
        <v>19</v>
      </c>
      <c r="M9"/>
    </row>
    <row r="10" spans="1:13" x14ac:dyDescent="0.25">
      <c r="A10" s="2">
        <v>45780</v>
      </c>
      <c r="B10" t="s">
        <v>148</v>
      </c>
      <c r="C10" t="s">
        <v>44</v>
      </c>
      <c r="D10">
        <v>3</v>
      </c>
      <c r="M10"/>
    </row>
    <row r="11" spans="1:13" x14ac:dyDescent="0.25">
      <c r="A11" s="2">
        <v>45781</v>
      </c>
      <c r="B11" t="s">
        <v>180</v>
      </c>
      <c r="C11" t="s">
        <v>99</v>
      </c>
      <c r="D11">
        <v>1</v>
      </c>
      <c r="E11" t="s">
        <v>181</v>
      </c>
      <c r="M11"/>
    </row>
    <row r="12" spans="1:13" x14ac:dyDescent="0.25">
      <c r="A12" s="2">
        <v>45782</v>
      </c>
      <c r="B12" t="s">
        <v>182</v>
      </c>
      <c r="C12" t="s">
        <v>99</v>
      </c>
      <c r="D12">
        <v>10</v>
      </c>
      <c r="E12" t="s">
        <v>183</v>
      </c>
      <c r="G12" s="9"/>
      <c r="M12"/>
    </row>
    <row r="13" spans="1:13" x14ac:dyDescent="0.25">
      <c r="A13" s="2">
        <v>45782</v>
      </c>
      <c r="B13" t="s">
        <v>184</v>
      </c>
      <c r="C13" t="s">
        <v>99</v>
      </c>
      <c r="D13">
        <v>10</v>
      </c>
      <c r="E13" t="s">
        <v>183</v>
      </c>
      <c r="G13" s="9"/>
      <c r="M13"/>
    </row>
    <row r="14" spans="1:13" x14ac:dyDescent="0.25">
      <c r="A14" s="2">
        <v>45782</v>
      </c>
      <c r="B14" t="s">
        <v>185</v>
      </c>
      <c r="C14" t="s">
        <v>99</v>
      </c>
      <c r="D14">
        <v>10</v>
      </c>
      <c r="E14" t="s">
        <v>183</v>
      </c>
    </row>
    <row r="15" spans="1:13" x14ac:dyDescent="0.25">
      <c r="A15" s="2">
        <v>45783</v>
      </c>
      <c r="B15" t="s">
        <v>180</v>
      </c>
      <c r="C15" t="s">
        <v>99</v>
      </c>
      <c r="D15">
        <v>1</v>
      </c>
      <c r="E15" t="s">
        <v>181</v>
      </c>
    </row>
    <row r="16" spans="1:13" x14ac:dyDescent="0.25">
      <c r="A16" s="2">
        <v>45783</v>
      </c>
      <c r="B16" t="s">
        <v>186</v>
      </c>
      <c r="C16" t="s">
        <v>99</v>
      </c>
      <c r="D16">
        <v>5</v>
      </c>
      <c r="E16" t="s">
        <v>183</v>
      </c>
    </row>
    <row r="17" spans="1:5" x14ac:dyDescent="0.25">
      <c r="A17" s="2">
        <v>45784</v>
      </c>
      <c r="B17" t="s">
        <v>187</v>
      </c>
      <c r="C17" t="s">
        <v>99</v>
      </c>
      <c r="D17">
        <v>3</v>
      </c>
      <c r="E17" t="s">
        <v>188</v>
      </c>
    </row>
    <row r="18" spans="1:5" x14ac:dyDescent="0.25">
      <c r="A18" s="2">
        <v>45784</v>
      </c>
      <c r="B18" t="s">
        <v>189</v>
      </c>
      <c r="C18" t="s">
        <v>99</v>
      </c>
      <c r="D18">
        <v>18</v>
      </c>
      <c r="E18" t="s">
        <v>190</v>
      </c>
    </row>
    <row r="19" spans="1:5" x14ac:dyDescent="0.25">
      <c r="A19" s="2">
        <v>45784</v>
      </c>
      <c r="B19" t="s">
        <v>180</v>
      </c>
      <c r="C19" t="s">
        <v>99</v>
      </c>
      <c r="D19">
        <v>3</v>
      </c>
      <c r="E19" t="s">
        <v>181</v>
      </c>
    </row>
    <row r="20" spans="1:5" x14ac:dyDescent="0.25">
      <c r="A20" s="2">
        <v>45784</v>
      </c>
      <c r="B20" t="s">
        <v>182</v>
      </c>
      <c r="C20" t="s">
        <v>99</v>
      </c>
      <c r="D20">
        <v>9</v>
      </c>
      <c r="E20" t="s">
        <v>183</v>
      </c>
    </row>
    <row r="21" spans="1:5" x14ac:dyDescent="0.25">
      <c r="A21" s="2">
        <v>45784</v>
      </c>
      <c r="B21" t="s">
        <v>184</v>
      </c>
      <c r="C21" t="s">
        <v>99</v>
      </c>
      <c r="D21">
        <v>9</v>
      </c>
      <c r="E21" t="s">
        <v>183</v>
      </c>
    </row>
    <row r="22" spans="1:5" x14ac:dyDescent="0.25">
      <c r="A22" s="2">
        <v>45785</v>
      </c>
      <c r="B22" t="s">
        <v>191</v>
      </c>
      <c r="C22" t="s">
        <v>99</v>
      </c>
      <c r="D22">
        <v>27</v>
      </c>
      <c r="E22" t="s">
        <v>183</v>
      </c>
    </row>
    <row r="23" spans="1:5" x14ac:dyDescent="0.25">
      <c r="A23" s="2">
        <v>45785</v>
      </c>
      <c r="B23" t="s">
        <v>182</v>
      </c>
      <c r="C23" t="s">
        <v>99</v>
      </c>
      <c r="D23">
        <v>8</v>
      </c>
      <c r="E23" t="s">
        <v>183</v>
      </c>
    </row>
    <row r="24" spans="1:5" x14ac:dyDescent="0.25">
      <c r="A24" s="2">
        <v>45785</v>
      </c>
      <c r="B24" t="s">
        <v>184</v>
      </c>
      <c r="C24" t="s">
        <v>99</v>
      </c>
      <c r="D24">
        <v>8</v>
      </c>
      <c r="E24" t="s">
        <v>183</v>
      </c>
    </row>
    <row r="25" spans="1:5" x14ac:dyDescent="0.25">
      <c r="A25" s="2">
        <v>45786</v>
      </c>
      <c r="B25" t="s">
        <v>187</v>
      </c>
      <c r="C25" t="s">
        <v>99</v>
      </c>
      <c r="D25">
        <v>3</v>
      </c>
      <c r="E25" t="s">
        <v>181</v>
      </c>
    </row>
    <row r="26" spans="1:5" x14ac:dyDescent="0.25">
      <c r="A26" s="2">
        <v>45786</v>
      </c>
      <c r="B26" t="s">
        <v>189</v>
      </c>
      <c r="C26" t="s">
        <v>99</v>
      </c>
      <c r="D26">
        <v>12</v>
      </c>
      <c r="E26" t="s">
        <v>190</v>
      </c>
    </row>
    <row r="27" spans="1:5" x14ac:dyDescent="0.25">
      <c r="A27" s="2">
        <v>45786</v>
      </c>
      <c r="B27" t="s">
        <v>192</v>
      </c>
      <c r="C27" t="s">
        <v>99</v>
      </c>
      <c r="D27">
        <v>1</v>
      </c>
      <c r="E27" t="s">
        <v>183</v>
      </c>
    </row>
    <row r="28" spans="1:5" x14ac:dyDescent="0.25">
      <c r="A28" s="2">
        <v>45786</v>
      </c>
      <c r="B28" t="s">
        <v>193</v>
      </c>
      <c r="C28" t="s">
        <v>99</v>
      </c>
      <c r="D28">
        <v>1</v>
      </c>
      <c r="E28" t="s">
        <v>183</v>
      </c>
    </row>
    <row r="29" spans="1:5" x14ac:dyDescent="0.25">
      <c r="A29" s="2">
        <v>45786</v>
      </c>
      <c r="B29" t="s">
        <v>182</v>
      </c>
      <c r="C29" t="s">
        <v>99</v>
      </c>
      <c r="D29">
        <v>6</v>
      </c>
      <c r="E29" t="s">
        <v>183</v>
      </c>
    </row>
    <row r="30" spans="1:5" x14ac:dyDescent="0.25">
      <c r="A30" s="2">
        <v>45786</v>
      </c>
      <c r="B30" t="s">
        <v>184</v>
      </c>
      <c r="C30" t="s">
        <v>99</v>
      </c>
      <c r="D30">
        <v>6</v>
      </c>
      <c r="E30" t="s">
        <v>143</v>
      </c>
    </row>
    <row r="31" spans="1:5" x14ac:dyDescent="0.25">
      <c r="A31" s="2">
        <v>45786</v>
      </c>
      <c r="B31" t="s">
        <v>194</v>
      </c>
      <c r="C31" t="s">
        <v>99</v>
      </c>
      <c r="D31">
        <v>1</v>
      </c>
      <c r="E31" t="s">
        <v>183</v>
      </c>
    </row>
    <row r="32" spans="1:5" x14ac:dyDescent="0.25">
      <c r="A32" s="2">
        <v>45786</v>
      </c>
      <c r="B32" t="s">
        <v>195</v>
      </c>
      <c r="C32" t="s">
        <v>99</v>
      </c>
      <c r="D32">
        <v>1</v>
      </c>
      <c r="E32" t="s">
        <v>183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8"/>
  <sheetViews>
    <sheetView workbookViewId="0">
      <selection sqref="A1:C8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156</v>
      </c>
      <c r="C1" t="s">
        <v>157</v>
      </c>
    </row>
    <row r="2" spans="1:3" x14ac:dyDescent="0.25">
      <c r="A2">
        <v>1</v>
      </c>
      <c r="B2" t="s">
        <v>98</v>
      </c>
      <c r="C2">
        <v>250</v>
      </c>
    </row>
    <row r="3" spans="1:3" x14ac:dyDescent="0.25">
      <c r="A3">
        <v>2</v>
      </c>
      <c r="B3" t="s">
        <v>100</v>
      </c>
      <c r="C3">
        <v>100</v>
      </c>
    </row>
    <row r="4" spans="1:3" x14ac:dyDescent="0.25">
      <c r="A4">
        <v>3</v>
      </c>
      <c r="B4" t="s">
        <v>101</v>
      </c>
      <c r="C4">
        <v>100</v>
      </c>
    </row>
    <row r="5" spans="1:3" x14ac:dyDescent="0.25">
      <c r="A5">
        <v>4</v>
      </c>
      <c r="B5" t="s">
        <v>102</v>
      </c>
      <c r="C5">
        <v>100</v>
      </c>
    </row>
    <row r="6" spans="1:3" x14ac:dyDescent="0.25">
      <c r="A6">
        <v>5</v>
      </c>
      <c r="B6" t="s">
        <v>103</v>
      </c>
      <c r="C6">
        <v>5000</v>
      </c>
    </row>
    <row r="7" spans="1:3" x14ac:dyDescent="0.25">
      <c r="A7">
        <v>6</v>
      </c>
      <c r="B7" t="s">
        <v>104</v>
      </c>
      <c r="C7">
        <v>300</v>
      </c>
    </row>
    <row r="8" spans="1:3" x14ac:dyDescent="0.25">
      <c r="A8">
        <v>42</v>
      </c>
      <c r="B8" t="s">
        <v>140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E6"/>
  <sheetViews>
    <sheetView workbookViewId="0">
      <selection sqref="A1:A104857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6" width="81.140625" bestFit="1" customWidth="1"/>
  </cols>
  <sheetData>
    <row r="1" spans="1:5" x14ac:dyDescent="0.25">
      <c r="A1" t="s">
        <v>0</v>
      </c>
      <c r="B1" t="s">
        <v>158</v>
      </c>
      <c r="C1" t="s">
        <v>171</v>
      </c>
      <c r="D1" t="s">
        <v>2</v>
      </c>
      <c r="E1" t="s">
        <v>159</v>
      </c>
    </row>
    <row r="2" spans="1:5" x14ac:dyDescent="0.25">
      <c r="A2">
        <v>1</v>
      </c>
      <c r="B2" t="s">
        <v>154</v>
      </c>
      <c r="D2" t="s">
        <v>172</v>
      </c>
      <c r="E2" t="s">
        <v>173</v>
      </c>
    </row>
    <row r="3" spans="1:5" x14ac:dyDescent="0.25">
      <c r="A3">
        <v>2</v>
      </c>
      <c r="B3" t="s">
        <v>160</v>
      </c>
      <c r="D3" t="s">
        <v>172</v>
      </c>
      <c r="E3" t="s">
        <v>142</v>
      </c>
    </row>
    <row r="4" spans="1:5" x14ac:dyDescent="0.25">
      <c r="A4">
        <v>3</v>
      </c>
      <c r="B4" t="s">
        <v>155</v>
      </c>
      <c r="D4" t="s">
        <v>172</v>
      </c>
      <c r="E4" t="s">
        <v>141</v>
      </c>
    </row>
    <row r="5" spans="1:5" x14ac:dyDescent="0.25">
      <c r="A5">
        <v>4</v>
      </c>
      <c r="B5" t="s">
        <v>161</v>
      </c>
      <c r="D5" t="s">
        <v>172</v>
      </c>
      <c r="E5" t="s">
        <v>143</v>
      </c>
    </row>
    <row r="6" spans="1:5" x14ac:dyDescent="0.25">
      <c r="A6">
        <v>5</v>
      </c>
      <c r="B6" t="s">
        <v>169</v>
      </c>
      <c r="C6">
        <v>2000</v>
      </c>
      <c r="D6" t="s">
        <v>174</v>
      </c>
      <c r="E6" t="s">
        <v>170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E596-C331-43DC-9515-FBF401B2430F}">
  <dimension ref="A1:G4"/>
  <sheetViews>
    <sheetView workbookViewId="0">
      <selection activeCell="C2" sqref="C2"/>
    </sheetView>
  </sheetViews>
  <sheetFormatPr defaultRowHeight="15" x14ac:dyDescent="0.25"/>
  <cols>
    <col min="1" max="1" width="13.85546875" bestFit="1" customWidth="1"/>
    <col min="2" max="2" width="18.85546875" bestFit="1" customWidth="1"/>
    <col min="3" max="3" width="16.7109375" bestFit="1" customWidth="1"/>
    <col min="4" max="6" width="12.140625" bestFit="1" customWidth="1"/>
    <col min="7" max="7" width="11" bestFit="1" customWidth="1"/>
    <col min="8" max="8" width="13.85546875" bestFit="1" customWidth="1"/>
    <col min="9" max="9" width="18.85546875" bestFit="1" customWidth="1"/>
    <col min="10" max="10" width="16.7109375" bestFit="1" customWidth="1"/>
    <col min="11" max="11" width="16.42578125" bestFit="1" customWidth="1"/>
    <col min="12" max="13" width="12.140625" bestFit="1" customWidth="1"/>
    <col min="14" max="14" width="11" bestFit="1" customWidth="1"/>
    <col min="15" max="15" width="15" bestFit="1" customWidth="1"/>
    <col min="16" max="16" width="18.7109375" bestFit="1" customWidth="1"/>
    <col min="17" max="17" width="8" bestFit="1" customWidth="1"/>
    <col min="18" max="18" width="15.42578125" bestFit="1" customWidth="1"/>
    <col min="19" max="19" width="49.42578125" bestFit="1" customWidth="1"/>
    <col min="20" max="20" width="10.7109375" bestFit="1" customWidth="1"/>
    <col min="21" max="21" width="18.42578125" bestFit="1" customWidth="1"/>
    <col min="22" max="22" width="11.42578125" bestFit="1" customWidth="1"/>
    <col min="23" max="23" width="15.42578125" bestFit="1" customWidth="1"/>
    <col min="24" max="24" width="12" bestFit="1" customWidth="1"/>
    <col min="25" max="25" width="10.5703125" bestFit="1" customWidth="1"/>
    <col min="26" max="26" width="12.42578125" bestFit="1" customWidth="1"/>
    <col min="27" max="27" width="13.7109375" bestFit="1" customWidth="1"/>
    <col min="28" max="28" width="5.140625" bestFit="1" customWidth="1"/>
    <col min="29" max="29" width="28.140625" bestFit="1" customWidth="1"/>
    <col min="30" max="30" width="81.140625" bestFit="1" customWidth="1"/>
  </cols>
  <sheetData>
    <row r="1" spans="1:7" x14ac:dyDescent="0.25">
      <c r="A1" t="s">
        <v>9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</row>
    <row r="2" spans="1:7" x14ac:dyDescent="0.25">
      <c r="A2" s="20">
        <v>45786</v>
      </c>
      <c r="B2" t="s">
        <v>97</v>
      </c>
      <c r="C2">
        <v>3990</v>
      </c>
      <c r="D2" t="s">
        <v>103</v>
      </c>
      <c r="G2" t="s">
        <v>154</v>
      </c>
    </row>
    <row r="3" spans="1:7" x14ac:dyDescent="0.25">
      <c r="A3" s="20">
        <v>45787</v>
      </c>
      <c r="B3" t="s">
        <v>39</v>
      </c>
      <c r="C3">
        <v>3990</v>
      </c>
      <c r="G3" t="s">
        <v>154</v>
      </c>
    </row>
    <row r="4" spans="1:7" x14ac:dyDescent="0.25">
      <c r="A4" s="20">
        <v>45787</v>
      </c>
      <c r="B4" t="s">
        <v>39</v>
      </c>
      <c r="C4">
        <v>3990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51"/>
  <sheetViews>
    <sheetView topLeftCell="A17" zoomScale="71" zoomScaleNormal="71" workbookViewId="0">
      <selection activeCell="C38" sqref="C38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style="22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32" t="s">
        <v>34</v>
      </c>
      <c r="D1" s="32"/>
      <c r="E1" s="32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22" t="s">
        <v>18</v>
      </c>
      <c r="F2" s="1" t="s">
        <v>17</v>
      </c>
      <c r="G2" s="1" t="s">
        <v>162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45780</v>
      </c>
      <c r="C3" s="26" t="s">
        <v>53</v>
      </c>
      <c r="D3" s="14" t="str">
        <f>IFERROR(VLOOKUP(_TBL_LAPTOP_INVENTORY[[#This Row],[INVENTORY ITEM]],_TBL_INVENTORY_TOTAL[[INVENTORY ITEM]:[TYPE]], 2, FALSE), "")</f>
        <v>WINDOWS</v>
      </c>
      <c r="E3" s="29">
        <v>1</v>
      </c>
      <c r="F3" s="4">
        <f>IF(_TBL_LAPTOP_INVENTORY[[#This Row],[IN]] &lt;&gt; 0, _TBL_LAPTOP_INVENTORY[[#This Row],[IN]],"")</f>
        <v>1</v>
      </c>
      <c r="G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" s="16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" s="28"/>
      <c r="J3" s="19"/>
      <c r="K3" s="10"/>
    </row>
    <row r="4" spans="2:11" x14ac:dyDescent="0.25">
      <c r="B4" s="2">
        <v>45780</v>
      </c>
      <c r="C4" s="27" t="s">
        <v>178</v>
      </c>
      <c r="D4" s="24" t="str">
        <f>IFERROR(VLOOKUP(_TBL_LAPTOP_INVENTORY[[#This Row],[INVENTORY ITEM]],_TBL_INVENTORY_TOTAL[[INVENTORY ITEM]:[TYPE]], 2, FALSE), "")</f>
        <v>Printer</v>
      </c>
      <c r="E4" s="30">
        <v>19</v>
      </c>
      <c r="F4" s="4">
        <f>IF(_TBL_LAPTOP_INVENTORY[[#This Row],[IN]] &lt;&gt; 0, _TBL_LAPTOP_INVENTORY[[#This Row],[IN]],"")</f>
        <v>19</v>
      </c>
      <c r="G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4" s="11"/>
      <c r="J4" s="18"/>
      <c r="K4" s="12"/>
    </row>
    <row r="5" spans="2:11" x14ac:dyDescent="0.25">
      <c r="B5" s="2">
        <v>45780</v>
      </c>
      <c r="C5" s="27" t="s">
        <v>151</v>
      </c>
      <c r="D5" s="24" t="str">
        <f>IFERROR(VLOOKUP(_TBL_LAPTOP_INVENTORY[[#This Row],[INVENTORY ITEM]],_TBL_INVENTORY_TOTAL[[INVENTORY ITEM]:[TYPE]], 2, FALSE), "")</f>
        <v>Printer</v>
      </c>
      <c r="E5" s="30">
        <v>17</v>
      </c>
      <c r="F5" s="4">
        <f>IF(_TBL_LAPTOP_INVENTORY[[#This Row],[IN]] &lt;&gt; 0, _TBL_LAPTOP_INVENTORY[[#This Row],[IN]],"")</f>
        <v>17</v>
      </c>
      <c r="G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17</v>
      </c>
      <c r="H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5" s="11"/>
      <c r="J5" s="18"/>
      <c r="K5" s="12"/>
    </row>
    <row r="6" spans="2:11" x14ac:dyDescent="0.25">
      <c r="B6" s="2">
        <v>45780</v>
      </c>
      <c r="C6" s="27" t="s">
        <v>43</v>
      </c>
      <c r="D6" s="24" t="str">
        <f>IFERROR(VLOOKUP(_TBL_LAPTOP_INVENTORY[[#This Row],[INVENTORY ITEM]],_TBL_INVENTORY_TOTAL[[INVENTORY ITEM]:[TYPE]], 2, FALSE), "")</f>
        <v>Printer</v>
      </c>
      <c r="E6" s="30">
        <v>8</v>
      </c>
      <c r="F6" s="4">
        <f>IF(_TBL_LAPTOP_INVENTORY[[#This Row],[IN]] &lt;&gt; 0, _TBL_LAPTOP_INVENTORY[[#This Row],[IN]],"")</f>
        <v>8</v>
      </c>
      <c r="G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8</v>
      </c>
      <c r="H6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6" s="11"/>
      <c r="J6" s="18"/>
      <c r="K6" s="12"/>
    </row>
    <row r="7" spans="2:11" x14ac:dyDescent="0.25">
      <c r="B7" s="2">
        <v>45780</v>
      </c>
      <c r="C7" s="27" t="s">
        <v>149</v>
      </c>
      <c r="D7" s="24" t="str">
        <f>IFERROR(VLOOKUP(_TBL_LAPTOP_INVENTORY[[#This Row],[INVENTORY ITEM]],_TBL_INVENTORY_TOTAL[[INVENTORY ITEM]:[TYPE]], 2, FALSE), "")</f>
        <v>Printer</v>
      </c>
      <c r="E7" s="30">
        <v>7</v>
      </c>
      <c r="F7" s="4">
        <f>IF(_TBL_LAPTOP_INVENTORY[[#This Row],[IN]] &lt;&gt; 0, _TBL_LAPTOP_INVENTORY[[#This Row],[IN]],"")</f>
        <v>7</v>
      </c>
      <c r="G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7</v>
      </c>
      <c r="H7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7" s="11"/>
      <c r="J7" s="18"/>
      <c r="K7" s="12"/>
    </row>
    <row r="8" spans="2:11" x14ac:dyDescent="0.25">
      <c r="B8" s="2">
        <v>45780</v>
      </c>
      <c r="C8" s="27" t="s">
        <v>35</v>
      </c>
      <c r="D8" s="24" t="str">
        <f>IFERROR(VLOOKUP(_TBL_LAPTOP_INVENTORY[[#This Row],[INVENTORY ITEM]],_TBL_INVENTORY_TOTAL[[INVENTORY ITEM]:[TYPE]], 2, FALSE), "")</f>
        <v>PC</v>
      </c>
      <c r="E8" s="30">
        <v>14</v>
      </c>
      <c r="F8" s="4">
        <f>IF(_TBL_LAPTOP_INVENTORY[[#This Row],[IN]] &lt;&gt; 0, _TBL_LAPTOP_INVENTORY[[#This Row],[IN]],"")</f>
        <v>14</v>
      </c>
      <c r="G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14</v>
      </c>
      <c r="H8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8" s="11"/>
      <c r="J8" s="18"/>
      <c r="K8" s="12"/>
    </row>
    <row r="9" spans="2:11" x14ac:dyDescent="0.25">
      <c r="B9" s="2">
        <v>45780</v>
      </c>
      <c r="C9" s="27" t="s">
        <v>41</v>
      </c>
      <c r="D9" s="24" t="str">
        <f>IFERROR(VLOOKUP(_TBL_LAPTOP_INVENTORY[[#This Row],[INVENTORY ITEM]],_TBL_INVENTORY_TOTAL[[INVENTORY ITEM]:[TYPE]], 2, FALSE), "")</f>
        <v>PC</v>
      </c>
      <c r="E9" s="30">
        <v>5</v>
      </c>
      <c r="F9" s="4">
        <f>IF(_TBL_LAPTOP_INVENTORY[[#This Row],[IN]] &lt;&gt; 0, _TBL_LAPTOP_INVENTORY[[#This Row],[IN]],"")</f>
        <v>5</v>
      </c>
      <c r="G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9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9" s="11"/>
      <c r="J9" s="18"/>
      <c r="K9" s="12"/>
    </row>
    <row r="10" spans="2:11" x14ac:dyDescent="0.25">
      <c r="B10" s="2">
        <v>45780</v>
      </c>
      <c r="C10" s="27" t="s">
        <v>45</v>
      </c>
      <c r="D10" s="24" t="str">
        <f>IFERROR(VLOOKUP(_TBL_LAPTOP_INVENTORY[[#This Row],[INVENTORY ITEM]],_TBL_INVENTORY_TOTAL[[INVENTORY ITEM]:[TYPE]], 2, FALSE), "")</f>
        <v>PC</v>
      </c>
      <c r="E10" s="30">
        <v>19</v>
      </c>
      <c r="F10" s="4">
        <f>IF(_TBL_LAPTOP_INVENTORY[[#This Row],[IN]] &lt;&gt; 0, _TBL_LAPTOP_INVENTORY[[#This Row],[IN]],"")</f>
        <v>19</v>
      </c>
      <c r="G1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10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0" s="11"/>
      <c r="J10" s="18"/>
      <c r="K10" s="12"/>
    </row>
    <row r="11" spans="2:11" x14ac:dyDescent="0.25">
      <c r="B11" s="2">
        <v>45780</v>
      </c>
      <c r="C11" s="27" t="s">
        <v>148</v>
      </c>
      <c r="D11" s="24" t="str">
        <f>IFERROR(VLOOKUP(_TBL_LAPTOP_INVENTORY[[#This Row],[INVENTORY ITEM]],_TBL_INVENTORY_TOTAL[[INVENTORY ITEM]:[TYPE]], 2, FALSE), "")</f>
        <v>Printer</v>
      </c>
      <c r="E11" s="30">
        <v>3</v>
      </c>
      <c r="F11" s="4">
        <f>IF(_TBL_LAPTOP_INVENTORY[[#This Row],[IN]] &lt;&gt; 0, _TBL_LAPTOP_INVENTORY[[#This Row],[IN]],"")</f>
        <v>3</v>
      </c>
      <c r="G1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</v>
      </c>
      <c r="H11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1" s="11"/>
      <c r="J11" s="18"/>
      <c r="K11" s="12"/>
    </row>
    <row r="12" spans="2:11" x14ac:dyDescent="0.25">
      <c r="B12" s="2">
        <v>45781</v>
      </c>
      <c r="C12" s="27" t="s">
        <v>180</v>
      </c>
      <c r="D12" s="24" t="str">
        <f>IFERROR(VLOOKUP(_TBL_LAPTOP_INVENTORY[[#This Row],[INVENTORY ITEM]],_TBL_INVENTORY_TOTAL[[INVENTORY ITEM]:[TYPE]], 2, FALSE), "")</f>
        <v>Add Ons</v>
      </c>
      <c r="E12" s="30">
        <v>1</v>
      </c>
      <c r="F12" s="4">
        <f>IF(_TBL_LAPTOP_INVENTORY[[#This Row],[IN]] &lt;&gt; 0, _TBL_LAPTOP_INVENTORY[[#This Row],[IN]],"")</f>
        <v>1</v>
      </c>
      <c r="G1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1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2" s="11"/>
      <c r="J12" s="18"/>
      <c r="K12" s="12"/>
    </row>
    <row r="13" spans="2:11" x14ac:dyDescent="0.25">
      <c r="B13" s="2">
        <v>45782</v>
      </c>
      <c r="C13" s="27" t="s">
        <v>182</v>
      </c>
      <c r="D13" s="24" t="str">
        <f>IFERROR(VLOOKUP(_TBL_LAPTOP_INVENTORY[[#This Row],[INVENTORY ITEM]],_TBL_INVENTORY_TOTAL[[INVENTORY ITEM]:[TYPE]], 2, FALSE), "")</f>
        <v>Add Ons</v>
      </c>
      <c r="E13" s="30">
        <v>10</v>
      </c>
      <c r="F13" s="4">
        <f>IF(_TBL_LAPTOP_INVENTORY[[#This Row],[IN]] &lt;&gt; 0, _TBL_LAPTOP_INVENTORY[[#This Row],[IN]],"")</f>
        <v>10</v>
      </c>
      <c r="G1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3" s="11"/>
      <c r="J13" s="18"/>
      <c r="K13" s="12"/>
    </row>
    <row r="14" spans="2:11" x14ac:dyDescent="0.25">
      <c r="B14" s="2">
        <v>45782</v>
      </c>
      <c r="C14" s="27" t="s">
        <v>184</v>
      </c>
      <c r="D14" s="24" t="str">
        <f>IFERROR(VLOOKUP(_TBL_LAPTOP_INVENTORY[[#This Row],[INVENTORY ITEM]],_TBL_INVENTORY_TOTAL[[INVENTORY ITEM]:[TYPE]], 2, FALSE), "")</f>
        <v>Add Ons</v>
      </c>
      <c r="E14" s="30">
        <v>10</v>
      </c>
      <c r="F14" s="4">
        <f>IF(_TBL_LAPTOP_INVENTORY[[#This Row],[IN]] &lt;&gt; 0, _TBL_LAPTOP_INVENTORY[[#This Row],[IN]],"")</f>
        <v>10</v>
      </c>
      <c r="G1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4" s="11"/>
      <c r="J14" s="18"/>
      <c r="K14" s="12"/>
    </row>
    <row r="15" spans="2:11" x14ac:dyDescent="0.25">
      <c r="B15" s="2">
        <v>45782</v>
      </c>
      <c r="C15" s="27" t="s">
        <v>185</v>
      </c>
      <c r="D15" s="24" t="str">
        <f>IFERROR(VLOOKUP(_TBL_LAPTOP_INVENTORY[[#This Row],[INVENTORY ITEM]],_TBL_INVENTORY_TOTAL[[INVENTORY ITEM]:[TYPE]], 2, FALSE), "")</f>
        <v>Add Ons</v>
      </c>
      <c r="E15" s="30">
        <v>10</v>
      </c>
      <c r="F15" s="4">
        <f>IF(_TBL_LAPTOP_INVENTORY[[#This Row],[IN]] &lt;&gt; 0, _TBL_LAPTOP_INVENTORY[[#This Row],[IN]],"")</f>
        <v>10</v>
      </c>
      <c r="G1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10</v>
      </c>
      <c r="H1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5" s="11"/>
      <c r="J15" s="18"/>
      <c r="K15" s="12"/>
    </row>
    <row r="16" spans="2:11" x14ac:dyDescent="0.25">
      <c r="B16" s="2">
        <v>45783</v>
      </c>
      <c r="C16" s="27" t="s">
        <v>180</v>
      </c>
      <c r="D16" s="24" t="str">
        <f>IFERROR(VLOOKUP(_TBL_LAPTOP_INVENTORY[[#This Row],[INVENTORY ITEM]],_TBL_INVENTORY_TOTAL[[INVENTORY ITEM]:[TYPE]], 2, FALSE), "")</f>
        <v>Add Ons</v>
      </c>
      <c r="E16" s="30">
        <v>1</v>
      </c>
      <c r="F16" s="4">
        <f>IF(_TBL_LAPTOP_INVENTORY[[#This Row],[IN]] &lt;&gt; 0, _TBL_LAPTOP_INVENTORY[[#This Row],[IN]],"")</f>
        <v>1</v>
      </c>
      <c r="G1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</v>
      </c>
      <c r="H16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6" s="11"/>
      <c r="J16" s="18"/>
      <c r="K16" s="12"/>
    </row>
    <row r="17" spans="2:11" x14ac:dyDescent="0.25">
      <c r="B17" s="2">
        <v>45783</v>
      </c>
      <c r="C17" s="27" t="s">
        <v>186</v>
      </c>
      <c r="D17" s="24" t="str">
        <f>IFERROR(VLOOKUP(_TBL_LAPTOP_INVENTORY[[#This Row],[INVENTORY ITEM]],_TBL_INVENTORY_TOTAL[[INVENTORY ITEM]:[TYPE]], 2, FALSE), "")</f>
        <v>Add Ons</v>
      </c>
      <c r="E17" s="30">
        <v>5</v>
      </c>
      <c r="F17" s="4">
        <f>IF(_TBL_LAPTOP_INVENTORY[[#This Row],[IN]] &lt;&gt; 0, _TBL_LAPTOP_INVENTORY[[#This Row],[IN]],"")</f>
        <v>5</v>
      </c>
      <c r="G1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17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7" s="11"/>
      <c r="J17" s="18"/>
      <c r="K17" s="12"/>
    </row>
    <row r="18" spans="2:11" x14ac:dyDescent="0.25">
      <c r="B18" s="2">
        <v>45784</v>
      </c>
      <c r="C18" s="27" t="s">
        <v>187</v>
      </c>
      <c r="D18" s="24" t="str">
        <f>IFERROR(VLOOKUP(_TBL_LAPTOP_INVENTORY[[#This Row],[INVENTORY ITEM]],_TBL_INVENTORY_TOTAL[[INVENTORY ITEM]:[TYPE]], 2, FALSE), "")</f>
        <v>Add Ons</v>
      </c>
      <c r="E18" s="30">
        <v>3</v>
      </c>
      <c r="F18" s="4">
        <f>IF(_TBL_LAPTOP_INVENTORY[[#This Row],[IN]] &lt;&gt; 0, _TBL_LAPTOP_INVENTORY[[#This Row],[IN]],"")</f>
        <v>3</v>
      </c>
      <c r="G1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</v>
      </c>
      <c r="H18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8" s="11"/>
      <c r="J18" s="18"/>
      <c r="K18" s="12"/>
    </row>
    <row r="19" spans="2:11" x14ac:dyDescent="0.25">
      <c r="B19" s="2">
        <v>45784</v>
      </c>
      <c r="C19" s="27" t="s">
        <v>189</v>
      </c>
      <c r="D19" s="24" t="str">
        <f>IFERROR(VLOOKUP(_TBL_LAPTOP_INVENTORY[[#This Row],[INVENTORY ITEM]],_TBL_INVENTORY_TOTAL[[INVENTORY ITEM]:[TYPE]], 2, FALSE), "")</f>
        <v>Add Ons</v>
      </c>
      <c r="E19" s="30">
        <v>18</v>
      </c>
      <c r="F19" s="4">
        <f>IF(_TBL_LAPTOP_INVENTORY[[#This Row],[IN]] &lt;&gt; 0, _TBL_LAPTOP_INVENTORY[[#This Row],[IN]],"")</f>
        <v>18</v>
      </c>
      <c r="G1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18</v>
      </c>
      <c r="H19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9" s="11"/>
      <c r="J19" s="18"/>
      <c r="K19" s="12"/>
    </row>
    <row r="20" spans="2:11" x14ac:dyDescent="0.25">
      <c r="B20" s="2">
        <v>45784</v>
      </c>
      <c r="C20" s="27" t="s">
        <v>180</v>
      </c>
      <c r="D20" s="24" t="str">
        <f>IFERROR(VLOOKUP(_TBL_LAPTOP_INVENTORY[[#This Row],[INVENTORY ITEM]],_TBL_INVENTORY_TOTAL[[INVENTORY ITEM]:[TYPE]], 2, FALSE), "")</f>
        <v>Add Ons</v>
      </c>
      <c r="E20" s="30">
        <v>3</v>
      </c>
      <c r="F20" s="4">
        <f>IF(_TBL_LAPTOP_INVENTORY[[#This Row],[IN]] &lt;&gt; 0, _TBL_LAPTOP_INVENTORY[[#This Row],[IN]],"")</f>
        <v>3</v>
      </c>
      <c r="G2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20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0" s="11"/>
      <c r="J20" s="18"/>
      <c r="K20" s="12"/>
    </row>
    <row r="21" spans="2:11" x14ac:dyDescent="0.25">
      <c r="B21" s="2">
        <v>45784</v>
      </c>
      <c r="C21" s="27" t="s">
        <v>182</v>
      </c>
      <c r="D21" s="24" t="str">
        <f>IFERROR(VLOOKUP(_TBL_LAPTOP_INVENTORY[[#This Row],[INVENTORY ITEM]],_TBL_INVENTORY_TOTAL[[INVENTORY ITEM]:[TYPE]], 2, FALSE), "")</f>
        <v>Add Ons</v>
      </c>
      <c r="E21" s="30">
        <v>9</v>
      </c>
      <c r="F21" s="4">
        <f>IF(_TBL_LAPTOP_INVENTORY[[#This Row],[IN]] &lt;&gt; 0, _TBL_LAPTOP_INVENTORY[[#This Row],[IN]],"")</f>
        <v>9</v>
      </c>
      <c r="G2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21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1" s="11"/>
      <c r="J21" s="18"/>
      <c r="K21" s="12"/>
    </row>
    <row r="22" spans="2:11" x14ac:dyDescent="0.25">
      <c r="B22" s="2">
        <v>45784</v>
      </c>
      <c r="C22" s="27" t="s">
        <v>184</v>
      </c>
      <c r="D22" s="24" t="str">
        <f>IFERROR(VLOOKUP(_TBL_LAPTOP_INVENTORY[[#This Row],[INVENTORY ITEM]],_TBL_INVENTORY_TOTAL[[INVENTORY ITEM]:[TYPE]], 2, FALSE), "")</f>
        <v>Add Ons</v>
      </c>
      <c r="E22" s="30">
        <v>9</v>
      </c>
      <c r="F22" s="4">
        <f>IF(_TBL_LAPTOP_INVENTORY[[#This Row],[IN]] &lt;&gt; 0, _TBL_LAPTOP_INVENTORY[[#This Row],[IN]],"")</f>
        <v>9</v>
      </c>
      <c r="G2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2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2" s="11"/>
      <c r="J22" s="18"/>
      <c r="K22" s="12"/>
    </row>
    <row r="23" spans="2:11" x14ac:dyDescent="0.25">
      <c r="B23" s="2">
        <v>45785</v>
      </c>
      <c r="C23" s="27" t="s">
        <v>191</v>
      </c>
      <c r="D23" s="24" t="str">
        <f>IFERROR(VLOOKUP(_TBL_LAPTOP_INVENTORY[[#This Row],[INVENTORY ITEM]],_TBL_INVENTORY_TOTAL[[INVENTORY ITEM]:[TYPE]], 2, FALSE), "")</f>
        <v>Add Ons</v>
      </c>
      <c r="E23" s="30">
        <v>27</v>
      </c>
      <c r="F23" s="4">
        <f>IF(_TBL_LAPTOP_INVENTORY[[#This Row],[IN]] &lt;&gt; 0, _TBL_LAPTOP_INVENTORY[[#This Row],[IN]],"")</f>
        <v>27</v>
      </c>
      <c r="G2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3" s="11"/>
      <c r="J23" s="18"/>
      <c r="K23" s="12"/>
    </row>
    <row r="24" spans="2:11" x14ac:dyDescent="0.25">
      <c r="B24" s="2">
        <v>45785</v>
      </c>
      <c r="C24" s="27" t="s">
        <v>182</v>
      </c>
      <c r="D24" s="24" t="str">
        <f>IFERROR(VLOOKUP(_TBL_LAPTOP_INVENTORY[[#This Row],[INVENTORY ITEM]],_TBL_INVENTORY_TOTAL[[INVENTORY ITEM]:[TYPE]], 2, FALSE), "")</f>
        <v>Add Ons</v>
      </c>
      <c r="E24" s="30">
        <v>8</v>
      </c>
      <c r="F24" s="4">
        <f>IF(_TBL_LAPTOP_INVENTORY[[#This Row],[IN]] &lt;&gt; 0, _TBL_LAPTOP_INVENTORY[[#This Row],[IN]],"")</f>
        <v>8</v>
      </c>
      <c r="G2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4" s="11"/>
      <c r="J24" s="18"/>
      <c r="K24" s="12"/>
    </row>
    <row r="25" spans="2:11" x14ac:dyDescent="0.25">
      <c r="B25" s="2">
        <v>45785</v>
      </c>
      <c r="C25" s="27" t="s">
        <v>184</v>
      </c>
      <c r="D25" s="14" t="str">
        <f>IFERROR(VLOOKUP(_TBL_LAPTOP_INVENTORY[[#This Row],[INVENTORY ITEM]],_TBL_INVENTORY_TOTAL[[INVENTORY ITEM]:[TYPE]], 2, FALSE), "")</f>
        <v>Add Ons</v>
      </c>
      <c r="E25" s="30">
        <v>8</v>
      </c>
      <c r="F25" s="4">
        <f>IF(_TBL_LAPTOP_INVENTORY[[#This Row],[IN]] &lt;&gt; 0, _TBL_LAPTOP_INVENTORY[[#This Row],[IN]],"")</f>
        <v>8</v>
      </c>
      <c r="G2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27</v>
      </c>
      <c r="H25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5" s="11"/>
      <c r="J25" s="18"/>
      <c r="K25" s="12"/>
    </row>
    <row r="26" spans="2:11" x14ac:dyDescent="0.25">
      <c r="B26" s="2">
        <v>45786</v>
      </c>
      <c r="C26" s="27" t="s">
        <v>187</v>
      </c>
      <c r="D26" s="14" t="str">
        <f>IFERROR(VLOOKUP(_TBL_LAPTOP_INVENTORY[[#This Row],[INVENTORY ITEM]],_TBL_INVENTORY_TOTAL[[INVENTORY ITEM]:[TYPE]], 2, FALSE), "")</f>
        <v>Add Ons</v>
      </c>
      <c r="E26" s="30">
        <v>3</v>
      </c>
      <c r="F26" s="4">
        <f>IF(_TBL_LAPTOP_INVENTORY[[#This Row],[IN]] &lt;&gt; 0, _TBL_LAPTOP_INVENTORY[[#This Row],[IN]],"")</f>
        <v>3</v>
      </c>
      <c r="G2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6</v>
      </c>
      <c r="H26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6" s="11"/>
      <c r="J26" s="18"/>
      <c r="K26" s="12"/>
    </row>
    <row r="27" spans="2:11" x14ac:dyDescent="0.25">
      <c r="B27" s="2">
        <v>45786</v>
      </c>
      <c r="C27" s="27" t="s">
        <v>189</v>
      </c>
      <c r="D27" s="14" t="str">
        <f>IFERROR(VLOOKUP(_TBL_LAPTOP_INVENTORY[[#This Row],[INVENTORY ITEM]],_TBL_INVENTORY_TOTAL[[INVENTORY ITEM]:[TYPE]], 2, FALSE), "")</f>
        <v>Add Ons</v>
      </c>
      <c r="E27" s="30">
        <v>12</v>
      </c>
      <c r="F27" s="4">
        <f>IF(_TBL_LAPTOP_INVENTORY[[#This Row],[IN]] &lt;&gt; 0, _TBL_LAPTOP_INVENTORY[[#This Row],[IN]],"")</f>
        <v>12</v>
      </c>
      <c r="G2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30</v>
      </c>
      <c r="H27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7" s="11"/>
      <c r="J27" s="18"/>
      <c r="K27" s="12"/>
    </row>
    <row r="28" spans="2:11" x14ac:dyDescent="0.25">
      <c r="B28" s="2">
        <v>45786</v>
      </c>
      <c r="C28" s="27" t="s">
        <v>192</v>
      </c>
      <c r="D28" s="14" t="str">
        <f>IFERROR(VLOOKUP(_TBL_LAPTOP_INVENTORY[[#This Row],[INVENTORY ITEM]],_TBL_INVENTORY_TOTAL[[INVENTORY ITEM]:[TYPE]], 2, FALSE), "")</f>
        <v>Add Ons</v>
      </c>
      <c r="E28" s="30">
        <v>1</v>
      </c>
      <c r="F28" s="4">
        <f>IF(_TBL_LAPTOP_INVENTORY[[#This Row],[IN]] &lt;&gt; 0, _TBL_LAPTOP_INVENTORY[[#This Row],[IN]],"")</f>
        <v>1</v>
      </c>
      <c r="G2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28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8" s="11"/>
      <c r="J28" s="18"/>
      <c r="K28" s="12"/>
    </row>
    <row r="29" spans="2:11" x14ac:dyDescent="0.25">
      <c r="B29" s="2">
        <v>45786</v>
      </c>
      <c r="C29" s="27" t="s">
        <v>193</v>
      </c>
      <c r="D29" s="14" t="str">
        <f>IFERROR(VLOOKUP(_TBL_LAPTOP_INVENTORY[[#This Row],[INVENTORY ITEM]],_TBL_INVENTORY_TOTAL[[INVENTORY ITEM]:[TYPE]], 2, FALSE), "")</f>
        <v>Add Ons</v>
      </c>
      <c r="E29" s="30">
        <v>1</v>
      </c>
      <c r="F29" s="4">
        <f>IF(_TBL_LAPTOP_INVENTORY[[#This Row],[IN]] &lt;&gt; 0, _TBL_LAPTOP_INVENTORY[[#This Row],[IN]],"")</f>
        <v>1</v>
      </c>
      <c r="G2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29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29" s="11"/>
      <c r="J29" s="18"/>
      <c r="K29" s="12"/>
    </row>
    <row r="30" spans="2:11" x14ac:dyDescent="0.25">
      <c r="B30" s="2">
        <v>45786</v>
      </c>
      <c r="C30" s="27" t="s">
        <v>182</v>
      </c>
      <c r="D30" s="14" t="str">
        <f>IFERROR(VLOOKUP(_TBL_LAPTOP_INVENTORY[[#This Row],[INVENTORY ITEM]],_TBL_INVENTORY_TOTAL[[INVENTORY ITEM]:[TYPE]], 2, FALSE), "")</f>
        <v>Add Ons</v>
      </c>
      <c r="E30" s="30">
        <v>6</v>
      </c>
      <c r="F30" s="4">
        <f>IF(_TBL_LAPTOP_INVENTORY[[#This Row],[IN]] &lt;&gt; 0, _TBL_LAPTOP_INVENTORY[[#This Row],[IN]],"")</f>
        <v>6</v>
      </c>
      <c r="G3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33</v>
      </c>
      <c r="H30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0" s="11"/>
      <c r="J30" s="18"/>
      <c r="K30" s="12"/>
    </row>
    <row r="31" spans="2:11" x14ac:dyDescent="0.25">
      <c r="B31" s="2">
        <v>45786</v>
      </c>
      <c r="C31" s="27" t="s">
        <v>184</v>
      </c>
      <c r="D31" s="14" t="str">
        <f>IFERROR(VLOOKUP(_TBL_LAPTOP_INVENTORY[[#This Row],[INVENTORY ITEM]],_TBL_INVENTORY_TOTAL[[INVENTORY ITEM]:[TYPE]], 2, FALSE), "")</f>
        <v>Add Ons</v>
      </c>
      <c r="E31" s="30">
        <v>6</v>
      </c>
      <c r="F31" s="4">
        <f>IF(_TBL_LAPTOP_INVENTORY[[#This Row],[IN]] &lt;&gt; 0, _TBL_LAPTOP_INVENTORY[[#This Row],[IN]],"")</f>
        <v>6</v>
      </c>
      <c r="G3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33</v>
      </c>
      <c r="H31" s="21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1" s="11"/>
      <c r="J31" s="18"/>
      <c r="K31" s="12"/>
    </row>
    <row r="32" spans="2:11" x14ac:dyDescent="0.25">
      <c r="B32" s="2">
        <v>45786</v>
      </c>
      <c r="C32" s="27" t="s">
        <v>194</v>
      </c>
      <c r="D32" s="24" t="str">
        <f>IFERROR(VLOOKUP(_TBL_LAPTOP_INVENTORY[[#This Row],[INVENTORY ITEM]],_TBL_INVENTORY_TOTAL[[INVENTORY ITEM]:[TYPE]], 2, FALSE), "")</f>
        <v>Add Ons</v>
      </c>
      <c r="E32" s="17">
        <v>1</v>
      </c>
      <c r="F32" s="4">
        <f>IF(_TBL_LAPTOP_INVENTORY[[#This Row],[IN]] &lt;&gt; 0, _TBL_LAPTOP_INVENTORY[[#This Row],[IN]],"")</f>
        <v>1</v>
      </c>
      <c r="G3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2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2" s="11"/>
      <c r="J32" s="18"/>
      <c r="K32" s="12"/>
    </row>
    <row r="33" spans="2:11" x14ac:dyDescent="0.25">
      <c r="B33" s="2">
        <v>45786</v>
      </c>
      <c r="C33" s="27" t="s">
        <v>195</v>
      </c>
      <c r="D33" s="24" t="str">
        <f>IFERROR(VLOOKUP(_TBL_LAPTOP_INVENTORY[[#This Row],[INVENTORY ITEM]],_TBL_INVENTORY_TOTAL[[INVENTORY ITEM]:[TYPE]], 2, FALSE), "")</f>
        <v>Add Ons</v>
      </c>
      <c r="E33" s="17">
        <v>1</v>
      </c>
      <c r="F33" s="4">
        <f>IF(_TBL_LAPTOP_INVENTORY[[#This Row],[IN]] &lt;&gt; 0, _TBL_LAPTOP_INVENTORY[[#This Row],[IN]],"")</f>
        <v>1</v>
      </c>
      <c r="G3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33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3" s="11"/>
      <c r="J33" s="18"/>
      <c r="K33" s="12"/>
    </row>
    <row r="34" spans="2:11" x14ac:dyDescent="0.25">
      <c r="B34" s="2">
        <v>45787</v>
      </c>
      <c r="C34" s="15" t="s">
        <v>39</v>
      </c>
      <c r="D34" s="24" t="str">
        <f>IFERROR(VLOOKUP(_TBL_LAPTOP_INVENTORY[[#This Row],[INVENTORY ITEM]],_TBL_INVENTORY_TOTAL[[INVENTORY ITEM]:[TYPE]], 2, FALSE), "")</f>
        <v/>
      </c>
      <c r="E34" s="17">
        <v>22</v>
      </c>
      <c r="F34" s="4">
        <f>IF(_TBL_LAPTOP_INVENTORY[[#This Row],[IN]] &lt;&gt; 0, _TBL_LAPTOP_INVENTORY[[#This Row],[IN]],"")</f>
        <v>22</v>
      </c>
      <c r="G3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20</v>
      </c>
      <c r="H34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4" s="11"/>
      <c r="J34" s="18"/>
      <c r="K34" s="12"/>
    </row>
    <row r="35" spans="2:11" x14ac:dyDescent="0.25">
      <c r="B35" s="2">
        <v>45787</v>
      </c>
      <c r="C35" s="15" t="s">
        <v>196</v>
      </c>
      <c r="D35" s="24" t="str">
        <f>IFERROR(VLOOKUP(_TBL_LAPTOP_INVENTORY[[#This Row],[INVENTORY ITEM]],_TBL_INVENTORY_TOTAL[[INVENTORY ITEM]:[TYPE]], 2, FALSE), "")</f>
        <v/>
      </c>
      <c r="E35" s="17"/>
      <c r="F35" s="4" t="str">
        <f>IF(_TBL_LAPTOP_INVENTORY[[#This Row],[IN]] &lt;&gt; 0, _TBL_LAPTOP_INVENTORY[[#This Row],[IN]],"")</f>
        <v/>
      </c>
      <c r="G3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5" s="25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0</v>
      </c>
      <c r="I35" s="11"/>
      <c r="J35" s="18"/>
      <c r="K35" s="12"/>
    </row>
    <row r="36" spans="2:11" x14ac:dyDescent="0.25">
      <c r="B36" s="2"/>
      <c r="C36" s="15"/>
      <c r="D36" s="24" t="str">
        <f>IFERROR(VLOOKUP(_TBL_LAPTOP_INVENTORY[[#This Row],[INVENTORY ITEM]],_TBL_INVENTORY_TOTAL[[INVENTORY ITEM]:[TYPE]], 2, FALSE), "")</f>
        <v/>
      </c>
      <c r="E36" s="17"/>
      <c r="F36" s="4" t="str">
        <f>IF(_TBL_LAPTOP_INVENTORY[[#This Row],[IN]] &lt;&gt; 0, _TBL_LAPTOP_INVENTORY[[#This Row],[IN]],"")</f>
        <v/>
      </c>
      <c r="G3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6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6" s="11"/>
      <c r="J36" s="18"/>
      <c r="K36" s="12"/>
    </row>
    <row r="37" spans="2:11" x14ac:dyDescent="0.25">
      <c r="B37" s="2"/>
      <c r="C37" s="15"/>
      <c r="D37" s="24" t="str">
        <f>IFERROR(VLOOKUP(_TBL_LAPTOP_INVENTORY[[#This Row],[INVENTORY ITEM]],_TBL_INVENTORY_TOTAL[[INVENTORY ITEM]:[TYPE]], 2, FALSE), "")</f>
        <v/>
      </c>
      <c r="E37" s="17"/>
      <c r="F37" s="4" t="str">
        <f>IF(_TBL_LAPTOP_INVENTORY[[#This Row],[IN]] &lt;&gt; 0, _TBL_LAPTOP_INVENTORY[[#This Row],[IN]],"")</f>
        <v/>
      </c>
      <c r="G3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7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7" s="11"/>
      <c r="J37" s="18"/>
      <c r="K37" s="12"/>
    </row>
    <row r="38" spans="2:11" x14ac:dyDescent="0.25">
      <c r="B38" s="2"/>
      <c r="C38" s="15"/>
      <c r="D38" s="24" t="str">
        <f>IFERROR(VLOOKUP(_TBL_LAPTOP_INVENTORY[[#This Row],[INVENTORY ITEM]],_TBL_INVENTORY_TOTAL[[INVENTORY ITEM]:[TYPE]], 2, FALSE), "")</f>
        <v/>
      </c>
      <c r="E38" s="17"/>
      <c r="F38" s="4" t="str">
        <f>IF(_TBL_LAPTOP_INVENTORY[[#This Row],[IN]] &lt;&gt; 0, _TBL_LAPTOP_INVENTORY[[#This Row],[IN]],"")</f>
        <v/>
      </c>
      <c r="G3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8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8" s="11"/>
      <c r="J38" s="18"/>
      <c r="K38" s="12"/>
    </row>
    <row r="39" spans="2:11" x14ac:dyDescent="0.25">
      <c r="B39" s="2"/>
      <c r="C39" s="15"/>
      <c r="D39" s="24" t="str">
        <f>IFERROR(VLOOKUP(_TBL_LAPTOP_INVENTORY[[#This Row],[INVENTORY ITEM]],_TBL_INVENTORY_TOTAL[[INVENTORY ITEM]:[TYPE]], 2, FALSE), "")</f>
        <v/>
      </c>
      <c r="E39" s="17"/>
      <c r="F39" s="4" t="str">
        <f>IF(_TBL_LAPTOP_INVENTORY[[#This Row],[IN]] &lt;&gt; 0, _TBL_LAPTOP_INVENTORY[[#This Row],[IN]],"")</f>
        <v/>
      </c>
      <c r="G3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9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9" s="11"/>
      <c r="J39" s="18"/>
      <c r="K39" s="12"/>
    </row>
    <row r="40" spans="2:11" x14ac:dyDescent="0.25">
      <c r="B40" s="2"/>
      <c r="C40" s="15"/>
      <c r="D40" s="24" t="str">
        <f>IFERROR(VLOOKUP(_TBL_LAPTOP_INVENTORY[[#This Row],[INVENTORY ITEM]],_TBL_INVENTORY_TOTAL[[INVENTORY ITEM]:[TYPE]], 2, FALSE), "")</f>
        <v/>
      </c>
      <c r="E40" s="17"/>
      <c r="F40" s="4" t="str">
        <f>IF(_TBL_LAPTOP_INVENTORY[[#This Row],[IN]] &lt;&gt; 0, _TBL_LAPTOP_INVENTORY[[#This Row],[IN]],"")</f>
        <v/>
      </c>
      <c r="G40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0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0" s="11"/>
      <c r="J40" s="18"/>
      <c r="K40" s="12"/>
    </row>
    <row r="41" spans="2:11" x14ac:dyDescent="0.25">
      <c r="B41" s="2"/>
      <c r="C41" s="15"/>
      <c r="D41" s="24" t="str">
        <f>IFERROR(VLOOKUP(_TBL_LAPTOP_INVENTORY[[#This Row],[INVENTORY ITEM]],_TBL_INVENTORY_TOTAL[[INVENTORY ITEM]:[TYPE]], 2, FALSE), "")</f>
        <v/>
      </c>
      <c r="E41" s="17"/>
      <c r="F41" s="4" t="str">
        <f>IF(_TBL_LAPTOP_INVENTORY[[#This Row],[IN]] &lt;&gt; 0, _TBL_LAPTOP_INVENTORY[[#This Row],[IN]],"")</f>
        <v/>
      </c>
      <c r="G41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1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1" s="11"/>
      <c r="J41" s="18"/>
      <c r="K41" s="12"/>
    </row>
    <row r="42" spans="2:11" x14ac:dyDescent="0.25">
      <c r="B42" s="2"/>
      <c r="C42" s="15"/>
      <c r="D42" s="24" t="str">
        <f>IFERROR(VLOOKUP(_TBL_LAPTOP_INVENTORY[[#This Row],[INVENTORY ITEM]],_TBL_INVENTORY_TOTAL[[INVENTORY ITEM]:[TYPE]], 2, FALSE), "")</f>
        <v/>
      </c>
      <c r="E42" s="17"/>
      <c r="F42" s="4" t="str">
        <f>IF(_TBL_LAPTOP_INVENTORY[[#This Row],[IN]] &lt;&gt; 0, _TBL_LAPTOP_INVENTORY[[#This Row],[IN]],"")</f>
        <v/>
      </c>
      <c r="G42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2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2" s="11"/>
      <c r="J42" s="18"/>
      <c r="K42" s="12"/>
    </row>
    <row r="43" spans="2:11" x14ac:dyDescent="0.25">
      <c r="B43" s="2"/>
      <c r="C43" s="15"/>
      <c r="D43" s="24" t="str">
        <f>IFERROR(VLOOKUP(_TBL_LAPTOP_INVENTORY[[#This Row],[INVENTORY ITEM]],_TBL_INVENTORY_TOTAL[[INVENTORY ITEM]:[TYPE]], 2, FALSE), "")</f>
        <v/>
      </c>
      <c r="E43" s="17"/>
      <c r="F43" s="4" t="str">
        <f>IF(_TBL_LAPTOP_INVENTORY[[#This Row],[IN]] &lt;&gt; 0, _TBL_LAPTOP_INVENTORY[[#This Row],[IN]],"")</f>
        <v/>
      </c>
      <c r="G43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3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3" s="11"/>
      <c r="J43" s="18"/>
      <c r="K43" s="12"/>
    </row>
    <row r="44" spans="2:11" x14ac:dyDescent="0.25">
      <c r="B44" s="2"/>
      <c r="C44" s="15"/>
      <c r="D44" s="24" t="str">
        <f>IFERROR(VLOOKUP(_TBL_LAPTOP_INVENTORY[[#This Row],[INVENTORY ITEM]],_TBL_INVENTORY_TOTAL[[INVENTORY ITEM]:[TYPE]], 2, FALSE), "")</f>
        <v/>
      </c>
      <c r="E44" s="17"/>
      <c r="F44" s="4" t="str">
        <f>IF(_TBL_LAPTOP_INVENTORY[[#This Row],[IN]] &lt;&gt; 0, _TBL_LAPTOP_INVENTORY[[#This Row],[IN]],"")</f>
        <v/>
      </c>
      <c r="G44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4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4" s="11"/>
      <c r="J44" s="18"/>
      <c r="K44" s="12"/>
    </row>
    <row r="45" spans="2:11" x14ac:dyDescent="0.25">
      <c r="B45" s="2"/>
      <c r="C45" s="15"/>
      <c r="D45" s="24" t="str">
        <f>IFERROR(VLOOKUP(_TBL_LAPTOP_INVENTORY[[#This Row],[INVENTORY ITEM]],_TBL_INVENTORY_TOTAL[[INVENTORY ITEM]:[TYPE]], 2, FALSE), "")</f>
        <v/>
      </c>
      <c r="E45" s="17"/>
      <c r="F45" s="4" t="str">
        <f>IF(_TBL_LAPTOP_INVENTORY[[#This Row],[IN]] &lt;&gt; 0, _TBL_LAPTOP_INVENTORY[[#This Row],[IN]],"")</f>
        <v/>
      </c>
      <c r="G45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5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5" s="11"/>
      <c r="J45" s="18"/>
      <c r="K45" s="12"/>
    </row>
    <row r="46" spans="2:11" x14ac:dyDescent="0.25">
      <c r="B46" s="2"/>
      <c r="C46" s="15"/>
      <c r="D46" s="24" t="str">
        <f>IFERROR(VLOOKUP(_TBL_LAPTOP_INVENTORY[[#This Row],[INVENTORY ITEM]],_TBL_INVENTORY_TOTAL[[INVENTORY ITEM]:[TYPE]], 2, FALSE), "")</f>
        <v/>
      </c>
      <c r="E46" s="17"/>
      <c r="F46" s="4" t="str">
        <f>IF(_TBL_LAPTOP_INVENTORY[[#This Row],[IN]] &lt;&gt; 0, _TBL_LAPTOP_INVENTORY[[#This Row],[IN]],"")</f>
        <v/>
      </c>
      <c r="G4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6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6" s="11"/>
      <c r="J46" s="18"/>
      <c r="K46" s="12"/>
    </row>
    <row r="47" spans="2:11" x14ac:dyDescent="0.25">
      <c r="B47" s="2"/>
      <c r="C47" s="15"/>
      <c r="D47" s="24" t="str">
        <f>IFERROR(VLOOKUP(_TBL_LAPTOP_INVENTORY[[#This Row],[INVENTORY ITEM]],_TBL_INVENTORY_TOTAL[[INVENTORY ITEM]:[TYPE]], 2, FALSE), "")</f>
        <v/>
      </c>
      <c r="E47" s="17"/>
      <c r="F47" s="4" t="str">
        <f>IF(_TBL_LAPTOP_INVENTORY[[#This Row],[IN]] &lt;&gt; 0, _TBL_LAPTOP_INVENTORY[[#This Row],[IN]],"")</f>
        <v/>
      </c>
      <c r="G4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7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7" s="11"/>
      <c r="J47" s="18"/>
      <c r="K47" s="12"/>
    </row>
    <row r="48" spans="2:11" x14ac:dyDescent="0.25">
      <c r="B48" s="2"/>
      <c r="C48" s="15"/>
      <c r="D48" s="24" t="str">
        <f>IFERROR(VLOOKUP(_TBL_LAPTOP_INVENTORY[[#This Row],[INVENTORY ITEM]],_TBL_INVENTORY_TOTAL[[INVENTORY ITEM]:[TYPE]], 2, FALSE), "")</f>
        <v/>
      </c>
      <c r="E48" s="17"/>
      <c r="F48" s="4" t="str">
        <f>IF(_TBL_LAPTOP_INVENTORY[[#This Row],[IN]] &lt;&gt; 0, _TBL_LAPTOP_INVENTORY[[#This Row],[IN]],"")</f>
        <v/>
      </c>
      <c r="G4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8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8" s="11"/>
      <c r="J48" s="18"/>
      <c r="K48" s="12"/>
    </row>
    <row r="49" spans="2:11" x14ac:dyDescent="0.25">
      <c r="B49" s="2"/>
      <c r="C49" s="15"/>
      <c r="D49" s="24" t="str">
        <f>IFERROR(VLOOKUP(_TBL_LAPTOP_INVENTORY[[#This Row],[INVENTORY ITEM]],_TBL_INVENTORY_TOTAL[[INVENTORY ITEM]:[TYPE]], 2, FALSE), "")</f>
        <v/>
      </c>
      <c r="E49" s="17"/>
      <c r="F49" s="4" t="str">
        <f>IF(_TBL_LAPTOP_INVENTORY[[#This Row],[IN]] &lt;&gt; 0, _TBL_LAPTOP_INVENTORY[[#This Row],[IN]],"")</f>
        <v/>
      </c>
      <c r="G4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49" s="25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49" s="11"/>
      <c r="J49" s="18"/>
      <c r="K49" s="12"/>
    </row>
    <row r="50" spans="2:11" x14ac:dyDescent="0.25">
      <c r="B50" s="1" t="str">
        <f>_xlfn.CONCAT("COUNT: ", SUBTOTAL(103,_TBL_LAPTOP_INVENTORY[DATE]))</f>
        <v>COUNT: 33</v>
      </c>
      <c r="C50" s="6" t="s">
        <v>21</v>
      </c>
      <c r="D50" s="6"/>
      <c r="E50" s="4">
        <f>SUBTOTAL(109,_TBL_LAPTOP_INVENTORY[IN])</f>
        <v>268</v>
      </c>
      <c r="F50" s="5">
        <f>SUBTOTAL(109,_TBL_LAPTOP_INVENTORY[TOTAL])</f>
        <v>268</v>
      </c>
      <c r="G50" s="5"/>
      <c r="H50" s="5"/>
      <c r="I50" s="5">
        <f>SUBTOTAL(109,_TBL_LAPTOP_INVENTORY[BACKJOB])</f>
        <v>0</v>
      </c>
      <c r="J50" s="23"/>
      <c r="K50" s="3"/>
    </row>
    <row r="51" spans="2:11" x14ac:dyDescent="0.25">
      <c r="C51" s="7" t="s">
        <v>22</v>
      </c>
      <c r="D51" s="7"/>
      <c r="E51" s="31">
        <f>SUM(_TBL_LAPTOP_INVENTORY[IN])</f>
        <v>268</v>
      </c>
      <c r="F51" s="8">
        <f>SUM(_TBL_LAPTOP_INVENTORY[TOTAL])</f>
        <v>268</v>
      </c>
      <c r="G51" s="8"/>
      <c r="H51" s="8"/>
      <c r="I51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qref="C3:C49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40611CAA-C662-48B7-A77B-A9B7FD12B7E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350A-C1F1-4BF5-872B-CE3819323CB3}">
  <dimension ref="A1"/>
  <sheetViews>
    <sheetView tabSelected="1" workbookViewId="0">
      <selection activeCell="J3" sqref="J3"/>
    </sheetView>
  </sheetViews>
  <sheetFormatPr defaultRowHeight="15" x14ac:dyDescent="0.25"/>
  <cols>
    <col min="1" max="1" width="27.42578125" customWidth="1"/>
  </cols>
  <sheetData>
    <row r="1" spans="1:1" x14ac:dyDescent="0.25">
      <c r="A1" t="s">
        <v>196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_TBL_INVENTORY</vt:lpstr>
      <vt:lpstr>_TBL_INVENTORY_TOTAL</vt:lpstr>
      <vt:lpstr>_TBL_ADD_ONS</vt:lpstr>
      <vt:lpstr>_TBL_FREEBIES_SET</vt:lpstr>
      <vt:lpstr>_TBL_SALES_TOTAL</vt:lpstr>
      <vt:lpstr>INVENTORY</vt:lpstr>
      <vt:lpstr>Sheet1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2025-05-10T03:42:54Z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